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6.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17.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18.xml" ContentType="application/vnd.openxmlformats-officedocument.spreadsheetml.table+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ba9856d124305375/08. Loueur Meublé/"/>
    </mc:Choice>
  </mc:AlternateContent>
  <xr:revisionPtr revIDLastSave="15908" documentId="8_{5AE8AE01-6C50-4C14-8F72-0305FE430B2B}" xr6:coauthVersionLast="47" xr6:coauthVersionMax="47" xr10:uidLastSave="{955800C1-9F15-409E-B077-36D8C9C42993}"/>
  <bookViews>
    <workbookView xWindow="-108" yWindow="-108" windowWidth="19416" windowHeight="10296" tabRatio="732" activeTab="11" xr2:uid="{B88A3683-7F23-4562-BA92-DEDCDA60E5F8}"/>
  </bookViews>
  <sheets>
    <sheet name="Accueil" sheetId="14" r:id="rId1"/>
    <sheet name="Finances" sheetId="39" r:id="rId2"/>
    <sheet name="Channels" sheetId="30" r:id="rId3"/>
    <sheet name="Récapitulatif" sheetId="7" r:id="rId4"/>
    <sheet name="Budget" sheetId="2" r:id="rId5"/>
    <sheet name="Calcul budget" sheetId="16" state="hidden" r:id="rId6"/>
    <sheet name="Calendrier" sheetId="6" r:id="rId7"/>
    <sheet name="Résas booking" sheetId="13" state="hidden" r:id="rId8"/>
    <sheet name="Résas airbnb" sheetId="10" state="hidden" r:id="rId9"/>
    <sheet name="Résas Guesty" sheetId="25" state="hidden" r:id="rId10"/>
    <sheet name="Réservations" sheetId="23" r:id="rId11"/>
    <sheet name="Feuil1" sheetId="40" r:id="rId12"/>
    <sheet name="Automate" sheetId="9" r:id="rId13"/>
    <sheet name="Notifs" sheetId="32" state="hidden" r:id="rId14"/>
    <sheet name="Graph Stats" sheetId="38" state="hidden" r:id="rId15"/>
    <sheet name="Paramètres" sheetId="5" state="hidden" r:id="rId16"/>
    <sheet name="ParamAirBNB" sheetId="24" state="hidden" r:id="rId17"/>
    <sheet name="Guesty" sheetId="21" state="hidden" r:id="rId18"/>
    <sheet name="Prix" sheetId="29" state="hidden" r:id="rId19"/>
    <sheet name="Prix_Airbnb" sheetId="18" state="hidden" r:id="rId20"/>
    <sheet name="_Log" sheetId="33" state="veryHidden" r:id="rId21"/>
    <sheet name="Stats Airbnb" sheetId="34" state="hidden" r:id="rId22"/>
  </sheets>
  <functionGroups builtInGroupCount="19"/>
  <definedNames>
    <definedName name="_xlnm._FilterDatabase" localSheetId="12" hidden="1">Automate!$J$2:$L$151</definedName>
    <definedName name="_xleta.INDIRECT" hidden="1" xlm="1">#NAME?</definedName>
    <definedName name="_xleta.MONTH" hidden="1" xlm="1">#NAME?</definedName>
    <definedName name="_xleta.PY" hidden="1" xlm="1">#NAME?</definedName>
    <definedName name="_xleta.T" hidden="1" xlm="1">#NAME?</definedName>
    <definedName name="_xleta.TRIM" hidden="1" xlm="1">#NAME?</definedName>
    <definedName name="AirBNBJSON">ParamAirBNB!#REF!</definedName>
    <definedName name="AirBNBUrlDate">ParamAirBNB!#REF!</definedName>
    <definedName name="anDebut">Paramètres!$C$31</definedName>
    <definedName name="Annee1">Récapitulatif!$A$2</definedName>
    <definedName name="Annee2">Récapitulatif!$A$6</definedName>
    <definedName name="Annee3">Récapitulatif!$A$10</definedName>
    <definedName name="Annee4">Récapitulatif!$A$14</definedName>
    <definedName name="Annee5">Récapitulatif!$A$30</definedName>
    <definedName name="BookingHeader">Paramètres!#REF!</definedName>
    <definedName name="BookingHeaders">Paramètres!#REF!</definedName>
    <definedName name="Budget2023">Budget!$C$5:$J$17</definedName>
    <definedName name="Budget2024">Budget!$C$21:$J$32</definedName>
    <definedName name="Budget2025">Budget!$C$36:$M$47</definedName>
    <definedName name="Budget2026">Budget!$C$51:$J$62</definedName>
    <definedName name="Budget2027">Budget!$C$66:$J$77</definedName>
    <definedName name="Budget2028">Budget!$C$81:$J$92</definedName>
    <definedName name="Budget2029">Budget!$C$96:$J$107</definedName>
    <definedName name="Budget2030">Budget!$C$111:$J$122</definedName>
    <definedName name="ClientIDGuesty">Guesty!#REF!</definedName>
    <definedName name="ClientSecretGuesty">Guesty!#REF!</definedName>
    <definedName name="ContenuCalendrier">Calendrier!$B$4:$NC$8</definedName>
    <definedName name="Cookie">Paramètres!$B$33</definedName>
    <definedName name="cookie_Booking">Automate!#REF!</definedName>
    <definedName name="cookie_esadm">Paramètres!$B$36</definedName>
    <definedName name="Cookie2">ParamAirBNB!$B$1</definedName>
    <definedName name="critHeaderList">OFFSET(StatsAirBNBApollinaire[#Headers],0,1,1,COLUMNS(StatsAirBNBApollinaire[#Headers])-1)</definedName>
    <definedName name="DateLectureEmails">Automate!$D$2</definedName>
    <definedName name="dateToken">Guesty!$B$16</definedName>
    <definedName name="DateTokenGuesty">Guesty!#REF!</definedName>
    <definedName name="DirDownload">Paramètres!$B$38</definedName>
    <definedName name="esadmBooking">Paramètres!$C$36</definedName>
    <definedName name="ExecNotif">Notifs!$F$1</definedName>
    <definedName name="GuestyAPIKey">Guesty!$B$6</definedName>
    <definedName name="GuestyID">Guesty!$B$4</definedName>
    <definedName name="GuestyKey">Guesty!$B$2</definedName>
    <definedName name="GuestyURL">Guesty!$B$3</definedName>
    <definedName name="GuestyURL2">Guesty!$B$5</definedName>
    <definedName name="GuestyURLPrix">Guesty!$B$7</definedName>
    <definedName name="Janvier" localSheetId="3">Récapitulatif!$C$37:$O$68</definedName>
    <definedName name="Key">Paramètres!$B$32</definedName>
    <definedName name="kvstorekey">Paramètres!#REF!</definedName>
    <definedName name="LastToken">Guesty!$B$15</definedName>
    <definedName name="lienBooking">Paramètres!$B$37</definedName>
    <definedName name="ListeAnnées">Récapitulatif!$A$2:$A$33</definedName>
    <definedName name="ListeMois">Récapitulatif!$C$1:$N$1</definedName>
    <definedName name="LogementChannel">Channels!$A$1</definedName>
    <definedName name="logExtraction">Automate!$B$4</definedName>
    <definedName name="NomApt1">Récapitulatif!$A$1</definedName>
    <definedName name="NOMApt2">Récapitulatif!$A$36</definedName>
    <definedName name="NOMApt3">Récapitulatif!$A$71</definedName>
    <definedName name="NOMApt4">Récapitulatif!$A$94</definedName>
    <definedName name="NOMApt5">Récapitulatif!$A$129</definedName>
    <definedName name="Notations">Accueil!$B$44:$G$49</definedName>
    <definedName name="Prix_Airbnb">Automate!#REF!</definedName>
    <definedName name="Prixairbnb">Prix_Airbnb!$A$1:$C$23</definedName>
    <definedName name="Recap2028">Budget!$C$81:$J$93</definedName>
    <definedName name="Recap2029">Budget!$C$96:$J$108</definedName>
    <definedName name="Recap2030">Budget!$C$112:$J$122</definedName>
    <definedName name="RecapTableau1">Récapitulatif!$C$2:$O$33</definedName>
    <definedName name="RecapTableau2">Récapitulatif!$C$37:$O$68</definedName>
    <definedName name="RecapTableau4">Récapitulatif!$C$95:$O$126</definedName>
    <definedName name="ses_Booking">Automate!#REF!</definedName>
    <definedName name="TableauCalendrier">Calendrier!$B$2:$PB$9</definedName>
    <definedName name="TitreLogementsA">Calendrier!$A$4:$A$7</definedName>
    <definedName name="Todo">Automate!$J$3</definedName>
    <definedName name="TokenGuesty">Guesty!#REF!</definedName>
    <definedName name="xDates">StatsAirBNBApollinaire[Date]</definedName>
    <definedName name="yApollinaire">INDEX(StatsAirBNBApollinaire[],0,MATCH(choixCritere,StatsAirBNBApollinaire[#Headers],0))</definedName>
    <definedName name="yMaury">INDEX(StatsAirBNBMaury[],0,MATCH(choixCritere,StatsAirBNBMaury[#Headers],0))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23" i="2" l="1"/>
  <c r="J123" i="2"/>
  <c r="H123" i="2"/>
  <c r="F123" i="2"/>
  <c r="D123" i="2"/>
  <c r="N122" i="2"/>
  <c r="K122" i="2"/>
  <c r="G122" i="2"/>
  <c r="B122" i="2"/>
  <c r="N121" i="2"/>
  <c r="K121" i="2"/>
  <c r="G121" i="2"/>
  <c r="B121" i="2"/>
  <c r="N120" i="2"/>
  <c r="K120" i="2"/>
  <c r="G120" i="2"/>
  <c r="B120" i="2"/>
  <c r="N119" i="2"/>
  <c r="K119" i="2"/>
  <c r="G119" i="2"/>
  <c r="B119" i="2"/>
  <c r="N118" i="2"/>
  <c r="K118" i="2"/>
  <c r="G118" i="2"/>
  <c r="B118" i="2"/>
  <c r="N117" i="2"/>
  <c r="K117" i="2"/>
  <c r="G117" i="2"/>
  <c r="B117" i="2"/>
  <c r="N116" i="2"/>
  <c r="K116" i="2"/>
  <c r="G116" i="2"/>
  <c r="B116" i="2"/>
  <c r="N115" i="2"/>
  <c r="K115" i="2"/>
  <c r="G115" i="2"/>
  <c r="B115" i="2"/>
  <c r="N114" i="2"/>
  <c r="K114" i="2"/>
  <c r="G114" i="2"/>
  <c r="B114" i="2"/>
  <c r="N113" i="2"/>
  <c r="K113" i="2"/>
  <c r="G113" i="2"/>
  <c r="B113" i="2"/>
  <c r="N112" i="2"/>
  <c r="K112" i="2"/>
  <c r="G112" i="2"/>
  <c r="B112" i="2"/>
  <c r="N111" i="2"/>
  <c r="K111" i="2"/>
  <c r="G111" i="2"/>
  <c r="B111" i="2"/>
  <c r="L108" i="2"/>
  <c r="J108" i="2"/>
  <c r="H108" i="2"/>
  <c r="F108" i="2"/>
  <c r="D108" i="2"/>
  <c r="N107" i="2"/>
  <c r="K107" i="2"/>
  <c r="G107" i="2"/>
  <c r="B107" i="2"/>
  <c r="N106" i="2"/>
  <c r="K106" i="2"/>
  <c r="G106" i="2"/>
  <c r="B106" i="2"/>
  <c r="N105" i="2"/>
  <c r="K105" i="2"/>
  <c r="G105" i="2"/>
  <c r="B105" i="2"/>
  <c r="N104" i="2"/>
  <c r="K104" i="2"/>
  <c r="G104" i="2"/>
  <c r="B104" i="2"/>
  <c r="N103" i="2"/>
  <c r="K103" i="2"/>
  <c r="G103" i="2"/>
  <c r="B103" i="2"/>
  <c r="N102" i="2"/>
  <c r="K102" i="2"/>
  <c r="G102" i="2"/>
  <c r="B102" i="2"/>
  <c r="N101" i="2"/>
  <c r="K101" i="2"/>
  <c r="G101" i="2"/>
  <c r="B101" i="2"/>
  <c r="N100" i="2"/>
  <c r="K100" i="2"/>
  <c r="G100" i="2"/>
  <c r="B100" i="2"/>
  <c r="N99" i="2"/>
  <c r="K99" i="2"/>
  <c r="G99" i="2"/>
  <c r="B99" i="2"/>
  <c r="N98" i="2"/>
  <c r="K98" i="2"/>
  <c r="G98" i="2"/>
  <c r="B98" i="2"/>
  <c r="N97" i="2"/>
  <c r="K97" i="2"/>
  <c r="G97" i="2"/>
  <c r="B97" i="2"/>
  <c r="N96" i="2"/>
  <c r="K96" i="2"/>
  <c r="G96" i="2"/>
  <c r="B96" i="2"/>
  <c r="B81" i="2"/>
  <c r="B92" i="2"/>
  <c r="B91" i="2"/>
  <c r="B90" i="2"/>
  <c r="B89" i="2"/>
  <c r="B88" i="2"/>
  <c r="B87" i="2"/>
  <c r="B86" i="2"/>
  <c r="B85" i="2"/>
  <c r="B84" i="2"/>
  <c r="B83" i="2"/>
  <c r="B82" i="2"/>
  <c r="L93" i="2"/>
  <c r="J93" i="2"/>
  <c r="H93" i="2"/>
  <c r="F93" i="2"/>
  <c r="D93" i="2"/>
  <c r="N92" i="2"/>
  <c r="K92" i="2"/>
  <c r="G92" i="2"/>
  <c r="N91" i="2"/>
  <c r="K91" i="2"/>
  <c r="G91" i="2"/>
  <c r="N90" i="2"/>
  <c r="K90" i="2"/>
  <c r="G90" i="2"/>
  <c r="N89" i="2"/>
  <c r="K89" i="2"/>
  <c r="G89" i="2"/>
  <c r="N88" i="2"/>
  <c r="K88" i="2"/>
  <c r="G88" i="2"/>
  <c r="N87" i="2"/>
  <c r="K87" i="2"/>
  <c r="G87" i="2"/>
  <c r="N86" i="2"/>
  <c r="K86" i="2"/>
  <c r="G86" i="2"/>
  <c r="N85" i="2"/>
  <c r="K85" i="2"/>
  <c r="G85" i="2"/>
  <c r="N84" i="2"/>
  <c r="K84" i="2"/>
  <c r="G84" i="2"/>
  <c r="N83" i="2"/>
  <c r="K83" i="2"/>
  <c r="G83" i="2"/>
  <c r="N82" i="2"/>
  <c r="K82" i="2"/>
  <c r="G82" i="2"/>
  <c r="N81" i="2"/>
  <c r="K81" i="2"/>
  <c r="G81" i="2"/>
  <c r="B17" i="2"/>
  <c r="B16" i="2"/>
  <c r="B15" i="2"/>
  <c r="B14" i="2"/>
  <c r="B13" i="2"/>
  <c r="B12" i="2"/>
  <c r="B11" i="2"/>
  <c r="B10" i="2"/>
  <c r="B9" i="2"/>
  <c r="B8" i="2"/>
  <c r="B7" i="2"/>
  <c r="B6" i="2"/>
  <c r="B36" i="2"/>
  <c r="L78" i="2"/>
  <c r="J78" i="2"/>
  <c r="H78" i="2"/>
  <c r="F78" i="2"/>
  <c r="D78" i="2"/>
  <c r="L63" i="2"/>
  <c r="J63" i="2"/>
  <c r="H63" i="2"/>
  <c r="F63" i="2"/>
  <c r="D63" i="2"/>
  <c r="J48" i="2"/>
  <c r="F48" i="2"/>
  <c r="D48" i="2"/>
  <c r="D33" i="2"/>
  <c r="F33" i="2"/>
  <c r="C25" i="2"/>
  <c r="C26" i="2"/>
  <c r="C27" i="2"/>
  <c r="C28" i="2"/>
  <c r="C29" i="2"/>
  <c r="C31" i="2"/>
  <c r="C32" i="2"/>
  <c r="B21" i="2"/>
  <c r="B67" i="2"/>
  <c r="B68" i="2"/>
  <c r="B69" i="2"/>
  <c r="B70" i="2"/>
  <c r="B71" i="2"/>
  <c r="B72" i="2"/>
  <c r="B73" i="2"/>
  <c r="B74" i="2"/>
  <c r="B75" i="2"/>
  <c r="B76" i="2"/>
  <c r="B77" i="2"/>
  <c r="B78" i="2"/>
  <c r="B66" i="2"/>
  <c r="B52" i="2"/>
  <c r="B53" i="2"/>
  <c r="B54" i="2"/>
  <c r="B55" i="2"/>
  <c r="B56" i="2"/>
  <c r="B57" i="2"/>
  <c r="B58" i="2"/>
  <c r="B59" i="2"/>
  <c r="B60" i="2"/>
  <c r="B61" i="2"/>
  <c r="B62" i="2"/>
  <c r="B63" i="2"/>
  <c r="B51" i="2"/>
  <c r="B38" i="2"/>
  <c r="B39" i="2"/>
  <c r="B40" i="2"/>
  <c r="B41" i="2"/>
  <c r="B42" i="2"/>
  <c r="B43" i="2"/>
  <c r="B44" i="2"/>
  <c r="B45" i="2"/>
  <c r="B46" i="2"/>
  <c r="B47" i="2"/>
  <c r="B48" i="2"/>
  <c r="B37" i="2"/>
  <c r="B22" i="2"/>
  <c r="B23" i="2"/>
  <c r="B24" i="2"/>
  <c r="B25" i="2"/>
  <c r="B26" i="2"/>
  <c r="B27" i="2"/>
  <c r="B28" i="2"/>
  <c r="B29" i="2"/>
  <c r="B30" i="2"/>
  <c r="B31" i="2"/>
  <c r="B32" i="2"/>
  <c r="B33" i="2"/>
  <c r="G77" i="2"/>
  <c r="G76" i="2"/>
  <c r="G75" i="2"/>
  <c r="G74" i="2"/>
  <c r="G73" i="2"/>
  <c r="G72" i="2"/>
  <c r="G71" i="2"/>
  <c r="G70" i="2"/>
  <c r="G69" i="2"/>
  <c r="G68" i="2"/>
  <c r="G67" i="2"/>
  <c r="G66" i="2"/>
  <c r="K77" i="2"/>
  <c r="K76" i="2"/>
  <c r="K75" i="2"/>
  <c r="K74" i="2"/>
  <c r="K73" i="2"/>
  <c r="K72" i="2"/>
  <c r="K71" i="2"/>
  <c r="K70" i="2"/>
  <c r="K69" i="2"/>
  <c r="K68" i="2"/>
  <c r="K67" i="2"/>
  <c r="K66" i="2"/>
  <c r="K62" i="2"/>
  <c r="G62" i="2"/>
  <c r="K61" i="2"/>
  <c r="G61" i="2"/>
  <c r="K60" i="2"/>
  <c r="G60" i="2"/>
  <c r="K59" i="2"/>
  <c r="G59" i="2"/>
  <c r="K58" i="2"/>
  <c r="G58" i="2"/>
  <c r="K57" i="2"/>
  <c r="G57" i="2"/>
  <c r="K56" i="2"/>
  <c r="G56" i="2"/>
  <c r="K55" i="2"/>
  <c r="G55" i="2"/>
  <c r="K54" i="2"/>
  <c r="G54" i="2"/>
  <c r="K53" i="2"/>
  <c r="G53" i="2"/>
  <c r="K52" i="2"/>
  <c r="G52" i="2"/>
  <c r="K51" i="2"/>
  <c r="G51" i="2"/>
  <c r="K47" i="2"/>
  <c r="G47" i="2"/>
  <c r="K46" i="2"/>
  <c r="G46" i="2"/>
  <c r="K45" i="2"/>
  <c r="G45" i="2"/>
  <c r="K44" i="2"/>
  <c r="G44" i="2"/>
  <c r="K43" i="2"/>
  <c r="G43" i="2"/>
  <c r="K42" i="2"/>
  <c r="G42" i="2"/>
  <c r="K41" i="2"/>
  <c r="G41" i="2"/>
  <c r="K40" i="2"/>
  <c r="G40" i="2"/>
  <c r="K39" i="2"/>
  <c r="G39" i="2"/>
  <c r="K38" i="2"/>
  <c r="G38" i="2"/>
  <c r="K37" i="2"/>
  <c r="G37" i="2"/>
  <c r="K36" i="2"/>
  <c r="G36" i="2"/>
  <c r="K32" i="2"/>
  <c r="G32" i="2"/>
  <c r="K31" i="2"/>
  <c r="G31" i="2"/>
  <c r="K30" i="2"/>
  <c r="G30" i="2"/>
  <c r="K29" i="2"/>
  <c r="G29" i="2"/>
  <c r="K28" i="2"/>
  <c r="G28" i="2"/>
  <c r="K27" i="2"/>
  <c r="G27" i="2"/>
  <c r="K26" i="2"/>
  <c r="G26" i="2"/>
  <c r="K25" i="2"/>
  <c r="G25" i="2"/>
  <c r="K24" i="2"/>
  <c r="G24" i="2"/>
  <c r="K23" i="2"/>
  <c r="G23" i="2"/>
  <c r="K22" i="2"/>
  <c r="G22" i="2"/>
  <c r="K21" i="2"/>
  <c r="G21" i="2"/>
  <c r="K17" i="2"/>
  <c r="K16" i="2"/>
  <c r="K15" i="2"/>
  <c r="K14" i="2"/>
  <c r="K13" i="2"/>
  <c r="N77" i="2"/>
  <c r="N76" i="2"/>
  <c r="N75" i="2"/>
  <c r="N74" i="2"/>
  <c r="N73" i="2"/>
  <c r="N72" i="2"/>
  <c r="N71" i="2"/>
  <c r="N70" i="2"/>
  <c r="N69" i="2"/>
  <c r="N68" i="2"/>
  <c r="N67" i="2"/>
  <c r="N66" i="2"/>
  <c r="P66" i="2" s="1"/>
  <c r="N62" i="2"/>
  <c r="N61" i="2"/>
  <c r="N60" i="2"/>
  <c r="N59" i="2"/>
  <c r="N58" i="2"/>
  <c r="N57" i="2"/>
  <c r="N56" i="2"/>
  <c r="N55" i="2"/>
  <c r="N54" i="2"/>
  <c r="N53" i="2"/>
  <c r="N52" i="2"/>
  <c r="N51" i="2"/>
  <c r="P51" i="2" s="1"/>
  <c r="L48" i="2"/>
  <c r="H48" i="2"/>
  <c r="N47" i="2"/>
  <c r="N46" i="2"/>
  <c r="N45" i="2"/>
  <c r="N44" i="2"/>
  <c r="N43" i="2"/>
  <c r="N42" i="2"/>
  <c r="N41" i="2"/>
  <c r="N40" i="2"/>
  <c r="N39" i="2"/>
  <c r="N38" i="2"/>
  <c r="N37" i="2"/>
  <c r="N36" i="2"/>
  <c r="P36" i="2" s="1"/>
  <c r="L33" i="2"/>
  <c r="J33" i="2"/>
  <c r="H33" i="2"/>
  <c r="N32" i="2"/>
  <c r="N31" i="2"/>
  <c r="N30" i="2"/>
  <c r="N29" i="2"/>
  <c r="N28" i="2"/>
  <c r="N27" i="2"/>
  <c r="N26" i="2"/>
  <c r="N25" i="2"/>
  <c r="N24" i="2"/>
  <c r="N23" i="2"/>
  <c r="N22" i="2"/>
  <c r="N21" i="2"/>
  <c r="P21" i="2" s="1"/>
  <c r="G18" i="2"/>
  <c r="C98" i="2"/>
  <c r="E118" i="2"/>
  <c r="I25" i="2"/>
  <c r="I72" i="2"/>
  <c r="I92" i="2"/>
  <c r="C88" i="2"/>
  <c r="C53" i="2"/>
  <c r="C118" i="2"/>
  <c r="E89" i="2"/>
  <c r="E42" i="2"/>
  <c r="E14" i="2"/>
  <c r="E91" i="2"/>
  <c r="C30" i="2"/>
  <c r="C76" i="2"/>
  <c r="I114" i="2"/>
  <c r="C44" i="2"/>
  <c r="I73" i="2"/>
  <c r="C17" i="2"/>
  <c r="E113" i="2"/>
  <c r="E104" i="2"/>
  <c r="C84" i="2"/>
  <c r="I7" i="2"/>
  <c r="E32" i="2"/>
  <c r="I115" i="2"/>
  <c r="I11" i="2"/>
  <c r="I105" i="2"/>
  <c r="I75" i="2"/>
  <c r="C36" i="2"/>
  <c r="I29" i="2"/>
  <c r="C13" i="2"/>
  <c r="I66" i="2"/>
  <c r="I52" i="2"/>
  <c r="I24" i="2"/>
  <c r="I6" i="2"/>
  <c r="C57" i="2"/>
  <c r="E51" i="2"/>
  <c r="C41" i="2"/>
  <c r="I70" i="2"/>
  <c r="E40" i="2"/>
  <c r="C39" i="2"/>
  <c r="E67" i="2"/>
  <c r="I28" i="2"/>
  <c r="I111" i="2"/>
  <c r="E74" i="2"/>
  <c r="E16" i="2"/>
  <c r="C58" i="2"/>
  <c r="I10" i="2"/>
  <c r="I55" i="2"/>
  <c r="C102" i="2"/>
  <c r="I8" i="2"/>
  <c r="I106" i="2"/>
  <c r="I86" i="2"/>
  <c r="I37" i="2"/>
  <c r="I15" i="2"/>
  <c r="C121" i="2"/>
  <c r="I122" i="2"/>
  <c r="C85" i="2"/>
  <c r="C21" i="2"/>
  <c r="E117" i="2"/>
  <c r="E54" i="2"/>
  <c r="I27" i="2"/>
  <c r="I43" i="2"/>
  <c r="E56" i="2"/>
  <c r="I31" i="2"/>
  <c r="I60" i="2"/>
  <c r="I116" i="2"/>
  <c r="E112" i="2"/>
  <c r="I87" i="2"/>
  <c r="E82" i="2"/>
  <c r="E120" i="2"/>
  <c r="I12" i="2"/>
  <c r="E45" i="2"/>
  <c r="I9" i="2"/>
  <c r="C62" i="2"/>
  <c r="I26" i="2"/>
  <c r="E96" i="2"/>
  <c r="C90" i="2"/>
  <c r="E119" i="2"/>
  <c r="I68" i="2"/>
  <c r="C46" i="2"/>
  <c r="C59" i="2"/>
  <c r="I23" i="2"/>
  <c r="I83" i="2"/>
  <c r="I71" i="2"/>
  <c r="C22" i="2"/>
  <c r="C101" i="2"/>
  <c r="C97" i="2"/>
  <c r="C69" i="2"/>
  <c r="E100" i="2"/>
  <c r="I77" i="2"/>
  <c r="E47" i="2"/>
  <c r="I61" i="2"/>
  <c r="E114" i="2"/>
  <c r="E38" i="2"/>
  <c r="I81" i="2"/>
  <c r="I107" i="2"/>
  <c r="E103" i="2"/>
  <c r="I99" i="2"/>
  <c r="N123" i="2" l="1"/>
  <c r="N108" i="2"/>
  <c r="P111" i="2"/>
  <c r="P112" i="2" s="1"/>
  <c r="P113" i="2" s="1"/>
  <c r="P96" i="2"/>
  <c r="P97" i="2" s="1"/>
  <c r="N93" i="2"/>
  <c r="P81" i="2"/>
  <c r="P82" i="2" s="1"/>
  <c r="P83" i="2" s="1"/>
  <c r="P84" i="2" s="1"/>
  <c r="G93" i="2"/>
  <c r="K93" i="2"/>
  <c r="K108" i="2"/>
  <c r="K123" i="2"/>
  <c r="G108" i="2"/>
  <c r="G123" i="2"/>
  <c r="M11" i="2"/>
  <c r="M8" i="2"/>
  <c r="M6" i="2"/>
  <c r="M10" i="2"/>
  <c r="M7" i="2"/>
  <c r="M9" i="2"/>
  <c r="M12" i="2"/>
  <c r="G78" i="2"/>
  <c r="N63" i="2"/>
  <c r="K78" i="2"/>
  <c r="N78" i="2"/>
  <c r="G63" i="2"/>
  <c r="N33" i="2"/>
  <c r="K63" i="2"/>
  <c r="N48" i="2"/>
  <c r="P37" i="2"/>
  <c r="P38" i="2" s="1"/>
  <c r="P52" i="2"/>
  <c r="P53" i="2" s="1"/>
  <c r="K33" i="2"/>
  <c r="K18" i="2"/>
  <c r="G33" i="2"/>
  <c r="G48" i="2"/>
  <c r="K48" i="2"/>
  <c r="P67" i="2"/>
  <c r="P22" i="2"/>
  <c r="I57" i="2"/>
  <c r="E44" i="2"/>
  <c r="C99" i="2"/>
  <c r="E66" i="2"/>
  <c r="E76" i="2"/>
  <c r="I91" i="2"/>
  <c r="C116" i="2"/>
  <c r="E72" i="2"/>
  <c r="E83" i="2"/>
  <c r="I59" i="2"/>
  <c r="I21" i="2"/>
  <c r="E29" i="2"/>
  <c r="I67" i="2"/>
  <c r="I121" i="2"/>
  <c r="E24" i="2"/>
  <c r="I32" i="2"/>
  <c r="C82" i="2"/>
  <c r="E102" i="2"/>
  <c r="C83" i="2"/>
  <c r="E77" i="2"/>
  <c r="E61" i="2"/>
  <c r="E27" i="2"/>
  <c r="I113" i="2"/>
  <c r="E28" i="2"/>
  <c r="C86" i="2"/>
  <c r="I100" i="2"/>
  <c r="C37" i="2"/>
  <c r="I58" i="2"/>
  <c r="E81" i="2"/>
  <c r="I76" i="2"/>
  <c r="C73" i="2"/>
  <c r="E30" i="2"/>
  <c r="C15" i="2"/>
  <c r="E59" i="2"/>
  <c r="C100" i="2"/>
  <c r="I47" i="2"/>
  <c r="E98" i="2"/>
  <c r="C92" i="2"/>
  <c r="C81" i="2"/>
  <c r="I16" i="2"/>
  <c r="C91" i="2"/>
  <c r="I97" i="2"/>
  <c r="C77" i="2"/>
  <c r="E62" i="2"/>
  <c r="I117" i="2"/>
  <c r="I104" i="2"/>
  <c r="E90" i="2"/>
  <c r="C38" i="2"/>
  <c r="C56" i="2"/>
  <c r="I103" i="2"/>
  <c r="E97" i="2"/>
  <c r="E15" i="2"/>
  <c r="I45" i="2"/>
  <c r="C87" i="2"/>
  <c r="I120" i="2"/>
  <c r="I14" i="2"/>
  <c r="C75" i="2"/>
  <c r="I30" i="2"/>
  <c r="E31" i="2"/>
  <c r="E57" i="2"/>
  <c r="E21" i="2"/>
  <c r="I54" i="2"/>
  <c r="E92" i="2"/>
  <c r="I41" i="2"/>
  <c r="E105" i="2"/>
  <c r="I44" i="2"/>
  <c r="E73" i="2"/>
  <c r="E111" i="2"/>
  <c r="E68" i="2"/>
  <c r="E84" i="2"/>
  <c r="I42" i="2"/>
  <c r="I98" i="2"/>
  <c r="I85" i="2"/>
  <c r="C104" i="2"/>
  <c r="I96" i="2"/>
  <c r="I89" i="2"/>
  <c r="E75" i="2"/>
  <c r="E13" i="2"/>
  <c r="I101" i="2"/>
  <c r="E101" i="2"/>
  <c r="E107" i="2"/>
  <c r="E70" i="2"/>
  <c r="C43" i="2"/>
  <c r="C52" i="2"/>
  <c r="C89" i="2"/>
  <c r="I62" i="2"/>
  <c r="I36" i="2"/>
  <c r="C107" i="2"/>
  <c r="C47" i="2"/>
  <c r="C71" i="2"/>
  <c r="E58" i="2"/>
  <c r="I88" i="2"/>
  <c r="I82" i="2"/>
  <c r="E88" i="2"/>
  <c r="C68" i="2"/>
  <c r="E106" i="2"/>
  <c r="I119" i="2"/>
  <c r="I84" i="2"/>
  <c r="E39" i="2"/>
  <c r="E41" i="2"/>
  <c r="C119" i="2"/>
  <c r="C111" i="2"/>
  <c r="I38" i="2"/>
  <c r="I22" i="2"/>
  <c r="E43" i="2"/>
  <c r="I69" i="2"/>
  <c r="I112" i="2"/>
  <c r="C66" i="2"/>
  <c r="C112" i="2"/>
  <c r="C106" i="2"/>
  <c r="C67" i="2"/>
  <c r="C42" i="2"/>
  <c r="C113" i="2"/>
  <c r="E55" i="2"/>
  <c r="C122" i="2"/>
  <c r="E53" i="2"/>
  <c r="I13" i="2"/>
  <c r="E121" i="2"/>
  <c r="E86" i="2"/>
  <c r="C105" i="2"/>
  <c r="E46" i="2"/>
  <c r="E71" i="2"/>
  <c r="I51" i="2"/>
  <c r="I39" i="2"/>
  <c r="E37" i="2"/>
  <c r="E87" i="2"/>
  <c r="I46" i="2"/>
  <c r="E115" i="2"/>
  <c r="E69" i="2"/>
  <c r="C117" i="2"/>
  <c r="C96" i="2"/>
  <c r="I90" i="2"/>
  <c r="C61" i="2"/>
  <c r="C72" i="2"/>
  <c r="C51" i="2"/>
  <c r="E52" i="2"/>
  <c r="C24" i="2"/>
  <c r="E17" i="2"/>
  <c r="C60" i="2"/>
  <c r="I56" i="2"/>
  <c r="E99" i="2"/>
  <c r="C23" i="2"/>
  <c r="C70" i="2"/>
  <c r="C16" i="2"/>
  <c r="C45" i="2"/>
  <c r="C74" i="2"/>
  <c r="E26" i="2"/>
  <c r="E85" i="2"/>
  <c r="I102" i="2"/>
  <c r="I40" i="2"/>
  <c r="E36" i="2"/>
  <c r="I53" i="2"/>
  <c r="E23" i="2"/>
  <c r="E22" i="2"/>
  <c r="C114" i="2"/>
  <c r="C54" i="2"/>
  <c r="I74" i="2"/>
  <c r="C55" i="2"/>
  <c r="E60" i="2"/>
  <c r="C103" i="2"/>
  <c r="I118" i="2"/>
  <c r="C115" i="2"/>
  <c r="C120" i="2"/>
  <c r="E116" i="2"/>
  <c r="C40" i="2"/>
  <c r="E25" i="2"/>
  <c r="C14" i="2"/>
  <c r="E122" i="2"/>
  <c r="I17" i="2"/>
  <c r="M99" i="2" l="1"/>
  <c r="M75" i="2"/>
  <c r="M29" i="2"/>
  <c r="M24" i="2"/>
  <c r="M25" i="2"/>
  <c r="M17" i="2"/>
  <c r="M28" i="2"/>
  <c r="M54" i="2"/>
  <c r="M113" i="2"/>
  <c r="M66" i="2"/>
  <c r="O66" i="2" s="1"/>
  <c r="O67" i="2" s="1"/>
  <c r="Q67" i="2" s="1"/>
  <c r="M114" i="2"/>
  <c r="M118" i="2"/>
  <c r="M81" i="2"/>
  <c r="O81" i="2" s="1"/>
  <c r="M121" i="2"/>
  <c r="M43" i="2"/>
  <c r="M21" i="2"/>
  <c r="O21" i="2" s="1"/>
  <c r="Q21" i="2" s="1"/>
  <c r="M92" i="2"/>
  <c r="M36" i="2"/>
  <c r="O36" i="2" s="1"/>
  <c r="Q36" i="2" s="1"/>
  <c r="M16" i="2"/>
  <c r="C18" i="2"/>
  <c r="E123" i="2"/>
  <c r="M68" i="2"/>
  <c r="M87" i="2"/>
  <c r="M56" i="2"/>
  <c r="M15" i="2"/>
  <c r="M98" i="2"/>
  <c r="M104" i="2"/>
  <c r="M119" i="2"/>
  <c r="M111" i="2"/>
  <c r="O111" i="2" s="1"/>
  <c r="M96" i="2"/>
  <c r="O96" i="2" s="1"/>
  <c r="M46" i="2"/>
  <c r="M45" i="2"/>
  <c r="M101" i="2"/>
  <c r="M31" i="2"/>
  <c r="M84" i="2"/>
  <c r="M85" i="2"/>
  <c r="M44" i="2"/>
  <c r="M32" i="2"/>
  <c r="M106" i="2"/>
  <c r="E18" i="2"/>
  <c r="M13" i="2"/>
  <c r="M55" i="2"/>
  <c r="M14" i="2"/>
  <c r="O14" i="2" s="1"/>
  <c r="I18" i="2"/>
  <c r="M27" i="2"/>
  <c r="M69" i="2"/>
  <c r="M116" i="2"/>
  <c r="I108" i="2"/>
  <c r="I123" i="2"/>
  <c r="E108" i="2"/>
  <c r="C123" i="2"/>
  <c r="C108" i="2"/>
  <c r="M117" i="2"/>
  <c r="M120" i="2"/>
  <c r="M115" i="2"/>
  <c r="M122" i="2"/>
  <c r="P114" i="2"/>
  <c r="M102" i="2"/>
  <c r="M105" i="2"/>
  <c r="M103" i="2"/>
  <c r="M100" i="2"/>
  <c r="M107" i="2"/>
  <c r="P98" i="2"/>
  <c r="M90" i="2"/>
  <c r="M88" i="2"/>
  <c r="E93" i="2"/>
  <c r="I93" i="2"/>
  <c r="M91" i="2"/>
  <c r="M89" i="2"/>
  <c r="M86" i="2"/>
  <c r="M83" i="2"/>
  <c r="C93" i="2"/>
  <c r="P85" i="2"/>
  <c r="M59" i="2"/>
  <c r="M40" i="2"/>
  <c r="M62" i="2"/>
  <c r="M39" i="2"/>
  <c r="M51" i="2"/>
  <c r="O51" i="2" s="1"/>
  <c r="M76" i="2"/>
  <c r="E48" i="2"/>
  <c r="M71" i="2"/>
  <c r="M37" i="2"/>
  <c r="M74" i="2"/>
  <c r="I78" i="2"/>
  <c r="M26" i="2"/>
  <c r="M77" i="2"/>
  <c r="M60" i="2"/>
  <c r="M70" i="2"/>
  <c r="E78" i="2"/>
  <c r="M53" i="2"/>
  <c r="E63" i="2"/>
  <c r="I63" i="2"/>
  <c r="I48" i="2"/>
  <c r="M41" i="2"/>
  <c r="C48" i="2"/>
  <c r="M38" i="2"/>
  <c r="M42" i="2"/>
  <c r="C63" i="2"/>
  <c r="M52" i="2"/>
  <c r="M61" i="2"/>
  <c r="I33" i="2"/>
  <c r="M73" i="2"/>
  <c r="M47" i="2"/>
  <c r="M57" i="2"/>
  <c r="C78" i="2"/>
  <c r="M72" i="2"/>
  <c r="M58" i="2"/>
  <c r="M23" i="2"/>
  <c r="C33" i="2"/>
  <c r="M22" i="2"/>
  <c r="E33" i="2"/>
  <c r="M30" i="2"/>
  <c r="P39" i="2"/>
  <c r="P68" i="2"/>
  <c r="P23" i="2"/>
  <c r="P54" i="2"/>
  <c r="O15" i="2" l="1"/>
  <c r="O16" i="2" s="1"/>
  <c r="O17" i="2" s="1"/>
  <c r="M18" i="2"/>
  <c r="M123" i="2"/>
  <c r="M108" i="2"/>
  <c r="Q111" i="2"/>
  <c r="O112" i="2"/>
  <c r="P115" i="2"/>
  <c r="O97" i="2"/>
  <c r="Q96" i="2"/>
  <c r="P99" i="2"/>
  <c r="M93" i="2"/>
  <c r="P86" i="2"/>
  <c r="O82" i="2"/>
  <c r="Q81" i="2"/>
  <c r="M78" i="2"/>
  <c r="M63" i="2"/>
  <c r="M48" i="2"/>
  <c r="O52" i="2"/>
  <c r="Q52" i="2" s="1"/>
  <c r="M33" i="2"/>
  <c r="O37" i="2"/>
  <c r="O38" i="2" s="1"/>
  <c r="O39" i="2" s="1"/>
  <c r="O40" i="2" s="1"/>
  <c r="O41" i="2" s="1"/>
  <c r="O42" i="2" s="1"/>
  <c r="O43" i="2" s="1"/>
  <c r="O44" i="2" s="1"/>
  <c r="O45" i="2" s="1"/>
  <c r="O46" i="2" s="1"/>
  <c r="O47" i="2" s="1"/>
  <c r="Q66" i="2"/>
  <c r="O68" i="2"/>
  <c r="O69" i="2" s="1"/>
  <c r="O70" i="2" s="1"/>
  <c r="O71" i="2" s="1"/>
  <c r="O72" i="2" s="1"/>
  <c r="O73" i="2" s="1"/>
  <c r="O74" i="2" s="1"/>
  <c r="O75" i="2" s="1"/>
  <c r="O76" i="2" s="1"/>
  <c r="O77" i="2" s="1"/>
  <c r="Q51" i="2"/>
  <c r="O22" i="2"/>
  <c r="O23" i="2" s="1"/>
  <c r="O24" i="2" s="1"/>
  <c r="O25" i="2" s="1"/>
  <c r="O26" i="2" s="1"/>
  <c r="O27" i="2" s="1"/>
  <c r="O28" i="2" s="1"/>
  <c r="O29" i="2" s="1"/>
  <c r="O30" i="2" s="1"/>
  <c r="O31" i="2" s="1"/>
  <c r="O32" i="2" s="1"/>
  <c r="P69" i="2"/>
  <c r="P40" i="2"/>
  <c r="P55" i="2"/>
  <c r="P24" i="2"/>
  <c r="P116" i="2" l="1"/>
  <c r="O113" i="2"/>
  <c r="Q112" i="2"/>
  <c r="P100" i="2"/>
  <c r="O98" i="2"/>
  <c r="Q97" i="2"/>
  <c r="P87" i="2"/>
  <c r="O83" i="2"/>
  <c r="Q82" i="2"/>
  <c r="O53" i="2"/>
  <c r="O54" i="2" s="1"/>
  <c r="O55" i="2" s="1"/>
  <c r="O56" i="2" s="1"/>
  <c r="O57" i="2" s="1"/>
  <c r="O58" i="2" s="1"/>
  <c r="O59" i="2" s="1"/>
  <c r="O60" i="2" s="1"/>
  <c r="O61" i="2" s="1"/>
  <c r="O62" i="2" s="1"/>
  <c r="Q37" i="2"/>
  <c r="Q38" i="2"/>
  <c r="Q39" i="2"/>
  <c r="Q68" i="2"/>
  <c r="Q23" i="2"/>
  <c r="Q22" i="2"/>
  <c r="P25" i="2"/>
  <c r="Q24" i="2"/>
  <c r="P56" i="2"/>
  <c r="Q69" i="2"/>
  <c r="P70" i="2"/>
  <c r="P41" i="2"/>
  <c r="Q40" i="2"/>
  <c r="O114" i="2" l="1"/>
  <c r="Q113" i="2"/>
  <c r="P117" i="2"/>
  <c r="P101" i="2"/>
  <c r="O99" i="2"/>
  <c r="Q98" i="2"/>
  <c r="O84" i="2"/>
  <c r="Q83" i="2"/>
  <c r="P88" i="2"/>
  <c r="Q55" i="2"/>
  <c r="Q53" i="2"/>
  <c r="Q54" i="2"/>
  <c r="P42" i="2"/>
  <c r="Q41" i="2"/>
  <c r="P71" i="2"/>
  <c r="Q70" i="2"/>
  <c r="P57" i="2"/>
  <c r="Q56" i="2"/>
  <c r="Q25" i="2"/>
  <c r="P26" i="2"/>
  <c r="P118" i="2" l="1"/>
  <c r="O115" i="2"/>
  <c r="Q114" i="2"/>
  <c r="O100" i="2"/>
  <c r="Q99" i="2"/>
  <c r="P102" i="2"/>
  <c r="O85" i="2"/>
  <c r="Q84" i="2"/>
  <c r="P89" i="2"/>
  <c r="P27" i="2"/>
  <c r="Q26" i="2"/>
  <c r="Q57" i="2"/>
  <c r="P58" i="2"/>
  <c r="P72" i="2"/>
  <c r="Q71" i="2"/>
  <c r="P43" i="2"/>
  <c r="Q42" i="2"/>
  <c r="O116" i="2" l="1"/>
  <c r="Q115" i="2"/>
  <c r="P119" i="2"/>
  <c r="P103" i="2"/>
  <c r="O101" i="2"/>
  <c r="Q100" i="2"/>
  <c r="P90" i="2"/>
  <c r="O86" i="2"/>
  <c r="Q85" i="2"/>
  <c r="P44" i="2"/>
  <c r="Q43" i="2"/>
  <c r="P73" i="2"/>
  <c r="Q72" i="2"/>
  <c r="P59" i="2"/>
  <c r="Q58" i="2"/>
  <c r="Q27" i="2"/>
  <c r="P28" i="2"/>
  <c r="P120" i="2" l="1"/>
  <c r="O117" i="2"/>
  <c r="Q116" i="2"/>
  <c r="O102" i="2"/>
  <c r="Q101" i="2"/>
  <c r="P104" i="2"/>
  <c r="O87" i="2"/>
  <c r="Q86" i="2"/>
  <c r="P91" i="2"/>
  <c r="Q59" i="2"/>
  <c r="P60" i="2"/>
  <c r="Q73" i="2"/>
  <c r="P74" i="2"/>
  <c r="Q44" i="2"/>
  <c r="P45" i="2"/>
  <c r="Q28" i="2"/>
  <c r="P29" i="2"/>
  <c r="P121" i="2" l="1"/>
  <c r="O118" i="2"/>
  <c r="Q117" i="2"/>
  <c r="O103" i="2"/>
  <c r="Q102" i="2"/>
  <c r="P105" i="2"/>
  <c r="P92" i="2"/>
  <c r="O88" i="2"/>
  <c r="Q87" i="2"/>
  <c r="Q29" i="2"/>
  <c r="P30" i="2"/>
  <c r="Q45" i="2"/>
  <c r="P46" i="2"/>
  <c r="Q74" i="2"/>
  <c r="P75" i="2"/>
  <c r="Q60" i="2"/>
  <c r="P61" i="2"/>
  <c r="O119" i="2" l="1"/>
  <c r="Q118" i="2"/>
  <c r="P122" i="2"/>
  <c r="P106" i="2"/>
  <c r="O104" i="2"/>
  <c r="Q103" i="2"/>
  <c r="O89" i="2"/>
  <c r="Q88" i="2"/>
  <c r="P62" i="2"/>
  <c r="Q62" i="2" s="1"/>
  <c r="Q61" i="2"/>
  <c r="P76" i="2"/>
  <c r="Q75" i="2"/>
  <c r="P47" i="2"/>
  <c r="Q47" i="2" s="1"/>
  <c r="Q46" i="2"/>
  <c r="P31" i="2"/>
  <c r="Q30" i="2"/>
  <c r="O120" i="2" l="1"/>
  <c r="Q119" i="2"/>
  <c r="P107" i="2"/>
  <c r="O105" i="2"/>
  <c r="Q104" i="2"/>
  <c r="O90" i="2"/>
  <c r="Q89" i="2"/>
  <c r="Q31" i="2"/>
  <c r="P32" i="2"/>
  <c r="Q32" i="2" s="1"/>
  <c r="Q76" i="2"/>
  <c r="P77" i="2"/>
  <c r="Q77" i="2" s="1"/>
  <c r="O121" i="2" l="1"/>
  <c r="Q120" i="2"/>
  <c r="O106" i="2"/>
  <c r="Q105" i="2"/>
  <c r="O91" i="2"/>
  <c r="Q90" i="2"/>
  <c r="E8" i="14"/>
  <c r="K8" i="14"/>
  <c r="E28" i="14"/>
  <c r="F28" i="14"/>
  <c r="G28" i="14"/>
  <c r="I22" i="39"/>
  <c r="H22" i="39"/>
  <c r="G22" i="39"/>
  <c r="F22" i="39"/>
  <c r="E22" i="39"/>
  <c r="D22" i="39"/>
  <c r="C22" i="39"/>
  <c r="B22" i="39"/>
  <c r="H28" i="14"/>
  <c r="G39" i="14"/>
  <c r="E39" i="14"/>
  <c r="F39" i="14"/>
  <c r="C28" i="14"/>
  <c r="D28" i="14"/>
  <c r="B28" i="14"/>
  <c r="O122" i="2" l="1"/>
  <c r="Q122" i="2" s="1"/>
  <c r="Q121" i="2"/>
  <c r="O107" i="2"/>
  <c r="Q107" i="2" s="1"/>
  <c r="Q106" i="2"/>
  <c r="O92" i="2"/>
  <c r="Q92" i="2" s="1"/>
  <c r="Q91" i="2"/>
  <c r="C23" i="39"/>
  <c r="D23" i="39" s="1"/>
  <c r="E23" i="39" s="1"/>
  <c r="E15" i="39"/>
  <c r="D535" i="23"/>
  <c r="F535" i="23"/>
  <c r="G535" i="23"/>
  <c r="H535" i="23"/>
  <c r="I535" i="23"/>
  <c r="J535" i="23" l="1"/>
  <c r="B1980" i="32" l="1"/>
  <c r="E1" i="32" s="1"/>
  <c r="B15" i="16"/>
  <c r="F14" i="16"/>
  <c r="E14" i="16"/>
  <c r="F13" i="16"/>
  <c r="E13" i="16"/>
  <c r="F12" i="16"/>
  <c r="E12" i="16"/>
  <c r="F11" i="16"/>
  <c r="E11" i="16"/>
  <c r="F10" i="16"/>
  <c r="E10" i="16"/>
  <c r="F9" i="16"/>
  <c r="E9" i="16"/>
  <c r="F8" i="16"/>
  <c r="E8" i="16"/>
  <c r="F7" i="16"/>
  <c r="E7" i="16"/>
  <c r="F6" i="16"/>
  <c r="E6" i="16"/>
  <c r="F5" i="16"/>
  <c r="E5" i="16"/>
  <c r="F4" i="16"/>
  <c r="E4" i="16"/>
  <c r="F3" i="16"/>
  <c r="E3" i="16"/>
  <c r="A146" i="7"/>
  <c r="A142" i="7"/>
  <c r="A138" i="7"/>
  <c r="A134" i="7"/>
  <c r="A130" i="7"/>
  <c r="A88" i="7"/>
  <c r="A84" i="7"/>
  <c r="A80" i="7"/>
  <c r="A76" i="7"/>
  <c r="A72" i="7"/>
  <c r="A41" i="7"/>
  <c r="A37" i="7"/>
  <c r="V42" i="14"/>
  <c r="D39" i="14"/>
  <c r="C39" i="14"/>
  <c r="B39" i="14"/>
  <c r="E15" i="16" l="1"/>
  <c r="C15" i="16" s="1"/>
  <c r="F15" i="16"/>
  <c r="D15"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tc={0C269371-95DB-4229-BB2D-516A0F54FF4B}</author>
  </authors>
  <commentList>
    <comment ref="C18" authorId="0" shapeId="0" xr:uid="{0C269371-95DB-4229-BB2D-516A0F54FF4B}">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Y compris travaux évacuation 9 724 €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tc={C1F10AE9-78EB-4CE7-80A3-C75ADB1851E7}</author>
  </authors>
  <commentList>
    <comment ref="J394" authorId="0" shapeId="0" xr:uid="{C1F10AE9-78EB-4CE7-80A3-C75ADB1851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Nuit supplémentaire ajoutée envoyé directement par airbnb. La charge correspond au montant perçu par Hobe. O</t>
      </text>
    </comment>
  </commentList>
</comment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<sst xmlns="http://schemas.openxmlformats.org/spreadsheetml/2006/main" count="18090" uniqueCount="4047">
  <si>
    <t>En cours</t>
  </si>
  <si>
    <t>Sortie</t>
  </si>
  <si>
    <t>Guest</t>
  </si>
  <si>
    <t>N</t>
  </si>
  <si>
    <t>Versements</t>
  </si>
  <si>
    <t>Next</t>
  </si>
  <si>
    <t>GuestNext</t>
  </si>
  <si>
    <t>N2</t>
  </si>
  <si>
    <t>Apollinaire</t>
  </si>
  <si>
    <t>Jared Mendiola</t>
  </si>
  <si>
    <t>Maury</t>
  </si>
  <si>
    <t>Emily Summers</t>
  </si>
  <si>
    <t>Karla Gomez Suarez</t>
  </si>
  <si>
    <t>Bienvenue</t>
  </si>
  <si>
    <t>George Munro</t>
  </si>
  <si>
    <t>Joséphine</t>
  </si>
  <si>
    <t>Marilyn Miller</t>
  </si>
  <si>
    <t>Fay Julian</t>
  </si>
  <si>
    <t>Odessa</t>
  </si>
  <si>
    <t>EKay Carson</t>
  </si>
  <si>
    <t>Sidney Kabinoff</t>
  </si>
  <si>
    <t>A venir</t>
  </si>
  <si>
    <t>AirBNB</t>
  </si>
  <si>
    <t>Booking</t>
  </si>
  <si>
    <t>Janv</t>
  </si>
  <si>
    <t>Fév</t>
  </si>
  <si>
    <t>Mars</t>
  </si>
  <si>
    <t>Avril</t>
  </si>
  <si>
    <t>Mai</t>
  </si>
  <si>
    <t>Juin</t>
  </si>
  <si>
    <t>Juil</t>
  </si>
  <si>
    <t>Aout</t>
  </si>
  <si>
    <t>Sept</t>
  </si>
  <si>
    <t>Oct</t>
  </si>
  <si>
    <t>Nov</t>
  </si>
  <si>
    <t>Déc</t>
  </si>
  <si>
    <t>CA</t>
  </si>
  <si>
    <t>Prix Nuit</t>
  </si>
  <si>
    <t>Tx Rempl</t>
  </si>
  <si>
    <t>Total Revenus</t>
  </si>
  <si>
    <t>Cumul</t>
  </si>
  <si>
    <t>Réel</t>
  </si>
  <si>
    <t>Budget</t>
  </si>
  <si>
    <t>Delta</t>
  </si>
  <si>
    <t>2023</t>
  </si>
  <si>
    <t>Total 2023</t>
  </si>
  <si>
    <t>2024</t>
  </si>
  <si>
    <t>Total 2024</t>
  </si>
  <si>
    <t>2025</t>
  </si>
  <si>
    <t>Total 2025</t>
  </si>
  <si>
    <t>Prix nuit</t>
  </si>
  <si>
    <t>CA Mensuel</t>
  </si>
  <si>
    <t>Janvier</t>
  </si>
  <si>
    <t>Février</t>
  </si>
  <si>
    <t>Juillet</t>
  </si>
  <si>
    <t>Août</t>
  </si>
  <si>
    <t>Septembre</t>
  </si>
  <si>
    <t>Octobre</t>
  </si>
  <si>
    <t>Novembre</t>
  </si>
  <si>
    <t>Décembre</t>
  </si>
  <si>
    <t>Logements</t>
  </si>
  <si>
    <t>x</t>
  </si>
  <si>
    <t>Logement</t>
  </si>
  <si>
    <t>Date Ménage</t>
  </si>
  <si>
    <t>Location</t>
  </si>
  <si>
    <t>Source</t>
  </si>
  <si>
    <t>Date Début</t>
  </si>
  <si>
    <t>Nb Nuits</t>
  </si>
  <si>
    <t>Nuitée</t>
  </si>
  <si>
    <t>Prix</t>
  </si>
  <si>
    <t>Ménage</t>
  </si>
  <si>
    <t>Frais channel</t>
  </si>
  <si>
    <t>Frais Conciergerie</t>
  </si>
  <si>
    <t>Versement</t>
  </si>
  <si>
    <t>Charge</t>
  </si>
  <si>
    <t>Payé</t>
  </si>
  <si>
    <t>Note</t>
  </si>
  <si>
    <t>Statut</t>
  </si>
  <si>
    <t>guest_user.id</t>
  </si>
  <si>
    <t>phone</t>
  </si>
  <si>
    <t>Pays</t>
  </si>
  <si>
    <t>adults</t>
  </si>
  <si>
    <t>children</t>
  </si>
  <si>
    <t>infants</t>
  </si>
  <si>
    <t>pets</t>
  </si>
  <si>
    <t>Invoice_id</t>
  </si>
  <si>
    <t>upcoming</t>
  </si>
  <si>
    <t>4184487237</t>
  </si>
  <si>
    <t>Airbnb</t>
  </si>
  <si>
    <t>954848807121871122</t>
  </si>
  <si>
    <t>HMDB4Y2S58</t>
  </si>
  <si>
    <t>Michela F. Cellino</t>
  </si>
  <si>
    <t>+39 331 307 2613</t>
  </si>
  <si>
    <t>Cagliari, Italy</t>
  </si>
  <si>
    <t>4157992005</t>
  </si>
  <si>
    <t>Peter Dr. Geyer</t>
  </si>
  <si>
    <t>HM5N54X5Y3</t>
  </si>
  <si>
    <t>943936297025876458</t>
  </si>
  <si>
    <t>Nate Fors</t>
  </si>
  <si>
    <t>+1 816-377-8306</t>
  </si>
  <si>
    <t>KCMO, MO</t>
  </si>
  <si>
    <t>HMZSWPM9SA</t>
  </si>
  <si>
    <t>Rob Uguccioni</t>
  </si>
  <si>
    <t>+1 705-626-3078</t>
  </si>
  <si>
    <t>Sudbury, Canada</t>
  </si>
  <si>
    <t>HMXMHFEQQX</t>
  </si>
  <si>
    <t>12242574</t>
  </si>
  <si>
    <t>Paige M</t>
  </si>
  <si>
    <t>Scotland, United Kingdom</t>
  </si>
  <si>
    <t>HMZQHK4XCE</t>
  </si>
  <si>
    <t>Jessica Smith</t>
  </si>
  <si>
    <t>+61 400 900 404</t>
  </si>
  <si>
    <t>Adelaide, Australia</t>
  </si>
  <si>
    <t>HM35WYEWEX</t>
  </si>
  <si>
    <t>40386275</t>
  </si>
  <si>
    <t>Alec Cindy Masters</t>
  </si>
  <si>
    <t>+1 408-234-5471</t>
  </si>
  <si>
    <t>San Jose, CA</t>
  </si>
  <si>
    <t>HM8M8TBEWN</t>
  </si>
  <si>
    <t>Graham Wetter</t>
  </si>
  <si>
    <t>+1 403-860-4130</t>
  </si>
  <si>
    <t>Victoria, Canada</t>
  </si>
  <si>
    <t>US</t>
  </si>
  <si>
    <t>HMKNT9RE2T</t>
  </si>
  <si>
    <t>Paddy Nicol</t>
  </si>
  <si>
    <t>+1 604-816-2852</t>
  </si>
  <si>
    <t>Coquitlam, Canada</t>
  </si>
  <si>
    <t>New York, NY</t>
  </si>
  <si>
    <t>HM2AQ8F982</t>
  </si>
  <si>
    <t>Christopher Hawkins</t>
  </si>
  <si>
    <t>+44 7342 085576</t>
  </si>
  <si>
    <t>Porthcawl, United Kingdom</t>
  </si>
  <si>
    <t>HMB8AQFPSD</t>
  </si>
  <si>
    <t>Jeffrey Brown</t>
  </si>
  <si>
    <t>+64 21 529 745</t>
  </si>
  <si>
    <t>Mawheraiti, New Zealand</t>
  </si>
  <si>
    <t>HMNZA9BKXX</t>
  </si>
  <si>
    <t>Ricardo Peixinho</t>
  </si>
  <si>
    <t>+55 16 98874-6104</t>
  </si>
  <si>
    <t>SP, Brazil</t>
  </si>
  <si>
    <t>4018061716</t>
  </si>
  <si>
    <t>Claire Simon</t>
  </si>
  <si>
    <t>HMYS32XS9P</t>
  </si>
  <si>
    <t>626432680266005383</t>
  </si>
  <si>
    <t>+1 360-525-8181</t>
  </si>
  <si>
    <t>Seattle, WA</t>
  </si>
  <si>
    <t>HMANS3K5MS</t>
  </si>
  <si>
    <t>Poonam Kafle</t>
  </si>
  <si>
    <t>+1 423-693-9956</t>
  </si>
  <si>
    <t>HMAS9ZDQQ9</t>
  </si>
  <si>
    <t>Laura Chieffo</t>
  </si>
  <si>
    <t>+1 215-740-4352</t>
  </si>
  <si>
    <t>HMK2DXRSJ4</t>
  </si>
  <si>
    <t>Cheryl Southwick</t>
  </si>
  <si>
    <t>+1 619-517-8389</t>
  </si>
  <si>
    <t>San Diego, CA</t>
  </si>
  <si>
    <t>HMYQE4FR5W</t>
  </si>
  <si>
    <t>Andrew Winzenz</t>
  </si>
  <si>
    <t>+1 919-601-9491</t>
  </si>
  <si>
    <t>Cary, NC</t>
  </si>
  <si>
    <t>HMTCNPK23N</t>
  </si>
  <si>
    <t>Dina Temple-Raston</t>
  </si>
  <si>
    <t>+1 202-306-7449</t>
  </si>
  <si>
    <t>Manzanola, CO</t>
  </si>
  <si>
    <t>HMJJ9X55SE</t>
  </si>
  <si>
    <t>Rosy Ochoa Castellanos</t>
  </si>
  <si>
    <t>+52 33 3157 9854</t>
  </si>
  <si>
    <t>Guadalajara, Mexico</t>
  </si>
  <si>
    <t>HM5QQW9WK5</t>
  </si>
  <si>
    <t>Tony Finfrock</t>
  </si>
  <si>
    <t>+1 208-631-3126</t>
  </si>
  <si>
    <t>Boise, ID</t>
  </si>
  <si>
    <t>HMK3YJ5HBJ</t>
  </si>
  <si>
    <t>Christopher DeSena</t>
  </si>
  <si>
    <t>+1 301-538-5607</t>
  </si>
  <si>
    <t>HMHKBM3RHN</t>
  </si>
  <si>
    <t>Bitna Lim</t>
  </si>
  <si>
    <t>+1 901-422-4891</t>
  </si>
  <si>
    <t>HMJ4XCM43A</t>
  </si>
  <si>
    <t>Matthew Nafranowicz</t>
  </si>
  <si>
    <t>+1 608-698-8487</t>
  </si>
  <si>
    <t>Madison, WI</t>
  </si>
  <si>
    <t>HMJQ3439NY</t>
  </si>
  <si>
    <t>Tere Tenorio</t>
  </si>
  <si>
    <t>+1 414-426-4273</t>
  </si>
  <si>
    <t>HM39TNRJSZ</t>
  </si>
  <si>
    <t>Jessica Pearce</t>
  </si>
  <si>
    <t>+61 423 842 992</t>
  </si>
  <si>
    <t>AU</t>
  </si>
  <si>
    <t>HM8N3MS5QS</t>
  </si>
  <si>
    <t>Carver Pugh</t>
  </si>
  <si>
    <t>+1 443-744-9660</t>
  </si>
  <si>
    <t>Daniels, MD</t>
  </si>
  <si>
    <t>4144438075</t>
  </si>
  <si>
    <t>HM53PMQS3E</t>
  </si>
  <si>
    <t>Raquel Miqueli</t>
  </si>
  <si>
    <t>+1 404-218-5743</t>
  </si>
  <si>
    <t>Suwanee, GA</t>
  </si>
  <si>
    <t>4032156990</t>
  </si>
  <si>
    <t>HMY8NX2BYB</t>
  </si>
  <si>
    <t>William Kurnett</t>
  </si>
  <si>
    <t>+1 916-704-8857</t>
  </si>
  <si>
    <t>Loomis, CA</t>
  </si>
  <si>
    <t>HMFQ5EY9EC</t>
  </si>
  <si>
    <t>James Janosky</t>
  </si>
  <si>
    <t>+1 617-290-5098</t>
  </si>
  <si>
    <t>HM2EFHMSNK</t>
  </si>
  <si>
    <t>Hye-Jeong Tarkowski</t>
  </si>
  <si>
    <t>+1 847-477-6418</t>
  </si>
  <si>
    <t>HMR4BZR4MP</t>
  </si>
  <si>
    <t>+1 610-763-9973</t>
  </si>
  <si>
    <t>Sandra Mollard</t>
  </si>
  <si>
    <t>+41 79 277 15 05</t>
  </si>
  <si>
    <t>DE</t>
  </si>
  <si>
    <t>HMHEYQ2EPA</t>
  </si>
  <si>
    <t>Cara Cochran</t>
  </si>
  <si>
    <t>+1 864-915-0029</t>
  </si>
  <si>
    <t>Greenville, SC</t>
  </si>
  <si>
    <t>HMK2ATXFE3</t>
  </si>
  <si>
    <t>Trisha Salisbury</t>
  </si>
  <si>
    <t>+1 312-919-8182</t>
  </si>
  <si>
    <t>HM2J3WA5KQ</t>
  </si>
  <si>
    <t>Jaycie Fisher</t>
  </si>
  <si>
    <t>+1 937-336-1763</t>
  </si>
  <si>
    <t>West Alexandria, OH</t>
  </si>
  <si>
    <t>HMJKRM5YSF</t>
  </si>
  <si>
    <t>+64 210 343 006</t>
  </si>
  <si>
    <t>New Zealand</t>
  </si>
  <si>
    <t>4034491028</t>
  </si>
  <si>
    <t>Barbara Misterska-Dragan</t>
  </si>
  <si>
    <t>HMBYHNWBM5</t>
  </si>
  <si>
    <t>Jordan Whitaker</t>
  </si>
  <si>
    <t>+1 919-806-7772</t>
  </si>
  <si>
    <t>HMNFK5Y4HN</t>
  </si>
  <si>
    <t>David Boillat</t>
  </si>
  <si>
    <t>+33 6 09 20 21 36</t>
  </si>
  <si>
    <t>Bécon-les-Granits, France</t>
  </si>
  <si>
    <t>HMEFQXQM3Z</t>
  </si>
  <si>
    <t>Jazzmyn Howington</t>
  </si>
  <si>
    <t>+1 850-384-5271</t>
  </si>
  <si>
    <t>Savannah, GA</t>
  </si>
  <si>
    <t>HMTYYQZM4P</t>
  </si>
  <si>
    <t>Mike Leathen</t>
  </si>
  <si>
    <t>+1 608-790-2072</t>
  </si>
  <si>
    <t>Onalaska, WI</t>
  </si>
  <si>
    <t>HM45PEJ498</t>
  </si>
  <si>
    <t>Beatrice Price</t>
  </si>
  <si>
    <t>+1 719-221-2647</t>
  </si>
  <si>
    <t>Salida, CO</t>
  </si>
  <si>
    <t>HMRYSQYNKZ</t>
  </si>
  <si>
    <t>Lionel Heather Valmonte</t>
  </si>
  <si>
    <t>+1 201-742-2327</t>
  </si>
  <si>
    <t>Bayonne, NJ</t>
  </si>
  <si>
    <t>HMXNWQ49WQ</t>
  </si>
  <si>
    <t>Lauren Flader</t>
  </si>
  <si>
    <t>+1 469-713-7886</t>
  </si>
  <si>
    <t>Alexandria, VA</t>
  </si>
  <si>
    <t>HM5X9XFBCH</t>
  </si>
  <si>
    <t>Emily Cunningham</t>
  </si>
  <si>
    <t>+1 440-465-1335</t>
  </si>
  <si>
    <t>Rocky River, OH</t>
  </si>
  <si>
    <t>HMSM8ZJFQY</t>
  </si>
  <si>
    <t>Missy Williams</t>
  </si>
  <si>
    <t>+1 954-376-0370</t>
  </si>
  <si>
    <t>HM9EPCMAFR</t>
  </si>
  <si>
    <t>Jae Hong Park</t>
  </si>
  <si>
    <t>+1 214-437-8032</t>
  </si>
  <si>
    <t>Frisco, TX</t>
  </si>
  <si>
    <t>HMSZTJHKQX</t>
  </si>
  <si>
    <t>Wies Speleers</t>
  </si>
  <si>
    <t>+31 6 29303832</t>
  </si>
  <si>
    <t>Maastricht, Netherlands</t>
  </si>
  <si>
    <t>HMAZXMCWF2</t>
  </si>
  <si>
    <t>+507 6480-4878</t>
  </si>
  <si>
    <t>PA</t>
  </si>
  <si>
    <t>4067945378</t>
  </si>
  <si>
    <t>ü</t>
  </si>
  <si>
    <t>HM5HMRSAA5</t>
  </si>
  <si>
    <t>Current</t>
  </si>
  <si>
    <t>+1 919-518-5480</t>
  </si>
  <si>
    <t>HMPZ8ZHQCH</t>
  </si>
  <si>
    <t>+1 360-688-6450</t>
  </si>
  <si>
    <t>4019937393</t>
  </si>
  <si>
    <t>Complete</t>
  </si>
  <si>
    <t>HMYHW2SRBS</t>
  </si>
  <si>
    <t>Christian Mb</t>
  </si>
  <si>
    <t>+1 819-580-6850</t>
  </si>
  <si>
    <t>Rimouski, Canada</t>
  </si>
  <si>
    <t>HMRJ2RAAYH</t>
  </si>
  <si>
    <t>Volanda Zhu</t>
  </si>
  <si>
    <t>+1 412-377-8353</t>
  </si>
  <si>
    <t>CN</t>
  </si>
  <si>
    <t>HM2WNRTMTZ</t>
  </si>
  <si>
    <t>Leslie Willmott</t>
  </si>
  <si>
    <t>+1 917-297-9686</t>
  </si>
  <si>
    <t>HMD9BY44N3</t>
  </si>
  <si>
    <t>Xinqi Huang</t>
  </si>
  <si>
    <t>+44 7392 939338</t>
  </si>
  <si>
    <t>HM5ZDC5AA8</t>
  </si>
  <si>
    <t>Gal Guarracino</t>
  </si>
  <si>
    <t>+34 633 61 00 43</t>
  </si>
  <si>
    <t>ES</t>
  </si>
  <si>
    <t>HMCKNZER9R</t>
  </si>
  <si>
    <t>Laurel Koller</t>
  </si>
  <si>
    <t>+1 406-848-1714</t>
  </si>
  <si>
    <t>HMCSE52THJ</t>
  </si>
  <si>
    <t>+1 929-262-8226</t>
  </si>
  <si>
    <t>HMMD5YA9TR</t>
  </si>
  <si>
    <t>Indun Patrick</t>
  </si>
  <si>
    <t>+1 803-539-1858</t>
  </si>
  <si>
    <t>Charlotte, NC</t>
  </si>
  <si>
    <t>4007798901</t>
  </si>
  <si>
    <t>ROMUALD seillier</t>
  </si>
  <si>
    <t>HMYSM5CSB5</t>
  </si>
  <si>
    <t>Minchul Shin</t>
  </si>
  <si>
    <t>+41 76 315 40 52</t>
  </si>
  <si>
    <t>KR</t>
  </si>
  <si>
    <t>HM8TH3MRJQ</t>
  </si>
  <si>
    <t>Tanya Brown</t>
  </si>
  <si>
    <t>+1 646-388-2049</t>
  </si>
  <si>
    <t>HMC3XRHFBD</t>
  </si>
  <si>
    <t>Valerie Forrester</t>
  </si>
  <si>
    <t>+1 403-619-2476</t>
  </si>
  <si>
    <t>Calgary, Canada</t>
  </si>
  <si>
    <t>HMQ3KBNMX4</t>
  </si>
  <si>
    <t>Rosita Magras</t>
  </si>
  <si>
    <t>+590 690 38 99 13</t>
  </si>
  <si>
    <t>Saint-Barthélemy</t>
  </si>
  <si>
    <t>4262873062</t>
  </si>
  <si>
    <t>4012852336</t>
  </si>
  <si>
    <t>Aurelie Lambert</t>
  </si>
  <si>
    <t>HMDQDHWJW2</t>
  </si>
  <si>
    <t>Nicole Rogers</t>
  </si>
  <si>
    <t>+1 415-370-9544</t>
  </si>
  <si>
    <t>HMW4PS3RXD</t>
  </si>
  <si>
    <t>Diana Laura Villamar Carrillo</t>
  </si>
  <si>
    <t>+52 272 175 6625</t>
  </si>
  <si>
    <t>MX</t>
  </si>
  <si>
    <t>HMZK3F4DZ3</t>
  </si>
  <si>
    <t>Rachel Leibman</t>
  </si>
  <si>
    <t>+1 415-412-8071</t>
  </si>
  <si>
    <t>SF, CA</t>
  </si>
  <si>
    <t>HMBFP5SQPA</t>
  </si>
  <si>
    <t>Juliet Welch</t>
  </si>
  <si>
    <t>+1 917-838-7225</t>
  </si>
  <si>
    <t>IT</t>
  </si>
  <si>
    <t xml:space="preserve"> -   </t>
  </si>
  <si>
    <t>HMYS82ZPWC</t>
  </si>
  <si>
    <t>Lourdes Di Pietro</t>
  </si>
  <si>
    <t>+1 404-538-5176</t>
  </si>
  <si>
    <t>Decatur, GA</t>
  </si>
  <si>
    <t>HM2QAFQF49</t>
  </si>
  <si>
    <t>Timothy Lazaro</t>
  </si>
  <si>
    <t>+63 917 805 5987</t>
  </si>
  <si>
    <t>Vancouver, Canada</t>
  </si>
  <si>
    <t>HMZWQ3S44B</t>
  </si>
  <si>
    <t>Ping Lu</t>
  </si>
  <si>
    <t>+86 186 2173 3764</t>
  </si>
  <si>
    <t>China</t>
  </si>
  <si>
    <t>HMRZHESXFP</t>
  </si>
  <si>
    <t>Giulia Chiappe Chavez</t>
  </si>
  <si>
    <t>+51 981 044 941</t>
  </si>
  <si>
    <t>PE</t>
  </si>
  <si>
    <t>HMWZ5KHXA5</t>
  </si>
  <si>
    <t>Bruno Garcia</t>
  </si>
  <si>
    <t>+262 692 40 74 01</t>
  </si>
  <si>
    <t>RE</t>
  </si>
  <si>
    <t>4106611714</t>
  </si>
  <si>
    <t>HMBJFW8W9B</t>
  </si>
  <si>
    <t>Gale Castillo</t>
  </si>
  <si>
    <t>+1 323-533-2739</t>
  </si>
  <si>
    <t>HMS5BP9PAY</t>
  </si>
  <si>
    <t>Hà Hà</t>
  </si>
  <si>
    <t>+49 176 59968826</t>
  </si>
  <si>
    <t>Leipzig, Germany</t>
  </si>
  <si>
    <t>4206448053</t>
  </si>
  <si>
    <t>4183359334</t>
  </si>
  <si>
    <t>4184447904</t>
  </si>
  <si>
    <t>HME9NRAW2P</t>
  </si>
  <si>
    <t>+33 6 16 80 43 27</t>
  </si>
  <si>
    <t>Corvallis, OR</t>
  </si>
  <si>
    <t>4195835361</t>
  </si>
  <si>
    <t>HMERR8QYMJ</t>
  </si>
  <si>
    <t>수정 박</t>
  </si>
  <si>
    <t>+82 10-2482-9675</t>
  </si>
  <si>
    <t>Busan, South Korea</t>
  </si>
  <si>
    <t>HMXH8ZZT2B</t>
  </si>
  <si>
    <t>Josua Menzi</t>
  </si>
  <si>
    <t>+41 79 740 62 74</t>
  </si>
  <si>
    <t>Bütschwil, Switzerland</t>
  </si>
  <si>
    <t>HMS5RXT5NP</t>
  </si>
  <si>
    <t>Liz Heathfield</t>
  </si>
  <si>
    <t>+44 7960 160613</t>
  </si>
  <si>
    <t>England, United Kingdom</t>
  </si>
  <si>
    <t>HMTA8WYEXR</t>
  </si>
  <si>
    <t>Jihye Shin</t>
  </si>
  <si>
    <t>+82 10-3701-2819</t>
  </si>
  <si>
    <t>Seoul, South Korea</t>
  </si>
  <si>
    <t>HMKNFN3CWF</t>
  </si>
  <si>
    <t>Samy Bruttman</t>
  </si>
  <si>
    <t>+1 424-313-2147</t>
  </si>
  <si>
    <t>HMFJTZ45B9</t>
  </si>
  <si>
    <t>Gustavo Viescas</t>
  </si>
  <si>
    <t>+54 9 11 4538-0096</t>
  </si>
  <si>
    <t>AR</t>
  </si>
  <si>
    <t>4057872378</t>
  </si>
  <si>
    <t>Grégory Plasmanne</t>
  </si>
  <si>
    <t>HMQFJRZFQ4</t>
  </si>
  <si>
    <t>Adetokunbo Ibitoye</t>
  </si>
  <si>
    <t>+1 347-307-2103</t>
  </si>
  <si>
    <t>HMYHNXJRH9</t>
  </si>
  <si>
    <t>Janel Turner</t>
  </si>
  <si>
    <t>+1 910-381-5131</t>
  </si>
  <si>
    <t>4136025332</t>
  </si>
  <si>
    <t>EVELYNE MORENO</t>
  </si>
  <si>
    <t>HMYXEBXQEW</t>
  </si>
  <si>
    <t>Stéphane Corler</t>
  </si>
  <si>
    <t>+33 6 15 88 55 10</t>
  </si>
  <si>
    <t>Saint-Armel, France</t>
  </si>
  <si>
    <t>HM5QWDEDSZ</t>
  </si>
  <si>
    <t>Patricia Gil</t>
  </si>
  <si>
    <t>+1 703-906-0292</t>
  </si>
  <si>
    <t>Arlington, VA</t>
  </si>
  <si>
    <t>4193805592</t>
  </si>
  <si>
    <t>Jordi Espelt Boronat</t>
  </si>
  <si>
    <t>HM8MZEJY43</t>
  </si>
  <si>
    <t>Keagan Ó Guaire</t>
  </si>
  <si>
    <t>+61 401 604 245</t>
  </si>
  <si>
    <t>Melbourne, Australia</t>
  </si>
  <si>
    <t>HM9MEMXNDC</t>
  </si>
  <si>
    <t>Ebose Ehi-Bello</t>
  </si>
  <si>
    <t>+1 404-883-8173</t>
  </si>
  <si>
    <t>Winter Park, FL</t>
  </si>
  <si>
    <t>4032126867</t>
  </si>
  <si>
    <t>Eric Kowalski</t>
  </si>
  <si>
    <t>HMRPQ255QD</t>
  </si>
  <si>
    <t>Lien Van Den Haute</t>
  </si>
  <si>
    <t>+32 495 22 27 00</t>
  </si>
  <si>
    <t>Aalst, Belgium</t>
  </si>
  <si>
    <t>HMN29K2HRM</t>
  </si>
  <si>
    <t>Sandrine Neuveglise</t>
  </si>
  <si>
    <t>+33 6 16 70 02 11</t>
  </si>
  <si>
    <t>Saint-Loup-de-Varennes, France</t>
  </si>
  <si>
    <t>HMFQNJ9DBZ</t>
  </si>
  <si>
    <t>Tal Howard</t>
  </si>
  <si>
    <t>+1 978-933-1563</t>
  </si>
  <si>
    <t>Valparaiso, IN</t>
  </si>
  <si>
    <t>HM9ARHSQAA</t>
  </si>
  <si>
    <t>Rajiv Gandhi</t>
  </si>
  <si>
    <t>+1 708-663-1522</t>
  </si>
  <si>
    <t>HM4CSDSCPF</t>
  </si>
  <si>
    <t>Uday Bhoomagoud</t>
  </si>
  <si>
    <t>+1 214-697-9730</t>
  </si>
  <si>
    <t>Dallas, TX</t>
  </si>
  <si>
    <t>HMJT8M4KCZ</t>
  </si>
  <si>
    <t>Sonia Lal</t>
  </si>
  <si>
    <t>+61 481 323 967</t>
  </si>
  <si>
    <t>Epping, Australia</t>
  </si>
  <si>
    <t>HMAXXZSNWK</t>
  </si>
  <si>
    <t>洪彰 刘</t>
  </si>
  <si>
    <t>+86 135 7605 4310</t>
  </si>
  <si>
    <t>HMZ559J84R</t>
  </si>
  <si>
    <t>서영 주</t>
  </si>
  <si>
    <t>+1 707-812-2204</t>
  </si>
  <si>
    <t>HMH3BH9JY8</t>
  </si>
  <si>
    <t>Brent Cochran</t>
  </si>
  <si>
    <t>+1 443-254-2450</t>
  </si>
  <si>
    <t>HMCMZXFN89</t>
  </si>
  <si>
    <t>Chris LaFargue</t>
  </si>
  <si>
    <t>+1 925-586-7518</t>
  </si>
  <si>
    <t>Anaheim, CA</t>
  </si>
  <si>
    <t>HM2RW4WAYJ</t>
  </si>
  <si>
    <t>Benedict Klöckner</t>
  </si>
  <si>
    <t>+49 176 22971996</t>
  </si>
  <si>
    <t>Karlsruhe, Germany</t>
  </si>
  <si>
    <t>HMTP9HKTTY</t>
  </si>
  <si>
    <t>Liam Murray</t>
  </si>
  <si>
    <t>+1 914-355-0845</t>
  </si>
  <si>
    <t>HM9884YKE4</t>
  </si>
  <si>
    <t>Antonia Schirgi</t>
  </si>
  <si>
    <t>+43 650 3922788</t>
  </si>
  <si>
    <t>4214720281</t>
  </si>
  <si>
    <t>Lester Soon</t>
  </si>
  <si>
    <t>HM5JXPJFDH</t>
  </si>
  <si>
    <t>Heather Sadura</t>
  </si>
  <si>
    <t>+1 519-835-7252</t>
  </si>
  <si>
    <t>Toronto, Canada</t>
  </si>
  <si>
    <t>HM48RJHR58</t>
  </si>
  <si>
    <t>Eka Rusadze</t>
  </si>
  <si>
    <t>+1 917-353-3451</t>
  </si>
  <si>
    <t>4202977762</t>
  </si>
  <si>
    <t>Sevic Lazar</t>
  </si>
  <si>
    <t>HMZRBHAKES</t>
  </si>
  <si>
    <t>Mahana Romanoff</t>
  </si>
  <si>
    <t>+689 87 28 07 80</t>
  </si>
  <si>
    <t>Paparā, French Polynesia</t>
  </si>
  <si>
    <t>4254934035</t>
  </si>
  <si>
    <t>Jean-Pierre Clairembeaud</t>
  </si>
  <si>
    <t>4122831363</t>
  </si>
  <si>
    <t>Antonella Brunetti</t>
  </si>
  <si>
    <t>4040211216</t>
  </si>
  <si>
    <t>Steven Wheatley</t>
  </si>
  <si>
    <t>HMSSXEBEQC</t>
  </si>
  <si>
    <t>Karen Ouellette</t>
  </si>
  <si>
    <t>+1 514-581-4443</t>
  </si>
  <si>
    <t>La Prairie, Canada</t>
  </si>
  <si>
    <t>HMT9JHPDHE</t>
  </si>
  <si>
    <t>Wijdan Fahad</t>
  </si>
  <si>
    <t>+966 50 591 7377</t>
  </si>
  <si>
    <t>SA</t>
  </si>
  <si>
    <t>HMYQWYZYKW</t>
  </si>
  <si>
    <t>Jacob Schach Møller</t>
  </si>
  <si>
    <t>+45 61 65 87 91</t>
  </si>
  <si>
    <t>DK</t>
  </si>
  <si>
    <t>HMQA82C9RW</t>
  </si>
  <si>
    <t>Bela Silva</t>
  </si>
  <si>
    <t>+32 471 31 50 26</t>
  </si>
  <si>
    <t>Brussels, Belgium</t>
  </si>
  <si>
    <t>HMKWRYE92C</t>
  </si>
  <si>
    <t>Karen Wu</t>
  </si>
  <si>
    <t>+852 9652 1229</t>
  </si>
  <si>
    <t>Hong Kong, Hong Kong</t>
  </si>
  <si>
    <t>HMT935W8RM</t>
  </si>
  <si>
    <t>Kevin Gonzalez</t>
  </si>
  <si>
    <t>+1 682-206-2120</t>
  </si>
  <si>
    <t>Haslet, TX</t>
  </si>
  <si>
    <t>HMC2XTKTZS</t>
  </si>
  <si>
    <t>Casey B.</t>
  </si>
  <si>
    <t>+1 630-400-7519</t>
  </si>
  <si>
    <t>Atlanta, GA</t>
  </si>
  <si>
    <t>HMSTJ5NQYK</t>
  </si>
  <si>
    <t>Balint Halmos</t>
  </si>
  <si>
    <t>+36 70 290 4028</t>
  </si>
  <si>
    <t>Bp, Hungary</t>
  </si>
  <si>
    <t>HME9ECABRC</t>
  </si>
  <si>
    <t>Faustine Sauvajon</t>
  </si>
  <si>
    <t>+32 476 93 31 74</t>
  </si>
  <si>
    <t>HMZWQ5P4NS</t>
  </si>
  <si>
    <t>Agnieszka Rujner</t>
  </si>
  <si>
    <t>Józefowo, Poland</t>
  </si>
  <si>
    <t>HMDD5NQ5F3</t>
  </si>
  <si>
    <t>Athina Kyriazi</t>
  </si>
  <si>
    <t>+30 698 198 2227</t>
  </si>
  <si>
    <t>GR</t>
  </si>
  <si>
    <t>HM5C5B3DC2</t>
  </si>
  <si>
    <t>Karineb Bou</t>
  </si>
  <si>
    <t>Pontivy, France</t>
  </si>
  <si>
    <t>HMH3STSH5S</t>
  </si>
  <si>
    <t>Lianna Aharon</t>
  </si>
  <si>
    <t>HMBXADDKFS</t>
  </si>
  <si>
    <t>Alexa Mazur</t>
  </si>
  <si>
    <t>London, United Kingdom</t>
  </si>
  <si>
    <t>HMNMTKNTAP</t>
  </si>
  <si>
    <t>Juliana Emy Yokomizo</t>
  </si>
  <si>
    <t>São Paulo, Brazil</t>
  </si>
  <si>
    <t>HM8SDAY58N</t>
  </si>
  <si>
    <t>Michał Błaszczyk</t>
  </si>
  <si>
    <t>Łódź, Poland</t>
  </si>
  <si>
    <t>HMD88FM2HM</t>
  </si>
  <si>
    <t>Sally Hughson</t>
  </si>
  <si>
    <t>HMN38YYKRD</t>
  </si>
  <si>
    <t>Matt Mcallister</t>
  </si>
  <si>
    <t>+1 785-383-0849</t>
  </si>
  <si>
    <t>Belfast, United Kingdom</t>
  </si>
  <si>
    <t>HM89PWREQK</t>
  </si>
  <si>
    <t>Diane Sanchez-Marion</t>
  </si>
  <si>
    <t>Miami, FL</t>
  </si>
  <si>
    <t>HMEHYRYSE4</t>
  </si>
  <si>
    <t>Catherine Bierbach</t>
  </si>
  <si>
    <t>HMYTSRYMT8</t>
  </si>
  <si>
    <t>Abigail Ball</t>
  </si>
  <si>
    <t>Portland, OR</t>
  </si>
  <si>
    <t>HMQPESS9XW</t>
  </si>
  <si>
    <t>Lucie Barzizza</t>
  </si>
  <si>
    <t>Tarascon, France</t>
  </si>
  <si>
    <t>HMDK45E52H</t>
  </si>
  <si>
    <t>Lisa Leuper</t>
  </si>
  <si>
    <t>HMBZTDEYJ8</t>
  </si>
  <si>
    <t>Natalie Costantino</t>
  </si>
  <si>
    <t>HMCATWPD2F</t>
  </si>
  <si>
    <t>Caroline Doolub</t>
  </si>
  <si>
    <t>NSW, Australia</t>
  </si>
  <si>
    <t>HMTMQ5YQT3</t>
  </si>
  <si>
    <t>Birgit Divita</t>
  </si>
  <si>
    <t>Prince Edward, Canada</t>
  </si>
  <si>
    <t>HM4T4MYERM</t>
  </si>
  <si>
    <t>Yaya 用户</t>
  </si>
  <si>
    <t>HMCE2BQZB4</t>
  </si>
  <si>
    <t>Taoufik Bennis</t>
  </si>
  <si>
    <t>MA</t>
  </si>
  <si>
    <t>HMZAY9Z5MY</t>
  </si>
  <si>
    <t>Julia Murphy</t>
  </si>
  <si>
    <t>Marblehead, MA</t>
  </si>
  <si>
    <t>HMQW4RSP24</t>
  </si>
  <si>
    <t>Maria Elisa Moreno</t>
  </si>
  <si>
    <t>Guate, Guatemala</t>
  </si>
  <si>
    <t>HMMHHCCB8Z</t>
  </si>
  <si>
    <t>Tamara Kurz</t>
  </si>
  <si>
    <t>Rastatt, Germany</t>
  </si>
  <si>
    <t>HM2J9N95WJ</t>
  </si>
  <si>
    <t>Saskia Sotzko</t>
  </si>
  <si>
    <t>HM98TZR38Q</t>
  </si>
  <si>
    <t>André Nassif</t>
  </si>
  <si>
    <t>Niterói, Brazil</t>
  </si>
  <si>
    <t>HMM4HPPRA5</t>
  </si>
  <si>
    <t>Nancy Brown</t>
  </si>
  <si>
    <t>Wilson, NC</t>
  </si>
  <si>
    <t>HM88HE8QDM</t>
  </si>
  <si>
    <t>Lara Blom</t>
  </si>
  <si>
    <t>Bronxville, NY</t>
  </si>
  <si>
    <t>HM8MK5MR9B</t>
  </si>
  <si>
    <t>Vivian Wolloh</t>
  </si>
  <si>
    <t>HMQQN5REJ3</t>
  </si>
  <si>
    <t>Marta Ciudad</t>
  </si>
  <si>
    <t>Salamanca, Spain</t>
  </si>
  <si>
    <t>HMJR2TF5MR</t>
  </si>
  <si>
    <t>Rhoda Lam</t>
  </si>
  <si>
    <t>HMWE25Y3YY</t>
  </si>
  <si>
    <t>780119835479756211</t>
  </si>
  <si>
    <t>Noor Goudrar</t>
  </si>
  <si>
    <t>Versailles, France</t>
  </si>
  <si>
    <t>HMFMNXAS5X</t>
  </si>
  <si>
    <t>Eder Cervantes</t>
  </si>
  <si>
    <t>Tulare, CA</t>
  </si>
  <si>
    <t>HMNW8CXAJA</t>
  </si>
  <si>
    <t>Corinne Stettler</t>
  </si>
  <si>
    <t>Bern, Switzerland</t>
  </si>
  <si>
    <t>HMK9YR4MXN</t>
  </si>
  <si>
    <t>Rivka Haviv</t>
  </si>
  <si>
    <t>IL</t>
  </si>
  <si>
    <t>HM2QKY82CQ</t>
  </si>
  <si>
    <t>Katja Imfeld</t>
  </si>
  <si>
    <t>Baar, Switzerland</t>
  </si>
  <si>
    <t>HMEYBZB39E</t>
  </si>
  <si>
    <t>Gerald Enright</t>
  </si>
  <si>
    <t>HM3HYKMPMJ</t>
  </si>
  <si>
    <t>Alanna Peet</t>
  </si>
  <si>
    <t>Philadelphia, PA</t>
  </si>
  <si>
    <t>HMCDFTT493</t>
  </si>
  <si>
    <t>Tom Dao</t>
  </si>
  <si>
    <t>Orinda, CA</t>
  </si>
  <si>
    <t>HMFHCXHZAW</t>
  </si>
  <si>
    <t>Nik Kontrimas</t>
  </si>
  <si>
    <t>HMEFSBB8T2</t>
  </si>
  <si>
    <t>Mohamed Ramdani</t>
  </si>
  <si>
    <t>Boissise-la-Bertrand, France</t>
  </si>
  <si>
    <t>HMSYEDR4AE</t>
  </si>
  <si>
    <t>Marie Ménard</t>
  </si>
  <si>
    <t>Paris, France</t>
  </si>
  <si>
    <t>HMX9WZW8RD</t>
  </si>
  <si>
    <t>Mathieu Gérardy</t>
  </si>
  <si>
    <t>Nilvange, France</t>
  </si>
  <si>
    <t>HMCZABZZEC</t>
  </si>
  <si>
    <t>Regina White</t>
  </si>
  <si>
    <t>HMDNERXQDY</t>
  </si>
  <si>
    <t>Lea Obermüller</t>
  </si>
  <si>
    <t>Garching, Germany</t>
  </si>
  <si>
    <t>HMX98B4Q92</t>
  </si>
  <si>
    <t>Sylvette Francois</t>
  </si>
  <si>
    <t>Clamart, France</t>
  </si>
  <si>
    <t>HMSFTZN3JC</t>
  </si>
  <si>
    <t>Camille Echalier</t>
  </si>
  <si>
    <t>Besançon, France</t>
  </si>
  <si>
    <t>HMKMY4SEER</t>
  </si>
  <si>
    <t>Willy Andreani</t>
  </si>
  <si>
    <t>Plouescat, France</t>
  </si>
  <si>
    <t>HM4XYZXC3Z</t>
  </si>
  <si>
    <t>Marisa Gref</t>
  </si>
  <si>
    <t>Issy-les-Moulineaux, France</t>
  </si>
  <si>
    <t>Property name</t>
  </si>
  <si>
    <t>Booker name</t>
  </si>
  <si>
    <t>Genius booker</t>
  </si>
  <si>
    <t>Arrival</t>
  </si>
  <si>
    <t>Departure</t>
  </si>
  <si>
    <t>Booked on</t>
  </si>
  <si>
    <t>Status</t>
  </si>
  <si>
    <t>Total payment</t>
  </si>
  <si>
    <t>Commission</t>
  </si>
  <si>
    <t>Currency</t>
  </si>
  <si>
    <t>Reservation number</t>
  </si>
  <si>
    <t>OK</t>
  </si>
  <si>
    <t>Annulée</t>
  </si>
  <si>
    <t>Code Réservation</t>
  </si>
  <si>
    <t>listing_id</t>
  </si>
  <si>
    <t>booked_date</t>
  </si>
  <si>
    <t>full_name</t>
  </si>
  <si>
    <t>adukts</t>
  </si>
  <si>
    <t>canceled_by_guest</t>
  </si>
  <si>
    <t>canceled_by_admin</t>
  </si>
  <si>
    <t>Cedar Rapids, IA</t>
  </si>
  <si>
    <t>current</t>
  </si>
  <si>
    <t>complete</t>
  </si>
  <si>
    <t>Traitements à réaliser</t>
  </si>
  <si>
    <t>Logs</t>
  </si>
  <si>
    <t>Clés Airbnb</t>
  </si>
  <si>
    <t>Informations sur les logements</t>
  </si>
  <si>
    <t>Informations sur les channels</t>
  </si>
  <si>
    <t>Key API Airbnb</t>
  </si>
  <si>
    <t>d306zoyjsyarp7ifhu67rjxn52tv0t20</t>
  </si>
  <si>
    <t xml:space="preserve"> </t>
  </si>
  <si>
    <t>ID airbnb</t>
  </si>
  <si>
    <t>Titre</t>
  </si>
  <si>
    <t>Comm</t>
  </si>
  <si>
    <t>id Booking_id</t>
  </si>
  <si>
    <t>Cookie _aat</t>
  </si>
  <si>
    <t>Loft - Calme &amp; Élégant - Au coeur de Montparnasse</t>
  </si>
  <si>
    <t>L'Artiste - Loft Calme - Au coeur de Montparnasse</t>
  </si>
  <si>
    <t>ses Booking</t>
  </si>
  <si>
    <t>Cookie esadm</t>
  </si>
  <si>
    <t>02UmFuZG9tSVYkc2RlIyh9YbxZGyl9Y5%2BPFdl%2FiQDsoXHKnot8M84NEoNxp9Hh7n%2B7eROfQvlaj1A%3D</t>
  </si>
  <si>
    <t>id</t>
  </si>
  <si>
    <t>Code</t>
  </si>
  <si>
    <t>Download Paiements</t>
  </si>
  <si>
    <t>file:///C:/Users/ange_/OneDrive/LMNP/Synchronisation/</t>
  </si>
  <si>
    <t>Montparnasse 2 pièces 28 m2, Calme et Lumineux</t>
  </si>
  <si>
    <t>Dir Download</t>
  </si>
  <si>
    <t>C:\Users\ange_\Downloads\</t>
  </si>
  <si>
    <t>Code Objet Json Airbnb</t>
  </si>
  <si>
    <t>id Colonne</t>
  </si>
  <si>
    <t>Intitulé</t>
  </si>
  <si>
    <t>confirmation_code</t>
  </si>
  <si>
    <t>start_date</t>
  </si>
  <si>
    <t>end_date</t>
  </si>
  <si>
    <t>listing_name</t>
  </si>
  <si>
    <t>nights</t>
  </si>
  <si>
    <t>guest_user.full_name</t>
  </si>
  <si>
    <t>guest_user.phone</t>
  </si>
  <si>
    <t>guest_user.location</t>
  </si>
  <si>
    <t>pays</t>
  </si>
  <si>
    <t>guest_details.number_of_adults</t>
  </si>
  <si>
    <t>guest_details.number_of_children</t>
  </si>
  <si>
    <t>guest_details.number_of_infants</t>
  </si>
  <si>
    <t>guest_details.number_of_pets</t>
  </si>
  <si>
    <t>earnings</t>
  </si>
  <si>
    <t>user_facing_status_key</t>
  </si>
  <si>
    <t>host_vat_invoices(0).id</t>
  </si>
  <si>
    <t>listing_id_str</t>
  </si>
  <si>
    <t>HMZN948QFA</t>
  </si>
  <si>
    <t>Crispin Leyser</t>
  </si>
  <si>
    <t>+1 323-377-9205</t>
  </si>
  <si>
    <t>Los Angeles, CA</t>
  </si>
  <si>
    <t>HMMZJN3JH2</t>
  </si>
  <si>
    <t>Marlene Mason</t>
  </si>
  <si>
    <t>+61 419 408 743</t>
  </si>
  <si>
    <t>4716248688</t>
  </si>
  <si>
    <t>AirBnB</t>
  </si>
  <si>
    <t>R Ghose</t>
  </si>
  <si>
    <t>4468958425</t>
  </si>
  <si>
    <t>HMW2NB5S3Y</t>
  </si>
  <si>
    <t>Thomas Ellis</t>
  </si>
  <si>
    <t>+1 215-284-3935</t>
  </si>
  <si>
    <t>HM4WADAKZA</t>
  </si>
  <si>
    <t>SueAnn Walentuk</t>
  </si>
  <si>
    <t>+1 561-247-1303</t>
  </si>
  <si>
    <t>Delray Beach, FL</t>
  </si>
  <si>
    <t>4731844990</t>
  </si>
  <si>
    <t>Mitsutaka Aoki</t>
  </si>
  <si>
    <t>4725822722</t>
  </si>
  <si>
    <t>HMMYTXMZRP</t>
  </si>
  <si>
    <t>Catherine Hamilton</t>
  </si>
  <si>
    <t>HMBATJCCQB</t>
  </si>
  <si>
    <t>Hannaa Ingar</t>
  </si>
  <si>
    <t>+262 693 92 08 09</t>
  </si>
  <si>
    <t>Saint-Leu, Reunion</t>
  </si>
  <si>
    <t>HM2HQFY3SB</t>
  </si>
  <si>
    <t>Jordan Farris</t>
  </si>
  <si>
    <t>+1 805-415-2253</t>
  </si>
  <si>
    <t>Ventura, CA</t>
  </si>
  <si>
    <t>4606104804</t>
  </si>
  <si>
    <t>4840337148</t>
  </si>
  <si>
    <t>HMKP2CRFQW</t>
  </si>
  <si>
    <t>Sohee Park</t>
  </si>
  <si>
    <t>+44 7926 782945</t>
  </si>
  <si>
    <t>GB</t>
  </si>
  <si>
    <t>HM35YW8B33</t>
  </si>
  <si>
    <t>Cristina Meneguello</t>
  </si>
  <si>
    <t>+55 1981123122</t>
  </si>
  <si>
    <t>pending</t>
  </si>
  <si>
    <t>HMT3SZ8QDF</t>
  </si>
  <si>
    <t>Nadia Ortega</t>
  </si>
  <si>
    <t>+1 619-309-5742</t>
  </si>
  <si>
    <t>HMEPQ2WBB5</t>
  </si>
  <si>
    <t>Christen Fisher</t>
  </si>
  <si>
    <t>+1 704-614-3316</t>
  </si>
  <si>
    <t>HMPPX38PEQ</t>
  </si>
  <si>
    <t>Esra Özlem Özümüztoprak</t>
  </si>
  <si>
    <t>+90 532 210 25 06</t>
  </si>
  <si>
    <t>İstanbul, Türkiye</t>
  </si>
  <si>
    <t>HMDACZJ94M</t>
  </si>
  <si>
    <t>Enrici Ferri</t>
  </si>
  <si>
    <t>+1 954-937-0705</t>
  </si>
  <si>
    <t>HMZ3YANB93</t>
  </si>
  <si>
    <t>Joanne Greaves</t>
  </si>
  <si>
    <t>+44 7971 523740</t>
  </si>
  <si>
    <t>Corfe Mullen, United Kingdom</t>
  </si>
  <si>
    <t>HMWQ4TT9YX</t>
  </si>
  <si>
    <t>수희 임</t>
  </si>
  <si>
    <t>+82 10-8770-0154</t>
  </si>
  <si>
    <t>HMX4KFJH3X</t>
  </si>
  <si>
    <t>Tara Lieser</t>
  </si>
  <si>
    <t>+1 952-270-7115</t>
  </si>
  <si>
    <t>Minneapolis, MN</t>
  </si>
  <si>
    <t>HMPCN8WP9Q</t>
  </si>
  <si>
    <t>Taipei City, Taiwan</t>
  </si>
  <si>
    <t>Ebuka Mofunanya</t>
  </si>
  <si>
    <t>4918593632</t>
  </si>
  <si>
    <t>Notations</t>
  </si>
  <si>
    <t>Total</t>
  </si>
  <si>
    <t>12 mois</t>
  </si>
  <si>
    <t>12 Mois</t>
  </si>
  <si>
    <t>Campinas, Brazil</t>
  </si>
  <si>
    <t>EUR</t>
  </si>
  <si>
    <t>HMFRCHWWBD</t>
  </si>
  <si>
    <t>Shannon Yap</t>
  </si>
  <si>
    <t>+1 425-586-0696</t>
  </si>
  <si>
    <t>HM5JBZW929</t>
  </si>
  <si>
    <t>Caleb Wong</t>
  </si>
  <si>
    <t>+1 954-562-5489</t>
  </si>
  <si>
    <t>HMMZRFSXPS</t>
  </si>
  <si>
    <t>Ryan Good-Worth</t>
  </si>
  <si>
    <t>+1 424-274-8277</t>
  </si>
  <si>
    <t>HMQPQSTQRA</t>
  </si>
  <si>
    <t>Dorian Li</t>
  </si>
  <si>
    <t>+86 185 9178 8519</t>
  </si>
  <si>
    <t>Xi'An, China</t>
  </si>
  <si>
    <t>HM2ESEW3R5</t>
  </si>
  <si>
    <t>Scott Kramer</t>
  </si>
  <si>
    <t>+1 612-251-8552</t>
  </si>
  <si>
    <t>+1 416-465-8578</t>
  </si>
  <si>
    <t>HM382XX8BN</t>
  </si>
  <si>
    <t>Tevfik Murat Yildirim</t>
  </si>
  <si>
    <t>+47 41 38 72 14</t>
  </si>
  <si>
    <t>Stavanger, Norway</t>
  </si>
  <si>
    <t>HMWMSKPAMR</t>
  </si>
  <si>
    <t>Deborah Whitby</t>
  </si>
  <si>
    <t>+1 512-297-3290</t>
  </si>
  <si>
    <t>Austin, TX</t>
  </si>
  <si>
    <t>HMEP4YKFJ3</t>
  </si>
  <si>
    <t>Renee Rappaport</t>
  </si>
  <si>
    <t>+1 202-607-9191</t>
  </si>
  <si>
    <t>Elise Nowak</t>
  </si>
  <si>
    <t>4837335018</t>
  </si>
  <si>
    <t>Lore Crauwels</t>
  </si>
  <si>
    <t>4812841621</t>
  </si>
  <si>
    <t>HMEZSZA4TN</t>
  </si>
  <si>
    <t>Kyle Martini</t>
  </si>
  <si>
    <t>+1 503-707-5312</t>
  </si>
  <si>
    <t>Tigard, OR</t>
  </si>
  <si>
    <t>HM3XPSFWRY</t>
  </si>
  <si>
    <t>César Sayegh</t>
  </si>
  <si>
    <t>+41 76 392 06 97</t>
  </si>
  <si>
    <t>Zürich, Switzerland</t>
  </si>
  <si>
    <t>HM5YWD23C4</t>
  </si>
  <si>
    <t>Hal Smith</t>
  </si>
  <si>
    <t>Auburn, AL</t>
  </si>
  <si>
    <t>Hiroaki Hashimukai</t>
  </si>
  <si>
    <t>4676494816</t>
  </si>
  <si>
    <t>HMPQCANHF9</t>
  </si>
  <si>
    <t>Victoria Boccella</t>
  </si>
  <si>
    <t>+1 856-237-9154</t>
  </si>
  <si>
    <t>Jersey City, NJ</t>
  </si>
  <si>
    <t>HMRC9QT55T</t>
  </si>
  <si>
    <t>Susie Hammerling</t>
  </si>
  <si>
    <t>+1 262-662-2361</t>
  </si>
  <si>
    <t>Dade City, FL</t>
  </si>
  <si>
    <t>HM5ECQQYQE</t>
  </si>
  <si>
    <t>Roie Shushan</t>
  </si>
  <si>
    <t>+972 52-377-1898</t>
  </si>
  <si>
    <t>Tel Aviv-Yafo, Israel</t>
  </si>
  <si>
    <t>HM98D29SJW</t>
  </si>
  <si>
    <t>Stephen Colgan</t>
  </si>
  <si>
    <t>+1 905-703-7109</t>
  </si>
  <si>
    <t>Halton Hills, Canada</t>
  </si>
  <si>
    <t>HMWTDFM539</t>
  </si>
  <si>
    <t>Stephanie Szatan</t>
  </si>
  <si>
    <t>+1 214-616-4074</t>
  </si>
  <si>
    <t>HMDRJADRS4</t>
  </si>
  <si>
    <t>Luis Morales Guajardo</t>
  </si>
  <si>
    <t>+52 55 8032 6405</t>
  </si>
  <si>
    <t>México D.F., Mexico</t>
  </si>
  <si>
    <t>Date</t>
  </si>
  <si>
    <t>Lofts</t>
  </si>
  <si>
    <t>HM2KFFRP8B</t>
  </si>
  <si>
    <t>Ying Zhao</t>
  </si>
  <si>
    <t>+1 253-571-8590</t>
  </si>
  <si>
    <t>HMQBFFQYQN</t>
  </si>
  <si>
    <t>Kate Rothwell</t>
  </si>
  <si>
    <t>+44 7880 796935</t>
  </si>
  <si>
    <t>Mottram in Longdendale, United Kingdom</t>
  </si>
  <si>
    <t>4460305343</t>
  </si>
  <si>
    <t>HMYZX4AWNB</t>
  </si>
  <si>
    <t>Mj Harris</t>
  </si>
  <si>
    <t>+1 404-906-0369</t>
  </si>
  <si>
    <t>en €</t>
  </si>
  <si>
    <t>HME2CAEKSB</t>
  </si>
  <si>
    <t>Cheryl Peh</t>
  </si>
  <si>
    <t>+65 9189 1545</t>
  </si>
  <si>
    <t>Singapore</t>
  </si>
  <si>
    <t>HM82MN3Y35</t>
  </si>
  <si>
    <t>Hasnae Alami</t>
  </si>
  <si>
    <t>+212 631-252525</t>
  </si>
  <si>
    <t>Tangier, Morocco</t>
  </si>
  <si>
    <t>HMYJM4JFMW</t>
  </si>
  <si>
    <t>Tuba Habib</t>
  </si>
  <si>
    <t>+1 929-513-7602</t>
  </si>
  <si>
    <t>NY, United States</t>
  </si>
  <si>
    <t>HMMTWS5MPM</t>
  </si>
  <si>
    <t>Green Valley, AZ</t>
  </si>
  <si>
    <t>HM3C4N43FM</t>
  </si>
  <si>
    <t>May Le Goff</t>
  </si>
  <si>
    <t>+1 646-330-7002</t>
  </si>
  <si>
    <t>HMBJ4X3M5A</t>
  </si>
  <si>
    <t>Auguste Jarusauskaite</t>
  </si>
  <si>
    <t>+44 7902 835558</t>
  </si>
  <si>
    <t>HMSSDWKH3F</t>
  </si>
  <si>
    <t>Marie-Claude Nolin</t>
  </si>
  <si>
    <t>+1 418-580-0021</t>
  </si>
  <si>
    <t>HMBAE95DJW</t>
  </si>
  <si>
    <t>María Fonseca</t>
  </si>
  <si>
    <t>+58 414-6598501</t>
  </si>
  <si>
    <t>VE</t>
  </si>
  <si>
    <t>+1 803-673-2874</t>
  </si>
  <si>
    <t>HMQ9Y4DSAZ</t>
  </si>
  <si>
    <t>Lauren Oetting</t>
  </si>
  <si>
    <t>+1 631-413-2228</t>
  </si>
  <si>
    <t>Wading River, NY</t>
  </si>
  <si>
    <t>HMCSWQKP5T</t>
  </si>
  <si>
    <t>Colleen Fox</t>
  </si>
  <si>
    <t>+1 610-888-9641</t>
  </si>
  <si>
    <t>HM3EAXJEMT</t>
  </si>
  <si>
    <t>Laura Stropoli</t>
  </si>
  <si>
    <t>+1 646-406-1243</t>
  </si>
  <si>
    <t>NY, NY</t>
  </si>
  <si>
    <t>HMQ3C5Z4K5</t>
  </si>
  <si>
    <t>Brooke Hazael-Massieux</t>
  </si>
  <si>
    <t>+1 231-640-0060</t>
  </si>
  <si>
    <t>Délai Résa</t>
  </si>
  <si>
    <t>Mois Résa</t>
  </si>
  <si>
    <t>Seuil</t>
  </si>
  <si>
    <t>&lt;=30 Jours</t>
  </si>
  <si>
    <t>&gt;180 Jours</t>
  </si>
  <si>
    <t>30-60 Jours</t>
  </si>
  <si>
    <t>90-180 Jours</t>
  </si>
  <si>
    <t>60-90 Jours</t>
  </si>
  <si>
    <t>2025-04</t>
  </si>
  <si>
    <t>2025-01</t>
  </si>
  <si>
    <t>2024-12</t>
  </si>
  <si>
    <t>2024-11</t>
  </si>
  <si>
    <t>2024-10</t>
  </si>
  <si>
    <t>2024-09</t>
  </si>
  <si>
    <t>2024-08</t>
  </si>
  <si>
    <t>2024-07</t>
  </si>
  <si>
    <t>2024-06</t>
  </si>
  <si>
    <t>2024-05</t>
  </si>
  <si>
    <t>2024-04</t>
  </si>
  <si>
    <t>2024-03</t>
  </si>
  <si>
    <t>2024-02</t>
  </si>
  <si>
    <t>2024-01</t>
  </si>
  <si>
    <t>2023-12</t>
  </si>
  <si>
    <t>2023-11</t>
  </si>
  <si>
    <t>2023-10</t>
  </si>
  <si>
    <t>2023-09</t>
  </si>
  <si>
    <t>2023-08</t>
  </si>
  <si>
    <t>2023-07</t>
  </si>
  <si>
    <t>2023-06</t>
  </si>
  <si>
    <t>2023-04</t>
  </si>
  <si>
    <t>2023-03</t>
  </si>
  <si>
    <t>2023-01</t>
  </si>
  <si>
    <t>2022-12</t>
  </si>
  <si>
    <t>2022-11</t>
  </si>
  <si>
    <t>2022-10</t>
  </si>
  <si>
    <t>2022-09</t>
  </si>
  <si>
    <t>2022-08</t>
  </si>
  <si>
    <t>2022-07</t>
  </si>
  <si>
    <t>2022-06</t>
  </si>
  <si>
    <t>2022-05</t>
  </si>
  <si>
    <t>2021-10</t>
  </si>
  <si>
    <t>2021-08</t>
  </si>
  <si>
    <t>2021-07</t>
  </si>
  <si>
    <t>2021-05</t>
  </si>
  <si>
    <t>2021-01</t>
  </si>
  <si>
    <t>2020-12</t>
  </si>
  <si>
    <t>2020-01</t>
  </si>
  <si>
    <t>y</t>
  </si>
  <si>
    <t>HMTK8TBAKF</t>
  </si>
  <si>
    <t>Jason Fredrick</t>
  </si>
  <si>
    <t>+1 510-766-9753</t>
  </si>
  <si>
    <t>HMDDHYDNWN</t>
  </si>
  <si>
    <t>Dominic Fragale</t>
  </si>
  <si>
    <t>+1 901-216-4367</t>
  </si>
  <si>
    <t>Memphis, TN</t>
  </si>
  <si>
    <t>HMEB4ZAR8Q</t>
  </si>
  <si>
    <t>Ruchi Vohra</t>
  </si>
  <si>
    <t>+91 97572 34027</t>
  </si>
  <si>
    <t>IN</t>
  </si>
  <si>
    <t>Nitzan Shalev</t>
  </si>
  <si>
    <t>4627691909</t>
  </si>
  <si>
    <t>HMWCCQ9AWT</t>
  </si>
  <si>
    <t>Odette Lemieux</t>
  </si>
  <si>
    <t>+1 418-575-0061</t>
  </si>
  <si>
    <t>Québec City, Canada</t>
  </si>
  <si>
    <t>HMPRYTAHKT</t>
  </si>
  <si>
    <t>Agnes Monti</t>
  </si>
  <si>
    <t>+49 171 1446439</t>
  </si>
  <si>
    <t>BE</t>
  </si>
  <si>
    <t>HMZYBZXRKK</t>
  </si>
  <si>
    <t>Ian Dawn</t>
  </si>
  <si>
    <t>+44 7958 502444</t>
  </si>
  <si>
    <t>Derby, United Kingdom</t>
  </si>
  <si>
    <t>Codes réservation</t>
  </si>
  <si>
    <t>Code accès</t>
  </si>
  <si>
    <t>HM3Z89KZ38</t>
  </si>
  <si>
    <t>Michael Neuwirth</t>
  </si>
  <si>
    <t>+1 917-628-8818</t>
  </si>
  <si>
    <t xml:space="preserve"> Herr Knut Seuring</t>
  </si>
  <si>
    <t>4814591341</t>
  </si>
  <si>
    <t>HMTE8X83PM</t>
  </si>
  <si>
    <t>Ramasharan Laxminarayan</t>
  </si>
  <si>
    <t>+44 7825 447939</t>
  </si>
  <si>
    <t>HMF9BQ99ND</t>
  </si>
  <si>
    <t>Code réservation</t>
  </si>
  <si>
    <t>listing_id2</t>
  </si>
  <si>
    <t>Booking_date</t>
  </si>
  <si>
    <t>guest user</t>
  </si>
  <si>
    <t>2025-05</t>
  </si>
  <si>
    <t>Typologie Emails AirBnb</t>
  </si>
  <si>
    <t xml:space="preserve">RE : </t>
  </si>
  <si>
    <t>a laissé un commentaire</t>
  </si>
  <si>
    <t>Réservation confirmée</t>
  </si>
  <si>
    <t>Activité du compte</t>
  </si>
  <si>
    <t>Un versement de</t>
  </si>
  <si>
    <t>Laissez un commentaire</t>
  </si>
  <si>
    <t>Demande pour</t>
  </si>
  <si>
    <t>Problème de paiement</t>
  </si>
  <si>
    <t>Tâche effectuée</t>
  </si>
  <si>
    <t>Demande en attente</t>
  </si>
  <si>
    <t>Donnez-nous votre avis</t>
  </si>
  <si>
    <t>a laissé une évaluation</t>
  </si>
  <si>
    <t>RE:</t>
  </si>
  <si>
    <t>RE :</t>
  </si>
  <si>
    <t>attend votre commentaire</t>
  </si>
  <si>
    <t>ayout was sent</t>
  </si>
  <si>
    <t>Message via messagerie airbnb</t>
  </si>
  <si>
    <t>Commentaire laissé par un guest</t>
  </si>
  <si>
    <t>Un versement a été effectué</t>
  </si>
  <si>
    <t>Demande pour un appartement</t>
  </si>
  <si>
    <t>Une tâche effectuée</t>
  </si>
  <si>
    <t>Sondage airbnb</t>
  </si>
  <si>
    <t>Evaluation laissée par un guest</t>
  </si>
  <si>
    <t>Réponse</t>
  </si>
  <si>
    <t>Attent votre commentaire</t>
  </si>
  <si>
    <t>Versement effectué</t>
  </si>
  <si>
    <t>Inconnu</t>
  </si>
  <si>
    <t>Texte</t>
  </si>
  <si>
    <t>2026</t>
  </si>
  <si>
    <t>Ch2</t>
  </si>
  <si>
    <t>Versement2</t>
  </si>
  <si>
    <t>Annulation</t>
  </si>
  <si>
    <t>AirBnb</t>
  </si>
  <si>
    <t>HMAXAP39FM</t>
  </si>
  <si>
    <t>Eldad Ilani</t>
  </si>
  <si>
    <t>+972 54-830-0718</t>
  </si>
  <si>
    <t>HMCQRTYDK5</t>
  </si>
  <si>
    <t>Isabelle Versepuy</t>
  </si>
  <si>
    <t>+33 6 64 95 47 16</t>
  </si>
  <si>
    <t>FR</t>
  </si>
  <si>
    <t>Portefeuille</t>
  </si>
  <si>
    <t>4525834999</t>
  </si>
  <si>
    <t>HMS4394J9Y</t>
  </si>
  <si>
    <t>Sue Easton</t>
  </si>
  <si>
    <t>Kitchener, Canada</t>
  </si>
  <si>
    <t>HMHWJ9TJ4Y</t>
  </si>
  <si>
    <t>C Koop</t>
  </si>
  <si>
    <t>+31 6 16940321</t>
  </si>
  <si>
    <t>Roosendaal, Netherlands</t>
  </si>
  <si>
    <t>Historique Free Cash Flow</t>
  </si>
  <si>
    <t>Guesty</t>
  </si>
  <si>
    <t>N-1</t>
  </si>
  <si>
    <t>HMRAZ2KDZJ</t>
  </si>
  <si>
    <t>Kaitong Hu</t>
  </si>
  <si>
    <t>+33 7 78 39 29 08</t>
  </si>
  <si>
    <t>HMYPZ4E4KA</t>
  </si>
  <si>
    <t>Josh Heywood</t>
  </si>
  <si>
    <t>+44 7917 333092</t>
  </si>
  <si>
    <t>Renfrew, United Kingdom</t>
  </si>
  <si>
    <t>HMHR24CXFB</t>
  </si>
  <si>
    <t>Lisa Simutami</t>
  </si>
  <si>
    <t>Chapel Hill, NC</t>
  </si>
  <si>
    <t>HMD4TYDSSM</t>
  </si>
  <si>
    <t>Alessandro Montemaggiori</t>
  </si>
  <si>
    <t>+39 333 433 8010</t>
  </si>
  <si>
    <t>4460562427</t>
  </si>
  <si>
    <t>Authorization</t>
  </si>
  <si>
    <t>URL1</t>
  </si>
  <si>
    <t>URL2</t>
  </si>
  <si>
    <t>62b8251cb85056c0c93f69e6</t>
  </si>
  <si>
    <t>Guesty ID</t>
  </si>
  <si>
    <t>https://app.guesty.com/api/reservations-reports/owner-portal/views/</t>
  </si>
  <si>
    <t>obj.data(0)._id</t>
  </si>
  <si>
    <t>obj.data(0).status.children</t>
  </si>
  <si>
    <t>obj.data(0).listingNickname.name</t>
  </si>
  <si>
    <t>obj.data(0).listingId.children</t>
  </si>
  <si>
    <t>obj.data(0).bookedNights.children</t>
  </si>
  <si>
    <t>awaiting_payment</t>
  </si>
  <si>
    <t>checked-in</t>
  </si>
  <si>
    <t>confirmed</t>
  </si>
  <si>
    <t>canceled</t>
  </si>
  <si>
    <t>Full_Name</t>
  </si>
  <si>
    <t>Listing_Id</t>
  </si>
  <si>
    <t>NbNuits</t>
  </si>
  <si>
    <t>Adults</t>
  </si>
  <si>
    <t>Children</t>
  </si>
  <si>
    <t>Infants</t>
  </si>
  <si>
    <t>672c9288bd52280010d9bad8</t>
  </si>
  <si>
    <t>672c9265a689710012eb3c90</t>
  </si>
  <si>
    <t>672c92bd0f95e1001361a6a7</t>
  </si>
  <si>
    <t>HMRTSEMF9W</t>
  </si>
  <si>
    <t>Michael Kremliovsky</t>
  </si>
  <si>
    <t>+1 619-247-3912</t>
  </si>
  <si>
    <t>Poway, CA</t>
  </si>
  <si>
    <t>4420086532</t>
  </si>
  <si>
    <t xml:space="preserve">Solde : </t>
  </si>
  <si>
    <t>Viktoria Kirnakova</t>
  </si>
  <si>
    <t>Michel Gibert</t>
  </si>
  <si>
    <t>4973405715</t>
  </si>
  <si>
    <t>4453347338</t>
  </si>
  <si>
    <t>Grand 2 pièces -Calme- idéal long séjour- 2/4 pers</t>
  </si>
  <si>
    <t>HM8Z8355FT</t>
  </si>
  <si>
    <t>Laguna Hills, CA</t>
  </si>
  <si>
    <t>4887081205</t>
  </si>
  <si>
    <t>KdDnXIZcVp0HBF2pzzVDHvNqE0CwxVnp</t>
  </si>
  <si>
    <t>API Key</t>
  </si>
  <si>
    <t>id Guesty</t>
  </si>
  <si>
    <t>URLPrix</t>
  </si>
  <si>
    <t>https://app.guesty.com/api/revenue-analytics/analytics/listings/idLogement/calendar?from=dateDebut&amp;to=dateFin&amp;fields=date+status+note+price</t>
  </si>
  <si>
    <t>Marissa Lopez</t>
  </si>
  <si>
    <t>4907729994</t>
  </si>
  <si>
    <t>HM5SK8YT52</t>
  </si>
  <si>
    <t>Longueuil, Canada</t>
  </si>
  <si>
    <t>Koen Putman</t>
  </si>
  <si>
    <t>HMKHKB9SJ5</t>
  </si>
  <si>
    <t>+31 6 50216340</t>
  </si>
  <si>
    <t>Amsterdam, The Netherlands</t>
  </si>
  <si>
    <t>4089012711</t>
  </si>
  <si>
    <t>AIRBNB</t>
  </si>
  <si>
    <t>Total 2026</t>
  </si>
  <si>
    <t>% Total</t>
  </si>
  <si>
    <t>LES LOFTS MONTPARNASSE</t>
  </si>
  <si>
    <t>LANCEMENT PROCEDURES AUTOMATIQUES</t>
  </si>
  <si>
    <t>HM9DXTA2WJ</t>
  </si>
  <si>
    <t>Rhonda Lundquist
2 guests</t>
  </si>
  <si>
    <t>HMDNBW33EY</t>
  </si>
  <si>
    <t>Blacksburg, VA</t>
  </si>
  <si>
    <t>Carlton, Australia</t>
  </si>
  <si>
    <t>HMCMZTHQPW</t>
  </si>
  <si>
    <t>Ilse De Jong</t>
  </si>
  <si>
    <t>+31 6 23786904</t>
  </si>
  <si>
    <t>The Hague, Netherlands</t>
  </si>
  <si>
    <t>SuiviPaiement</t>
  </si>
  <si>
    <t>d24 nov.2024</t>
  </si>
  <si>
    <t>1 190,00 €</t>
  </si>
  <si>
    <t>850,00 €</t>
  </si>
  <si>
    <t>Gia Vitarelli
3 adults</t>
  </si>
  <si>
    <t>910,00 €</t>
  </si>
  <si>
    <t>4347714337</t>
  </si>
  <si>
    <t>Canceled</t>
  </si>
  <si>
    <t>HMQYFDZHF5</t>
  </si>
  <si>
    <t>Kelly Marchal</t>
  </si>
  <si>
    <t>+1 804-339-3827</t>
  </si>
  <si>
    <t>Richmond, VA</t>
  </si>
  <si>
    <t>HMY5EN5R2Q</t>
  </si>
  <si>
    <t>Simone Kässmann</t>
  </si>
  <si>
    <t>+49 177 3099171</t>
  </si>
  <si>
    <t>Cologne, Germany</t>
  </si>
  <si>
    <t>1 250,00 €</t>
  </si>
  <si>
    <t>4603612125</t>
  </si>
  <si>
    <t>775,00 €</t>
  </si>
  <si>
    <t>4823518365</t>
  </si>
  <si>
    <t>HMSX2KAT49</t>
  </si>
  <si>
    <t>Olivier Bos</t>
  </si>
  <si>
    <t>+31 6 20958720</t>
  </si>
  <si>
    <t>Halsteren, Netherlands</t>
  </si>
  <si>
    <t>HM8EHBBDBR</t>
  </si>
  <si>
    <t>Maria Schwartz</t>
  </si>
  <si>
    <t>+1 949-395-8852</t>
  </si>
  <si>
    <t>San Clemente, CA</t>
  </si>
  <si>
    <t>Channel</t>
  </si>
  <si>
    <t>Type</t>
  </si>
  <si>
    <t>17-12-24 09:06:37</t>
  </si>
  <si>
    <t>Rapport quotidien (Apollinaire - Luxury Loft - Heart of Montparnasse)</t>
  </si>
  <si>
    <t>17-12-24 10:41:55</t>
  </si>
  <si>
    <t>16 décembre 2024 - 20 décembre 2024 : Ilse</t>
  </si>
  <si>
    <t>17-12-24 11:08:55</t>
  </si>
  <si>
    <t>Ryan vous a laissé un commentaire</t>
  </si>
  <si>
    <t>17-12-24 18:36:34</t>
  </si>
  <si>
    <t>24 décembre 2024 - 27 décembre 2024 : Dominic</t>
  </si>
  <si>
    <t>17-12-24 18:42:34</t>
  </si>
  <si>
    <t>17-12-24 18:56:34</t>
  </si>
  <si>
    <t>23 novembre 2024 - 2 janvier 2025 : Tevfik Murat</t>
  </si>
  <si>
    <t>17-12-24 19:10:34</t>
  </si>
  <si>
    <t>Message de Elisabeth LONDE</t>
  </si>
  <si>
    <t>17-12-24 20:24:34</t>
  </si>
  <si>
    <t>Message de Marissa Lopez</t>
  </si>
  <si>
    <t>NOTIFICATIONS</t>
  </si>
  <si>
    <t>18-12-24 09:09:29</t>
  </si>
  <si>
    <t>18-12-2024 | 09.09 | Rapport quotidien (Apollinaire - Luxury Loft - Heart of Montparnasse) | Voici un aperçu de ce qui vous attend pour la journée.</t>
  </si>
  <si>
    <t>18-12-2024 14.40</t>
  </si>
  <si>
    <t>Annulation_x000D_
#4889951253 (Rupali Sharma) \n1 x Apollinaire</t>
  </si>
  <si>
    <t>18-12-2024 18.04</t>
  </si>
  <si>
    <t>16 décembre 2024 - 20 décembre 2024 : Ilse_x000D_
Ok, laissez-moi essayer. Si cela ne fonctionne pas</t>
  </si>
  <si>
    <t>19-12-2024 09.08</t>
  </si>
  <si>
    <t>Rapport quotidien (Apollinaire - Luxury Loft - Heart of Montparnasse)_x000D_
Voici un aperçu de ce qui vous attend pour la jour</t>
  </si>
  <si>
    <t>19-12-2024 09.55</t>
  </si>
  <si>
    <t>23 novembre 2024 - 2 janvier 2025 : Tevfik Murat_x000D_
Merci. Le processus de livraison m'a semblé compli</t>
  </si>
  <si>
    <t>19-12-2024 10.10</t>
  </si>
  <si>
    <t>Nouvelle réservation pour le dim. 23 mars 2025 pour 10 nuits  _x000D_
#4655113164 1 x Apollinaire\n Montant total: EUR 3800.00</t>
  </si>
  <si>
    <t>19-12-2024 12.08</t>
  </si>
  <si>
    <t>16 décembre 2024 - 20 décembre 2024 : Ilse_x000D_
Bonjour, pourriez-vous s'il vous plaît expliquer comment utiliser l'inducti</t>
  </si>
  <si>
    <t>19-12-2024 12.09</t>
  </si>
  <si>
    <t>16 décembre 2024 - 20 décembre 2024 : Ilse_x000D_
Ok. Hoe est-ce que je mets le chauffage ?</t>
  </si>
  <si>
    <t>19-12-2024 12.11</t>
  </si>
  <si>
    <t>16 décembre 2024 - 20 décembre 2024 : Ilse_x000D_
Oui s'il vous plaît \uD83D\uDE00</t>
  </si>
  <si>
    <t>19-12-2024 23.06</t>
  </si>
  <si>
    <t xml:space="preserve">Pelagia a effectué une réservation_x000D_
Pelagia a effectué une Réservation instantanée pour votre logement pour le </t>
  </si>
  <si>
    <t>19-12-24 22:07</t>
  </si>
  <si>
    <t>Réservation confirmée : Pelagia Stefanoudaki arrive le 24 janv._x000D_
Airbnb Nouvelle réservation confirmée ! Pelagia arrive le 24 janv. Envoyez un message pour confirmer les détails de l&amp;#39;entrée dans les lieux ou pour souhaiter la bienvenue à Pelagia. Pelagia</t>
  </si>
  <si>
    <t>HMC8XK5HER</t>
  </si>
  <si>
    <t>Pelagia Stefanoudaki</t>
  </si>
  <si>
    <t>+30 694 269 5349</t>
  </si>
  <si>
    <t>20-12-2024 11.41</t>
  </si>
  <si>
    <t>Message de Marissa Lopez_x000D_
It has been amazing. Thank you so much!</t>
  </si>
  <si>
    <t>20-12-2024 11.02</t>
  </si>
  <si>
    <t>23 novembre 2024 - 2 janvier 2025 : Tevfik Murat_x000D_
Merci !</t>
  </si>
  <si>
    <t>20-12-2024 14.16</t>
  </si>
  <si>
    <t>Airbnb_x000D_
Qu'avez-vous pensé de votre voyageur, Ilse ? Rédigez un commentaire pour pa</t>
  </si>
  <si>
    <t>20-12-24 13:16</t>
  </si>
  <si>
    <t>Laissez un commentaire sur le groupe de Ilse_x000D_
Airbnb Comment s&amp;#39;est passé le séjour de votre voyageur, Ilse ? Indiquez au groupe de Ilse ce que vous avez aimé et ce qui peut être amélioré Le groupe de Ilse vient de quitter les lieux, c&amp;#39;est</t>
  </si>
  <si>
    <t>Email</t>
  </si>
  <si>
    <t>Notation</t>
  </si>
  <si>
    <t>Automate</t>
  </si>
  <si>
    <t>20-12-24 17:34</t>
  </si>
  <si>
    <t>=&gt; Note de 5 pour Maury le 07-12-2024</t>
  </si>
  <si>
    <t>21-12-2024 09.53</t>
  </si>
  <si>
    <t>Message de Marissa Lopez_x000D_
The apartment is cleared and the key is in the key box. If we left anything</t>
  </si>
  <si>
    <t>App'</t>
  </si>
  <si>
    <t>21-12-2024 08.08</t>
  </si>
  <si>
    <t>3 janvier 2025 - 2 février 2025 : Shannon_x000D_
Bonjour Alessandra, vous pouvez m'envoyer un message à shannon.yap@hotmail.</t>
  </si>
  <si>
    <t>21-12-2024 10.45</t>
  </si>
  <si>
    <t>Message de Nitzan Shalev_x000D_
Hi, just FYI, we're on our way to drop the luggage off. We should arrive at</t>
  </si>
  <si>
    <t>App</t>
  </si>
  <si>
    <t>21-12-2024 12.45</t>
  </si>
  <si>
    <t>3 janvier 2025 - 2 février 2025 : Shannon_x000D_
Bonjour Alessandra, j'ai reçu l'e-mail et j'ai une question concernant « Un</t>
  </si>
  <si>
    <t>21-12-24 12:39</t>
  </si>
  <si>
    <t>Un versement de 234,85 € a été envoyé_x000D_
Airbnb Versement de 234,85 € envoyé Un versement de 234,85 € vous a été émis. Ce versement devrait parvenir sur votre compte au plus tard le 27 décembre 2024, compte tenu des week-ends et jours fériés.</t>
  </si>
  <si>
    <t>21-12-24 20:39</t>
  </si>
  <si>
    <t>Paiement</t>
  </si>
  <si>
    <t>=&gt; 234,85 € versés pour la réservation Maury du 20/12/2024</t>
  </si>
  <si>
    <t>22-12-2024 02.14</t>
  </si>
  <si>
    <t>Annulation_x000D_
#4655113164 (AMIR NOURIZADEH) \n1 x Apollinaire</t>
  </si>
  <si>
    <t>22-12-2024 02.28</t>
  </si>
  <si>
    <t>Nouvelle réservation pour le mar. 20 mai 2025 pour 5 nuits  _x000D_
#4845700436 1 x Loft Maury\n Montant total: EUR 1475.00</t>
  </si>
  <si>
    <t>22-12-2024 06.41</t>
  </si>
  <si>
    <t>Nouvelle réservation pour le mar. 27 mai 2025 pour 6 nuits  _x000D_
#4428282181 1 x Loft Maury\n Montant total: EUR 1770.00</t>
  </si>
  <si>
    <t>22-12-2024 08.56</t>
  </si>
  <si>
    <t xml:space="preserve">3 janvier 2025 - 2 février 2025 : Shannon_x000D_
Bonjour Alessandra, j'ai envoyé une copie de mon passeport ici. Faites-moi </t>
  </si>
  <si>
    <t>22-12-2024 08.58</t>
  </si>
  <si>
    <t>3 janvier 2025 - 2 février 2025 : Shannon_x000D_
J'ai également répondu à l'e-mail avec la même image de passeport</t>
  </si>
  <si>
    <t>22-12-2024 09.06</t>
  </si>
  <si>
    <t>Rapport quotidien (Apollinaire - Luxury Loft - Heart of Montparnasse)_x000D_
Voici un aperçu de ce qui vous attend pour la journée.</t>
  </si>
  <si>
    <t>22-12-24 12:39</t>
  </si>
  <si>
    <t>Un versement de 332,35 € a été envoyé_x000D_
Airbnb Versement de 332,35 € envoyé Un versement de 332,35 € vous a été émis. Ce versement devrait parvenir sur votre compte au plus tard le 27 décembre 2024, compte tenu des week-ends et jours fériés.</t>
  </si>
  <si>
    <t>22-12-2024 14.46</t>
  </si>
  <si>
    <t>22-12-24 13:46</t>
  </si>
  <si>
    <t>Annulation de la réservation HM2DM9ZEKR (21–24 déc. 2024)_x000D_
Ces dates peuvent désormais être réservées par d&amp;#39;autres voyageurs Airbnb Réservation annulée L&amp;#39;Artiste - Loft Calme - Au coeur de Montparnasse L&amp;#39;Artiste - Loft Calme - Au coeur de</t>
  </si>
  <si>
    <t>22-12-2024 16.28</t>
  </si>
  <si>
    <t>Message de DONG HWAN SEO_x000D_
Check in time may be delayed than the expected time.</t>
  </si>
  <si>
    <t>22-12-24 16:35</t>
  </si>
  <si>
    <t>Réservation</t>
  </si>
  <si>
    <t>La réservation HM2DM9ZEKR a été supprimée.</t>
  </si>
  <si>
    <t>22-12-2024 16.56</t>
  </si>
  <si>
    <t>Annulation_x000D_
#4307505015 (DONG HWAN SEO) \n1 x Apollinaire</t>
  </si>
  <si>
    <t>22-12-2024 20.30</t>
  </si>
  <si>
    <t>23 novembre 2024 - 2 janvier 2025 : Tevfik Murat_x000D_
Rebonjour, puis-je avoir le nom complet associé au 43 Avenue du Maine (le n</t>
  </si>
  <si>
    <t>22-12-2024 20.33</t>
  </si>
  <si>
    <t>23 novembre 2024 - 2 janvier 2025 : Tevfik Murat_x000D_
Merci bc !</t>
  </si>
  <si>
    <t>Andy a annulé sa réservation
L'arrivée était prévue le 21–24 déc. 2024 dans le logement suivant : L'Arti</t>
  </si>
  <si>
    <t>22-12-2024 20.55</t>
  </si>
  <si>
    <t>Nouvelle réservation pour le sam. 24 mai 2025 pour 3 nuits  _x000D_
#4397270804 1 x Apollinaire\n Montant total: EUR 1440.00</t>
  </si>
  <si>
    <t>23-12-2024 03.28</t>
  </si>
  <si>
    <t>Annulation_x000D_
#4477363648 (Fanny Tan) \n1 x Apollinaire</t>
  </si>
  <si>
    <t>23-12-2024 07.54</t>
  </si>
  <si>
    <t>38866908924_x000D_
%evtprm3</t>
  </si>
  <si>
    <t>23-12-2024 09.09</t>
  </si>
  <si>
    <t>23-12-2024 09.46</t>
  </si>
  <si>
    <t xml:space="preserve">Valerie a effectué une réservation_x000D_
Valerie a effectué une Réservation instantanée pour votre logement pour le </t>
  </si>
  <si>
    <t>23-12-24 08:47</t>
  </si>
  <si>
    <t>Réservation confirmée : Valerie Armino arrive le 16 janv._x000D_
Airbnb Nouvelle réservation confirmée ! Valerie arrive le 16 janv. Envoyez un message pour confirmer les détails de l&amp;#39;entrée dans les lieux ou pour souhaiter la bienvenue à Valerie. Valerie</t>
  </si>
  <si>
    <t>HMRRPKNWB4</t>
  </si>
  <si>
    <t>Valerie Armino</t>
  </si>
  <si>
    <t>+41 76 681 45 69</t>
  </si>
  <si>
    <t>NL</t>
  </si>
  <si>
    <t>23-12-24 12:09</t>
  </si>
  <si>
    <t>La réservation HMRRPKNWB4 a été ajoutée. _x000D_
Maury - 16-01-2025 - 3 jours - 294,96 €</t>
  </si>
  <si>
    <t>23-12-2024 12.54</t>
  </si>
  <si>
    <t>Vous avez un nouveau message_x000D_
Veuillez répondre à notre agent du Service Clients</t>
  </si>
  <si>
    <t>23-12-2024 12.55</t>
  </si>
  <si>
    <t>23-12-2024 13.07</t>
  </si>
  <si>
    <t>23-12-2024 13.34</t>
  </si>
  <si>
    <t>23-12-24 13:45</t>
  </si>
  <si>
    <t>Laissez un commentaire sur le groupe de Andy_x000D_
Airbnb Indiquez au groupe de Andy ce que vous avez aimé et ce qui peut être amélioré Le groupe de Andy vient de quitter les lieux, c&amp;#39;est donc le moment idéal pour rédiger votre commentaire. Laisser</t>
  </si>
  <si>
    <t>23-12-2024 14.46</t>
  </si>
  <si>
    <t>Airbnb_x000D_
Qu'avez-vous pensé de votre voyageur, Andy ? Rédigez un commentaire pour pa</t>
  </si>
  <si>
    <t>Action</t>
  </si>
  <si>
    <t>X</t>
  </si>
  <si>
    <t>Laissez un commentaire sur le groupe de Andy
Airbnb Indiquez au groupe de Andy ce que vous avez aimé et ce qui peut être amélioré Le groupe de Andy vient de quitter les lieux, c&amp;#39;est donc le moment idéal pour rédiger votre commentaire. Laisser</t>
  </si>
  <si>
    <t>24-12-2024 06.34</t>
  </si>
  <si>
    <t>Dominic arrive aujourd'hui_x000D_
Assurez-vous que les informations d'arrivée sont bien à jour et que vous re</t>
  </si>
  <si>
    <t>24-12-2024 09.06</t>
  </si>
  <si>
    <t>4397270804</t>
  </si>
  <si>
    <t>24-12-24 11:10</t>
  </si>
  <si>
    <t>Validation du paiement de la réservation 4907729994 pour Apollinaire du 17-12-2024 pour un montant de 1080,06 €</t>
  </si>
  <si>
    <t>24-12-2024 11.13</t>
  </si>
  <si>
    <t>24 décembre 2024 - 27 décembre 2024 : Dominic_x000D_
Bonjour ! Nous arriverons vers 12 h. Y a-t-il un certain endroit où nous de</t>
  </si>
  <si>
    <t>24-12-2024 12.32</t>
  </si>
  <si>
    <t>24 décembre 2024 - 27 décembre 2024 : Dominic_x000D_
Bonjour, nous avons du mal à verrouiller la porte. Y a-t-il quelque chose d</t>
  </si>
  <si>
    <t>24 décembre 2024 - 27 décembre 2024 : Dominic_x000D_
Peu importe, nous avons trouvé !</t>
  </si>
  <si>
    <t>24-12-2024 16.50</t>
  </si>
  <si>
    <t>Ilse vous a laissé un commentaire_x000D_
Vous pourrez consulter ses remarques une fois que vous aurez rédigé votre p</t>
  </si>
  <si>
    <t>25-12-2024 09.53</t>
  </si>
  <si>
    <t>25-12-2024 17.58</t>
  </si>
  <si>
    <t xml:space="preserve">Rappel de la réservation_x000D_
Olivier arrive dans 8 jours. Nous lui enverrons les informations relatives </t>
  </si>
  <si>
    <t>26-12-24 07:00</t>
  </si>
  <si>
    <t>=&gt; Note de 5 pour Maury le 16-12-2024</t>
  </si>
  <si>
    <t>26-12-24 07:01</t>
  </si>
  <si>
    <t>=&gt; 563,65 € versés pour la réservation Maury du 24/12/2024</t>
  </si>
  <si>
    <t>26-12-2024 09.12</t>
  </si>
  <si>
    <t>26-12-2024 15.58</t>
  </si>
  <si>
    <t>3 janvier 2025 - 2 février 2025 : Shannon_x000D_
Bonjour Louis, oui je vous enverrai un message dès que nous sommes sur le c</t>
  </si>
  <si>
    <t>27-12-2024 09.06</t>
  </si>
  <si>
    <t>27-12-2024 04.22</t>
  </si>
  <si>
    <t>3 janvier 2025 - 2 février 2025 : Shannon_x000D_
Image envoyée</t>
  </si>
  <si>
    <t>27-12-24 09:51</t>
  </si>
  <si>
    <t>La réservation HMRTSEMF9W a été modifiée. _x000D_
Joséphine - 01-10-2025 - 30 jours - 1 678,00 €</t>
  </si>
  <si>
    <t>La réservation HM8Z8355FT a été modifiée. _x000D_
Joséphine - 12-07-2025 - 32 jours - 1 910,54 €</t>
  </si>
  <si>
    <t>La réservation HM9D9RHEYW a été modifiée. _x000D_
Joséphine - 01-06-2025 - 30 jours - 1 906,34 €</t>
  </si>
  <si>
    <t>27-12-24 09:52</t>
  </si>
  <si>
    <t>La réservation HMWCCQ9AWT a été modifiée. _x000D_
Joséphine - 01-05-2025 - 30 jours - 1 957,25 €</t>
  </si>
  <si>
    <t>La réservation HMMYTXMZRP a été modifiée. _x000D_
Joséphine - 01-04-2025 - 30 jours - 1 779,10 €</t>
  </si>
  <si>
    <t>La réservation HMMZJN3JH2 a été modifiée. _x000D_
Joséphine - 28-02-2025 - 32 jours - 1 897,86 €</t>
  </si>
  <si>
    <t>La réservation HMFRCHWWBD a été modifiée. _x000D_
Joséphine - 03-01-2025 - 30 jours - 1 779,10 €</t>
  </si>
  <si>
    <t>27-12-2024 10.49</t>
  </si>
  <si>
    <t>3 janvier 2025 - 2 février 2025 : Shannon_x000D_
Oui, je l'ai signé, n'hésitez pas à me contacter si c'est bon</t>
  </si>
  <si>
    <t>Justine Miller
4 adults</t>
  </si>
  <si>
    <t>1 992,60 €</t>
  </si>
  <si>
    <t>0,00 €</t>
  </si>
  <si>
    <t>Justin VonSpreckelsen
4 adults, 2 children (13,15)</t>
  </si>
  <si>
    <t>1 530,00 €</t>
  </si>
  <si>
    <t>27-12-24 14:42</t>
  </si>
  <si>
    <t>La réservation 4184487237 a été modifiée.</t>
  </si>
  <si>
    <t>Charles Reinier
2 adults, 2 children (12,16)</t>
  </si>
  <si>
    <t>730,00 €</t>
  </si>
  <si>
    <t>Ihara Naoko
3 adults</t>
  </si>
  <si>
    <t>1 800,00 €</t>
  </si>
  <si>
    <t>Carl Noack
2 adults, 2 children (9,12)</t>
  </si>
  <si>
    <t>27-12-24 14:49</t>
  </si>
  <si>
    <t>La réservation 4775975848 a été modifiée.</t>
  </si>
  <si>
    <t>La réservation 4370344277 a été ajoutée.</t>
  </si>
  <si>
    <t>27-12-24 15:02</t>
  </si>
  <si>
    <t>La réservation 4459177412 a été ajoutée.</t>
  </si>
  <si>
    <t>La réservation 4397270804 a été ajoutée.</t>
  </si>
  <si>
    <t>La réservation 4628921531 a été ajoutée.</t>
  </si>
  <si>
    <t>La réservation 4731844990 a été ajoutée.</t>
  </si>
  <si>
    <t>La réservation 4391135784 a été ajoutée.</t>
  </si>
  <si>
    <t>La réservation 4460594523 a été ajoutée.</t>
  </si>
  <si>
    <t>La réservation 4505012794 a été ajoutée.</t>
  </si>
  <si>
    <t>27-12-24 15:04</t>
  </si>
  <si>
    <t>La réservation HMDNBW33EY a été ajoutée. _x000D_
Maury - 30-07-2025 - 3 jours - 501,60 €</t>
  </si>
  <si>
    <t>La réservation HM8Z8355FT a été ajoutée. _x000D_
Joséphine - 12-07-2025 - 32 jours - 1 910,54 €</t>
  </si>
  <si>
    <t>La réservation HM2ESEW3R5 a été ajoutée. _x000D_
Apollinaire - 14-06-2025 - 15 jours - 3 849,55 €</t>
  </si>
  <si>
    <t>La réservation HM9D9RHEYW a été ajoutée. _x000D_
Joséphine - 01-06-2025 - 30 jours - 1 906,34 €</t>
  </si>
  <si>
    <t>La réservation HMWCCQ9AWT a été ajoutée. _x000D_
Joséphine - 01-05-2025 - 30 jours - 1 957,25 €</t>
  </si>
  <si>
    <t>La réservation HMEP4YKFJ3 a été ajoutée. _x000D_
Apollinaire - 09-04-2025 - 7 jours - 1 615,31 €</t>
  </si>
  <si>
    <t>La réservation HMMZJN3JH2 a été ajoutée. _x000D_
Joséphine - 28-02-2025 - 32 jours - 1 897,86 €</t>
  </si>
  <si>
    <t>La réservation HMAXAP39FM a été ajoutée. _x000D_
Apollinaire - 06-02-2025 - 10 jours - 1 923,48 €</t>
  </si>
  <si>
    <t>La réservation HM8EHBBDBR a été ajoutée. _x000D_
Apollinaire - 16-01-2025 - 7 jours - 1 161,94 €</t>
  </si>
  <si>
    <t>La réservation HMFRCHWWBD a été ajoutée. _x000D_
Joséphine - 03-01-2025 - 30 jours - 1 779,10 €</t>
  </si>
  <si>
    <t>La réservation HMDDHYDNWN a été ajoutée. _x000D_
Maury - 24-12-2024 - 3 jours - 563,65 €</t>
  </si>
  <si>
    <t>La réservation HMMZRFSXPS a été ajoutée. _x000D_
Apollinaire - 07-12-2024 - 8 jours - 1 766,86 €</t>
  </si>
  <si>
    <t>La réservation HMHR24CXFB a été ajoutée. _x000D_
Maury - 07-12-2024 - 4 jours - 645,79 €</t>
  </si>
  <si>
    <t>650,00 €</t>
  </si>
  <si>
    <t>27-12-24 15:07</t>
  </si>
  <si>
    <t>La réservation 4887081205 a été ajoutée.</t>
  </si>
  <si>
    <t>Christophe Le Vagueresse</t>
  </si>
  <si>
    <t>HMPH4FXHTP</t>
  </si>
  <si>
    <t>+33 6 78 66 71 58</t>
  </si>
  <si>
    <t>27-12-24 15:09</t>
  </si>
  <si>
    <t>La réservation HMPH4FXHTP a été ajoutée. _x000D_
Maury - 08-02-2025 - 5 jours - 609,84 €</t>
  </si>
  <si>
    <t>27-12-24 15:13</t>
  </si>
  <si>
    <t>=&gt; Note de 5 pour Apollinaire le 07-12-2024</t>
  </si>
  <si>
    <t>27-12-24 15:15</t>
  </si>
  <si>
    <t>=&gt; 1766,86 € versés pour la réservation Apollinaire du 07/12/2024</t>
  </si>
  <si>
    <t>=&gt; 645,79 € versés pour la réservation Maury du 07/12/2024</t>
  </si>
  <si>
    <t>27-12-24 15:17</t>
  </si>
  <si>
    <t>Validation du paiement de la réservation 4887081205 pour Maury du 03-12-2024 pour un montant de 497,90 €</t>
  </si>
  <si>
    <t>27-12-2024 15.23</t>
  </si>
  <si>
    <t>Nouvelle réservation pour le mer. 19 févr. 2025 pour 3 nuits  _x000D_
#4459177412 1 x Apollinaire\n Montant total: EUR 705.00</t>
  </si>
  <si>
    <t>27-12-2024 15.05</t>
  </si>
  <si>
    <t xml:space="preserve">Christophe a effectué une réservation_x000D_
Christophe a effectué une Réservation instantanée pour votre logement pour </t>
  </si>
  <si>
    <t>27-12-2024 16.42</t>
  </si>
  <si>
    <t>Airbnb_x000D_
Qu'avez-vous pensé de votre voyageur, Dominic ? Rédigez un commentaire pour</t>
  </si>
  <si>
    <t>Planificateur</t>
  </si>
  <si>
    <t>Emission</t>
  </si>
  <si>
    <t>Exécution</t>
  </si>
  <si>
    <t>Procédure</t>
  </si>
  <si>
    <t>28-12-2024 09.06</t>
  </si>
  <si>
    <t>Rapport quotidien (Maury - Luxury Loft - Heart of Montparnasse)_x000D_
Voici un aperçu de ce qui vous attend pour la journée.</t>
  </si>
  <si>
    <t>28-12-2024 23.17</t>
  </si>
  <si>
    <t>16 janvier 2025 - 23 janvier 2025 : Maria_x000D_
Bonjour, Nous travaillons sur les détails de notre voyage. Notre vol atterr</t>
  </si>
  <si>
    <t>29-12-2024 00.39</t>
  </si>
  <si>
    <t xml:space="preserve">16 janvier 2025 - 23 janvier 2025 : Maria_x000D_
A réagi avec \uD83D\uDC4D à « Hello Maria, Thank you for your message! You </t>
  </si>
  <si>
    <t>29-12-2024 06.13</t>
  </si>
  <si>
    <t xml:space="preserve">Message de Lai Chu Lam_x000D_
J'ai demandé une arrivée à 14:00 - 15:00 (29 janv. 2025).\n\nRépondez à la </t>
  </si>
  <si>
    <t>29-12-2024 06.15</t>
  </si>
  <si>
    <t>Message de Lai Chu Lam_x000D_
1. We would like to use washing machine and need to bring our own washing p</t>
  </si>
  <si>
    <t>Lam Lai Chu
4 adults</t>
  </si>
  <si>
    <t>950,00 €</t>
  </si>
  <si>
    <t>4949671891</t>
  </si>
  <si>
    <t>29-12-24 07:02</t>
  </si>
  <si>
    <t>La réservation 4949671891 a été ajoutée.</t>
  </si>
  <si>
    <t>29-12-2024 09.10</t>
  </si>
  <si>
    <t>29-12-2024 11.17</t>
  </si>
  <si>
    <t>Message de Montse Fernández-Cid_x000D_
Good morning, checking the reservation it says that we are going with a chi</t>
  </si>
  <si>
    <t>29-12-2024 11.34</t>
  </si>
  <si>
    <t>Message de Montse Fernández-Cid_x000D_
Thank you so much!! \uD83D\uDE00</t>
  </si>
  <si>
    <t>29-12-2024 17.15</t>
  </si>
  <si>
    <t>Annulation_x000D_
#4459177412 (Sandra Pellegrinelli) \n1 x Apollinaire</t>
  </si>
  <si>
    <t>29-12-2024 18.39</t>
  </si>
  <si>
    <t xml:space="preserve">23 novembre 2024 - 2 janvier 2025 : Tevfik Murat_x000D_
Serait-il possible de garer notre voiture chez vous une dernière fois pour </t>
  </si>
  <si>
    <t>29-12-2024 21.02</t>
  </si>
  <si>
    <t>23 novembre 2024 - 2 janvier 2025 : Tevfik Murat_x000D_
Pas de problème !</t>
  </si>
  <si>
    <t>30-12-2024 04.48</t>
  </si>
  <si>
    <t>Margaret a effectué une réservation_x000D_
Margaret a effectué une Réservation instantanée pour votre logement pour le</t>
  </si>
  <si>
    <t>HMMX8FPXK2</t>
  </si>
  <si>
    <t>30-12-24 07:00</t>
  </si>
  <si>
    <t>La réservation HMMX8FPXK2 a été ajoutée. _x000D_
Apollinaire - 14-11-2025 - 15 jours - 2 732,40 €</t>
  </si>
  <si>
    <t>30-12-24 07:02</t>
  </si>
  <si>
    <t>La réservation 4459177412 a été supprimée.</t>
  </si>
  <si>
    <t>30-12-24 07:03</t>
  </si>
  <si>
    <t>Validation du paiement de la réservation 4627691909 pour Apollinaire du 21-12-2024 pour un montant de 2011,93 €</t>
  </si>
  <si>
    <t>30-12-2024 09.16</t>
  </si>
  <si>
    <t>30-12-2024 16.35</t>
  </si>
  <si>
    <t>2 janvier 2025 - 4 janvier 2025 : Olivier_x000D_
Merci beaucoup pour les instructions ! Si nous avons la moindre question, n</t>
  </si>
  <si>
    <t>30-12-2024 20.06</t>
  </si>
  <si>
    <t>Nouvelle réservation pour le sam. 3 mai 2025 pour 7 nuits  _x000D_
#4930709366 1 x Apollinaire\n Montant total: EUR 2660.00</t>
  </si>
  <si>
    <t>30-12-24 21:13</t>
  </si>
  <si>
    <t>La réservation 4930709366 a été ajoutée.</t>
  </si>
  <si>
    <t>30-12-2024 21.36</t>
  </si>
  <si>
    <t>Annulation_x000D_
#4930709366 (Andrii Ratych) \n1 x Apollinaire</t>
  </si>
  <si>
    <t>31-12-24 07:02</t>
  </si>
  <si>
    <t>La réservation 4930709366 a été supprimée.</t>
  </si>
  <si>
    <t>31-12-24 07:04</t>
  </si>
  <si>
    <t>Validation du paiement de la réservation 4420086532 pour Maury du 27-12-2024 pour un montant de 559,18 €</t>
  </si>
  <si>
    <t>31-12-2024 09.43</t>
  </si>
  <si>
    <t>31-12-2024 10.35</t>
  </si>
  <si>
    <t>Nouvelle réservation pour le lun. 21 avr. 2025 pour 6 nuits  _x000D_
#4983805999 1 x Loft Maury\n Montant total: EUR 1680.00</t>
  </si>
  <si>
    <t>31-12-2024 10.55</t>
  </si>
  <si>
    <t>23 novembre 2024 - 2 janvier 2025 : Tevfik Murat_x000D_
Savez-vous si le parking de Westfield Les 4 Temps serait ouvert demain ? J'</t>
  </si>
  <si>
    <t>31-12-2024 11.58</t>
  </si>
  <si>
    <t>31-12-24 12:05</t>
  </si>
  <si>
    <t>La réservation 4983805999 a été ajoutée.</t>
  </si>
  <si>
    <t>La réservation 4563713832 a été ajoutée.</t>
  </si>
  <si>
    <t>01-01-2025 09.29</t>
  </si>
  <si>
    <t>01-01-2025 15.37</t>
  </si>
  <si>
    <t>Message de Kirstin Jakob_x000D_
Hello, yes everything is fine. We will return the key to the key box tomorr</t>
  </si>
  <si>
    <t>01-01-2025 16.56</t>
  </si>
  <si>
    <t xml:space="preserve">23 novembre 2024 - 2 janvier 2025 : Tevfik Murat_x000D_
Bonjour, nous devons prendre un taxi le matin vers 9h45 au plus tard. Mais </t>
  </si>
  <si>
    <t>01-01-2025 17.26</t>
  </si>
  <si>
    <t>Rappel de la réservation_x000D_
Cheryl arrive dans 8 jours. Nous lui enverrons les informations relatives à</t>
  </si>
  <si>
    <t>01-01-2025 20.38</t>
  </si>
  <si>
    <t>Nouvelle demande d'information_x000D_
Nouvelle demande d'information pour le 7–11 janv. à 647,80 €</t>
  </si>
  <si>
    <t>01-01-2025 21.39</t>
  </si>
  <si>
    <t>23 novembre 2024 - 2 janvier 2025 : Tevfik Murat_x000D_
Merci, je m'en suis occupé !</t>
  </si>
  <si>
    <t>02-01-2025 06.04</t>
  </si>
  <si>
    <t>Olivier arrive aujourd'hui_x000D_
Assurez-vous que les informations d'arrivée sont bien à jour et que vous re</t>
  </si>
  <si>
    <t>02-01-2025 06.37</t>
  </si>
  <si>
    <t>Simone arrive aujourd'hui_x000D_
Assurez-vous que les informations d'arrivée sont bien à jour et que vous re</t>
  </si>
  <si>
    <t>02-01-2025 09.09</t>
  </si>
  <si>
    <t>02-01-2025 09.27</t>
  </si>
  <si>
    <t>Pensez à répondre à Kirstin Jakob, qui attend depuis 17 heures_x000D_
#4823518365</t>
  </si>
  <si>
    <t>02-01-2025 09.35</t>
  </si>
  <si>
    <t>23 novembre 2024 - 2 janvier 2025 : Tevfik Murat_x000D_
Merci pour tout. Ce fut un séjour extrêmement agréable !</t>
  </si>
  <si>
    <t>02-01-2025 10.25</t>
  </si>
  <si>
    <t>Réservation confirmée_x000D_
Votre réservation (Saint-Jean-de-Luz) est confirmée. Pour en consulter tous</t>
  </si>
  <si>
    <t>02-01-2025 10.33</t>
  </si>
  <si>
    <t xml:space="preserve">26 juillet 2025 - 23 août 2025 : Jon_x000D_
Bonjour Nous serons ravis de vous accueillir dans notre belle maison et je </t>
  </si>
  <si>
    <t>02-01-2025 11.54</t>
  </si>
  <si>
    <t xml:space="preserve">23 novembre 2024 - 2 janvier 2025 : Tevfik Murat_x000D_
J'ai oublié de vous le dire : nous avons laissé quelques objets inutilisés </t>
  </si>
  <si>
    <t>02-01-2025 16.03</t>
  </si>
  <si>
    <t>Airbnb_x000D_
Qu'avez-vous pensé de votre voyageur, Tevfik Murat ? Rédigez un commentaire</t>
  </si>
  <si>
    <t>La réservation HM8Z8355FT a été supprimée.</t>
  </si>
  <si>
    <t>Jaouad HADDOUCHI
2 adults, 2 children (13,16)</t>
  </si>
  <si>
    <t>790,00 €</t>
  </si>
  <si>
    <t>4764952511</t>
  </si>
  <si>
    <t>La réservation 4764952511 a été ajoutée.</t>
  </si>
  <si>
    <t>03-01-2025 05.52</t>
  </si>
  <si>
    <t>Nouvelle réservation pour le mer. 1 avr. 2026 pour 4 nuits  _x000D_
#4990288565 1 x Apollinaire\n Montant total: EUR 2120.00</t>
  </si>
  <si>
    <t>03-01-2025 06.30</t>
  </si>
  <si>
    <t>Shannon arrive aujourd'hui_x000D_
Assurez-vous que les informations d'arrivée sont bien à jour et que vous re</t>
  </si>
  <si>
    <t>La réservation 4990288565 a été ajoutée.</t>
  </si>
  <si>
    <t>Kirstin Jakob
2 adults, 1 child (16)</t>
  </si>
  <si>
    <t>La réservation 4563713832 a été supprimée.</t>
  </si>
  <si>
    <t>Validation du paiement de la réservation 4823518365 pour Maury du 30-12-2024 pour un montant de 593,65 €</t>
  </si>
  <si>
    <t>Validation du paiement de la réservation 4184487237 pour Apollinaire du 27-12-2024 pour un montant de 1631,94 €</t>
  </si>
  <si>
    <t>03-01-2025 10.03</t>
  </si>
  <si>
    <t>2 janvier 2025 - 4 janvier 2025 : Olivier_x000D_
Bonjour ! La première nuit a été super ! Appartement très agréable à un emp</t>
  </si>
  <si>
    <t>03-01-2025 13.11</t>
  </si>
  <si>
    <t>Nouvelle réservation pour le jeu. 1 mai 2025 pour 3 nuits  _x000D_
#4453628772 1 x Loft Maury\n Montant total: EUR 840.00</t>
  </si>
  <si>
    <t>Ryo Fujiwara
3 adults</t>
  </si>
  <si>
    <t>4453628772</t>
  </si>
  <si>
    <t>La réservation 4453628772 a été ajoutée.</t>
  </si>
  <si>
    <t>03-01-2025 19.55</t>
  </si>
  <si>
    <t xml:space="preserve">Basel a effectué une réservation_x000D_
Basel a effectué une Réservation instantanée pour votre logement pour le 5 </t>
  </si>
  <si>
    <t>HMQYNH54CD</t>
  </si>
  <si>
    <t>Basel Al Lahham</t>
  </si>
  <si>
    <t>+61 422 633 293</t>
  </si>
  <si>
    <t>La réservation HMQYNH54CD a été ajoutée. _x000D_
Maury - 05-01-2025 - 4 jours - 304,80 €</t>
  </si>
  <si>
    <t>#  403,2 € versés pour la réservation Maury du 02/01/2025</t>
  </si>
  <si>
    <t>#  249,11 € versés pour la réservation Apollinaire du 02/01/2025</t>
  </si>
  <si>
    <t>03-01-2025 20.02</t>
  </si>
  <si>
    <t>5 janvier 2025 - 9 janvier 2025 : Basel_x000D_
Haha, pas de soucis ! Merci encore</t>
  </si>
  <si>
    <t>03-01-2025 20.11</t>
  </si>
  <si>
    <t>2 janvier 2025 - 5 janvier 2025 : Simone_x000D_
Hallo Alexandra und Louis! Un grand merci, ici tout est merveilleux ! \uD83</t>
  </si>
  <si>
    <t>03-01-2025 23.04</t>
  </si>
  <si>
    <t>26 juillet 2025 - 23 août 2025 : Jon_x000D_
Bonsoir Non désolé pas de vélo disponible mais vous pouvez en louer locatio</t>
  </si>
  <si>
    <t>04-01-2025 09.05</t>
  </si>
  <si>
    <t>04-01-2025 09.36</t>
  </si>
  <si>
    <t>Nouvelle réservation pour le mer. 28 mai 2025 pour 3 nuits  _x000D_
#4886775460 1 x Apollinaire\n Montant total: EUR 1290.00</t>
  </si>
  <si>
    <t>04-01-2025 10.07</t>
  </si>
  <si>
    <t>2 janvier 2025 - 4 janvier 2025 : Alessandra Et Louis_x000D_
Bonjour Olivier, Merci à vous voyagez \uD83D\uDE4F en toute sécurité !</t>
  </si>
  <si>
    <t>Camille Melia
5 adults</t>
  </si>
  <si>
    <t>1 380,00 €</t>
  </si>
  <si>
    <t>4886775460</t>
  </si>
  <si>
    <t>La réservation 4886775460 a été ajoutée.</t>
  </si>
  <si>
    <t>La réservation 4840296638 a été ajoutée.</t>
  </si>
  <si>
    <t>04-01-2025 14.24</t>
  </si>
  <si>
    <t>1 juin 2025 - 1 juillet 2025 : 윤진_x000D_
Bonjour, Comment ça va ? Je suis désolé, mais j'ai une mauvaise nouvelle. M</t>
  </si>
  <si>
    <t>04-01-2025 14.54</t>
  </si>
  <si>
    <t>Nouvelle réservation pour le mar. 15 avr. 2025 pour 6 nuits  _x000D_
#4913038617 1 x Loft Maury\n Montant total: EUR 1680.00</t>
  </si>
  <si>
    <t>#  1779,1 € versés pour la réservation Joséphine du 03/01/2025</t>
  </si>
  <si>
    <t>05-01-2025 09.18</t>
  </si>
  <si>
    <t>05-01-2025 06.44</t>
  </si>
  <si>
    <t>Basel arrive aujourd'hui_x000D_
Assurez-vous que les informations d'arrivée sont bien à jour et que vous re</t>
  </si>
  <si>
    <t>La réservation 4913038617 a été ajoutée.</t>
  </si>
  <si>
    <t>05-01-2025 11.05</t>
  </si>
  <si>
    <t>2 janvier 2025 - 5 janvier 2025 : Simone_x000D_
Merci pour tout ! Nous avons déjà déménagé ! Merci pour ce bon moment !</t>
  </si>
  <si>
    <t>05-01-2025 12.09</t>
  </si>
  <si>
    <t xml:space="preserve">윤진 a annulé sa réservation_x000D_
L'arrivée était prévue le 1 juin – 1 juil. 2025 dans le logement suivant : </t>
  </si>
  <si>
    <t>05-01-2025 12.56</t>
  </si>
  <si>
    <t>Olivier vous a laissé un commentaire_x000D_
Vous pourrez consulter ses remarques une fois que vous aurez rédigé votre p</t>
  </si>
  <si>
    <t>La réservation HM9D9RHEYW a été supprimée.</t>
  </si>
  <si>
    <t>05-01-2025 14.21</t>
  </si>
  <si>
    <t xml:space="preserve">Airbnb_x000D_
Qu'avez-vous pensé de votre voyageur, Simone ? Rédigez un commentaire pour </t>
  </si>
  <si>
    <t xml:space="preserve">#  Le réglement de la réservation HM2DM9ZEKR du 25 déc. 2024 d'un montant de -332,35€ n'a pas été trouvé._x000D_
_x000D_
</t>
  </si>
  <si>
    <t xml:space="preserve">#  Le réglement de la réservation HM2DM9ZEKR du 22 déc. 2024 d'un montant de 332,35€ n'a pas été trouvé._x000D_
_x000D_
</t>
  </si>
  <si>
    <t xml:space="preserve">#  Le réglement de la réservation HM2DM9ZEKR du 25 déc. 2024 d'un montant de -332,35€ n'a pas été trouvé._x000D_
</t>
  </si>
  <si>
    <t xml:space="preserve">#  Le réglement de la réservation HM2DM9ZEKR du 22 déc. 2024 d'un montant de 332,35€ n'a pas été trouvé._x000D_
</t>
  </si>
  <si>
    <t xml:space="preserve">#  Note de 5 pour Apollinaire le 02-01-2025_x000D_
</t>
  </si>
  <si>
    <t>05-01-2025 21.27</t>
  </si>
  <si>
    <t>Annulation_x000D_
#4913038617 (Barbara Giesinger) \n1 x Loft Maury</t>
  </si>
  <si>
    <t>Votre reçu d'Airbnb_x000D_
Airbnb Votre reçu d&amp;#39;Airbnb Numéro du reçu : RC43ZENBAH · 2 janvier 2025 Saint-Jean-de-Luz 28 nuits à Saint-Jean-de-Luz sam. 26 juil. 2025 sam. 23 août 2025 Logement entier · 6 lits · 6 clients Code</t>
  </si>
  <si>
    <t>Réservation confirmée pour Saint-Jean-de-Luz_x000D_
Tout est prêt pour votre voyage, destination Saint-Jean-de-Luz Airbnb Tout est prêt pour votre voyage, destination Saint-Jean-de-Luz Maison basque contemporaine , piscine et fronton Logement entier,</t>
  </si>
  <si>
    <t>Un versement de 652,31 € a été envoyé_x000D_
Airbnb Versement de 652,31 € envoyé Un versement de 652,31 € vous a été émis. Ce versement devrait parvenir sur votre compte au plus tard le 10 janvier 2025, compte tenu des week-ends et jours fériés.</t>
  </si>
  <si>
    <t>Réservation confirmée : Basel Al Lahham arrive le 5 janv._x000D_
Airbnb Nouvelle réservation confirmée ! Basel arrive le 5 janv. Envoyez un message pour confirmer les détails de l&amp;#39;entrée dans les lieux ou pour souhaiter la bienvenue à Basel. Basel Identité</t>
  </si>
  <si>
    <t>Un versement de 1 779,10 € a été envoyé_x000D_
Airbnb Versement de 1 779,10 € envoyé Un versement de 1 779,10 € vous a été émis. Ce versement devrait parvenir sur votre compte au plus tard le 10 janvier 2025, compte tenu des week-ends et jours</t>
  </si>
  <si>
    <t>Annulation de la réservation HM9D9RHEYW (1 juin – 1 juil. 2025)_x000D_
Ces dates peuvent désormais être réservées par d&amp;#39;autres voyageurs Airbnb Réservation annulée Grand 2 pièces -Calme- idéal long séjour- 2/4 pers Grand 2 pièces -Calme- idéal long séjour- 2/4 pers</t>
  </si>
  <si>
    <t>Olivier vous a laissé une évaluation 5 étoiles !_x000D_
Poursuivez votre lecture pour découvrir ce qui lui a plu Airbnb Olivier a donné 5 étoiles à son séjour ! Olivier a fait de bons retours sur son séjour. Poursuivez votre lecture pour découvrir ce qui</t>
  </si>
  <si>
    <t xml:space="preserve"># La réservation 4913038617 a été supprimée._x000D_
</t>
  </si>
  <si>
    <t xml:space="preserve">Réservation annulée : Maury - 15/04/2025 - Réservation : 4913038617_x000D_
</t>
  </si>
  <si>
    <t xml:space="preserve">#  La réservation du 14-04-2025 chez Maury de Booking n'a pas été trouvée sur ListeRésas._x000D_
</t>
  </si>
  <si>
    <t>Oliver Jurke
2 adults, 1 child (14)</t>
  </si>
  <si>
    <t>4580401109</t>
  </si>
  <si>
    <t xml:space="preserve"># La réservation 4580401109 a été ajoutée._x000D_
</t>
  </si>
  <si>
    <t>06-01-2025 09.05</t>
  </si>
  <si>
    <t>06-01-2025 10.19</t>
  </si>
  <si>
    <t>Nouvelle demande d'information_x000D_
Nouvelle demande d'information pour le 12 juil. – 14 sept. à 4 428,22 €</t>
  </si>
  <si>
    <t>Demande pour Grand 2 pièces -Calme- idéal long séjour- 2/4 pers pour 12 juil. – 14 sept. 2025_x000D_
Airbnb Répondez à la demande envoyée par Stefanie Stefanie Identité vérifiée · 2 commentaires NL Bonjour Alessandra ! Je m&amp;#39;oriente à vivre à Paris pendant deux mois après ma maîtrise actuelle. Je</t>
  </si>
  <si>
    <t>06-01-2025 11.21</t>
  </si>
  <si>
    <t>Message de Victor Carrero_x000D_
Hola como estan</t>
  </si>
  <si>
    <t>06-01-2025 11.42</t>
  </si>
  <si>
    <t>12 juillet 2025 - 14 septembre 2025 : Stefanie_x000D_
Super, très gentil merci ! Je vais au (7 Av. de Provence, 75009 Paris, Fran</t>
  </si>
  <si>
    <t>06-01-2025 13.02</t>
  </si>
  <si>
    <t>12 juillet 2025 - 14 septembre 2025 : Stefanie_x000D_
Super, très gentil et merci pour votre message ! Je vais y réfléchir et vou</t>
  </si>
  <si>
    <t>06-01-2025 13.11</t>
  </si>
  <si>
    <t>12 juillet 2025 - 14 septembre 2025 : Stefanie_x000D_
A réagi avec ❤️ à « \uD83D\uDE0A\uD83D\uDE4F\uD83C\uDFFC Please don’t hesit</t>
  </si>
  <si>
    <t>Un versement de 304,80 € a été envoyé_x000D_
Airbnb Versement de 304,80 € envoyé Un versement de 304,80 € vous a été émis. Ce versement devrait parvenir sur votre compte au plus tard le 13 janvier 2025, compte tenu des week-ends et jours fériés.</t>
  </si>
  <si>
    <t>06-01-2025 14.08</t>
  </si>
  <si>
    <t>3 janvier 2025 - 2 février 2025 : Connie_x000D_
Bonjour Louis, le drainage est mieux maintenant.</t>
  </si>
  <si>
    <t xml:space="preserve">#  Note de 5 pour Joséphine le 23-11-2024_x000D_
</t>
  </si>
  <si>
    <t xml:space="preserve">#  304,8 € versés pour la réservation Maury du 05/01/2025_x000D_
</t>
  </si>
  <si>
    <t>07-01-2025 10.16</t>
  </si>
  <si>
    <t>Message de Victor Carrero_x000D_
100% Recomendados gracias por la calidad de la habitacion</t>
  </si>
  <si>
    <t>07-01-2025 10.34</t>
  </si>
  <si>
    <t>La pré-approbation de Stefanie a expiré_x000D_
Stefanie n'a pas répondu à votre pré-approbation sous 24 heures. Envoyez-lu</t>
  </si>
  <si>
    <t>2027</t>
  </si>
  <si>
    <t>2028</t>
  </si>
  <si>
    <t>2030</t>
  </si>
  <si>
    <t>2031</t>
  </si>
  <si>
    <t>07-01-2025 12.03</t>
  </si>
  <si>
    <t>12 juil. – 14 sept. 2025 : Stefanie_x000D_
A réagi avec ❤️ à « \uD83D\uDE0A\uD83D\uDE4F\uD83C\uDFFC Please don’t hesit</t>
  </si>
  <si>
    <t>07-01-2025 12.31</t>
  </si>
  <si>
    <t>Nouvelle réservation pour le sam. 22 mars 2025 pour 3 nuits  _x000D_
#4315316238 1 x Loft Maury\n Montant total: EUR 885.00</t>
  </si>
  <si>
    <t>07-01-2025 14.23</t>
  </si>
  <si>
    <t>Annulation_x000D_
#4315316238 (YUKARI SHIGA) \n1 x Loft Maury</t>
  </si>
  <si>
    <t>08-01-2025 02.32</t>
  </si>
  <si>
    <t xml:space="preserve">Message de Stephen Bandy_x000D_
J'ai demandé une arrivée à 14:00 - 15:00 (16 sept. 2025).\n\nRépondez à la </t>
  </si>
  <si>
    <t>2 voyageurs attendent votre commentaire_x000D_
Cela ne prend que quelques instants pour faire part de vos principales remarques. Airbnb Laissez des commentaires sur 2 voyageurs Les commentaires sont essentiels à la communauté Airbnb. Prenez un</t>
  </si>
  <si>
    <t xml:space="preserve"># La réservation 4797631656 a été ajoutée._x000D_
</t>
  </si>
  <si>
    <t>WANG CHING WEN
4 adults</t>
  </si>
  <si>
    <t>795,00 €</t>
  </si>
  <si>
    <t>4464214967</t>
  </si>
  <si>
    <t xml:space="preserve"># La réservation 4464214967 a été ajoutée._x000D_
</t>
  </si>
  <si>
    <t xml:space="preserve"># Validation du paiement de la réservation 4460562427 pour Apollinaire du 04-01-2025 pour un montant de 1343,95 €_x000D_
</t>
  </si>
  <si>
    <t xml:space="preserve"># La réservation 4836484539 a été ajoutée._x000D_
</t>
  </si>
  <si>
    <t xml:space="preserve"># Apollinaire -  Note de 10_x000D_
</t>
  </si>
  <si>
    <t>08-01-2025 14.54</t>
  </si>
  <si>
    <t>Annulation_x000D_
#4428282181 (CHAO YI WU) \n1 x Loft Maury</t>
  </si>
  <si>
    <t>08-01-2025 17.40</t>
  </si>
  <si>
    <t xml:space="preserve">Rappel de la réservation_x000D_
Maria arrive dans 8 jours. Nous lui enverrons les informations relatives à </t>
  </si>
  <si>
    <t>Dernière chance ! N'oubliez pas de laisser un commentaire sur le groupe de Dominic_x000D_
Airbnb Il ne vous reste plus que 2 jours pour laisser un commentaire sur le groupe de Dominic Indiquez au groupe de Dominic ce que vous avez aimé et ce qui peut être amélioré La période de commentaire</t>
  </si>
  <si>
    <t/>
  </si>
  <si>
    <t>09-01-2025 06.30</t>
  </si>
  <si>
    <t>Cheryl arrive aujourd'hui_x000D_
Assurez-vous que les informations d'arrivée sont bien à jour et que vous re</t>
  </si>
  <si>
    <t xml:space="preserve"># La réservation 4428282181 a été supprimée._x000D_
</t>
  </si>
  <si>
    <t xml:space="preserve">Réservation annulée : Maury - 27/05/2025 - Réservation : 4428282181_x000D_
</t>
  </si>
  <si>
    <t>09-01-2025 07.27</t>
  </si>
  <si>
    <t>12 juil. – 14 sept. 2025 : Stefanie_x000D_
Bonjour ! Merci de votre patience. J'ai décidé d'aller pour un autre appart</t>
  </si>
  <si>
    <t>09-01-2025 11.53</t>
  </si>
  <si>
    <t>c7bf9927-1056-58a1-b858-f8c289d5e406_x000D_
%evtprm3</t>
  </si>
  <si>
    <t>09-01-2025 13.01</t>
  </si>
  <si>
    <t>Les versements pour Alessandra Et Louis sont désormais configurés_x000D_
À partir d'aujourd'hui, Alessandra Et Louis recevra un versement à chaque n</t>
  </si>
  <si>
    <t>Les versements de co-hôte pour Alessandra Et Louis sont désormais configurés_x000D_
Airbnb Les versements pour Alessandra Et Louis sont configurés Grand 2 pièces -Calme- idéal long séjour- 2/4 pers À partir d&amp;#39;aujourd&amp;#39;hui, Alessandra Et Louis recevra un versement à chaque</t>
  </si>
  <si>
    <t xml:space="preserve"># La réservation HMRTSEMF9W a été modifiée. _x000D_
Joséphine - 01-10-2025 - 30 jours - 1 658,94 €_x000D_
</t>
  </si>
  <si>
    <t>09-01-2025 13.59</t>
  </si>
  <si>
    <t>Message de Victor Carrero_x000D_
Gracias</t>
  </si>
  <si>
    <t>09-01-2025 14.57</t>
  </si>
  <si>
    <t>Airbnb_x000D_
Qu'avez-vous pensé de votre voyageur, Basel ? Rédigez un commentaire pour p</t>
  </si>
  <si>
    <t>Laissez un commentaire sur le groupe de Basel_x000D_
Airbnb Comment s&amp;#39;est passé le séjour de votre voyageur, Basel ? Indiquez au groupe de Basel ce que vous avez aimé et ce qui peut être amélioré Le groupe de Basel vient de quitter les lieux, c&amp;#39;</t>
  </si>
  <si>
    <t>09-01-2025 23.09</t>
  </si>
  <si>
    <t>9–15 janv. 2025 : Cheryl_x000D_
Bonjour Alessandra et Louis, Nous étions ici à 16 h, merci beaucoup, l'appa</t>
  </si>
  <si>
    <t>09-01-2025 23.47</t>
  </si>
  <si>
    <t>Message de Jaouad HADDOUCHI_x000D_
Svp besoin de savoir si les serviettes de bain sont fournies. Merci</t>
  </si>
  <si>
    <t xml:space="preserve"># La réservation HMWCCQ9AWT a été modifiée. _x000D_
Joséphine - 01-05-2025 - 30 jours - 1 935,00 €_x000D_
</t>
  </si>
  <si>
    <t xml:space="preserve"># La réservation HMMYTXMZRP a été modifiée. _x000D_
Joséphine - 01-04-2025 - 30 jours - 1 758,88 €_x000D_
</t>
  </si>
  <si>
    <t xml:space="preserve"># La réservation HMMZJN3JH2 a été modifiée. _x000D_
Joséphine - 28-02-2025 - 32 jours - 1 876,30 €_x000D_
</t>
  </si>
  <si>
    <t>10-01-2025 12.50</t>
  </si>
  <si>
    <t>Annulation_x000D_
#4836484539 (Nathalie Rooney) \n1 x Apollinaire</t>
  </si>
  <si>
    <t>Un versement de 872,52 € a été envoyé_x000D_
Airbnb Versement de 872,52 € envoyé Un versement de 872,52 € vous a été émis. Ce versement devrait parvenir sur votre compte au plus tard le 17 janvier 2025, compte tenu des week-ends et jours fériés.</t>
  </si>
  <si>
    <t>10-01-2025 20.30</t>
  </si>
  <si>
    <t>Nouvelle réservation pour le mar. 9 sept. 2025 pour 3 nuits  _x000D_
#4925023475 1 x Apollinaire\n Montant total: EUR 1320.00</t>
  </si>
  <si>
    <t>10-01-2025 21.35</t>
  </si>
  <si>
    <t xml:space="preserve">9–15 janv. 2025 : Cheryl_x000D_
A réagi avec ❤️ à « Hello Cheryl, We hope you enjoyed your first evening ✨ </t>
  </si>
  <si>
    <t xml:space="preserve">#  872,52 € versés pour la réservation Maury du 09/01/2025_x000D_
</t>
  </si>
  <si>
    <t xml:space="preserve"># La réservation 4836484539 a été supprimée._x000D_
</t>
  </si>
  <si>
    <t xml:space="preserve"># La réservation 4925023475 a été ajoutée._x000D_
</t>
  </si>
  <si>
    <t xml:space="preserve">Réservation annulée : Apollinaire - 12/05/2025 - Réservation : 4836484539_x000D_
</t>
  </si>
  <si>
    <t>11-01-2025 09.03</t>
  </si>
  <si>
    <t>Un versement de 1 676,90 € a été envoyé_x000D_
Airbnb Versement de 1 676,90 € envoyé Un versement de 1 676,90 € vous a été émis. Ce versement devrait parvenir sur votre compte au plus tard le 17 janvier 2025, compte tenu des week-ends et jours</t>
  </si>
  <si>
    <t>HMEFRJJYHM</t>
  </si>
  <si>
    <t xml:space="preserve"># La réservation HMEFRJJYHM a été ajoutée. _x000D_
Joséphine - 30-06-2025 - 30 jours - 1 770,18 €_x000D_
</t>
  </si>
  <si>
    <t xml:space="preserve">#  10985,65 € versés pour un règlement partiel de la réservation Odessa du 10/09/2024_x000D_
</t>
  </si>
  <si>
    <t>12-01-2025 09.05</t>
  </si>
  <si>
    <t>11-01-2025 20.17</t>
  </si>
  <si>
    <t>Ishan a effectué une réservation_x000D_
Ishan a effectué une Réservation instantanée pour votre logement pour le 30</t>
  </si>
  <si>
    <t>Réservation confirmée : Ishan Kelkar arrive le 30 juin_x000D_
Airbnb Nouvelle réservation confirmée ! Ishan arrive le 30 juin Envoyez un message pour confirmer les détails de l&amp;#39;entrée dans les lieux ou pour souhaiter la bienvenue à Ishan. Ishan Identité</t>
  </si>
  <si>
    <t>12-01-2025 14.36</t>
  </si>
  <si>
    <t>Nouvelle réservation pour le ven. 18 avr. 2025 pour 3 nuits  _x000D_
#4619767461 1 x Loft Maury\n Montant total: EUR 885.00</t>
  </si>
  <si>
    <t>12-01-2025 14.51</t>
  </si>
  <si>
    <t>Nouvelle réservation pour le mer. 30 avr. 2025 pour 3 nuits  _x000D_
#4780579074 1 x Apollinaire\n Montant total: EUR 1140.00</t>
  </si>
  <si>
    <t>12-01-2025 15.09</t>
  </si>
  <si>
    <t>Annulation_x000D_
#4780579074 (SungEun KIM) \n1 x Apollinaire</t>
  </si>
  <si>
    <t>13-01-25 07:01</t>
  </si>
  <si>
    <t>13-01-25 07:02</t>
  </si>
  <si>
    <t xml:space="preserve"># La réservation 4619767461 a été ajoutée._x000D_
</t>
  </si>
  <si>
    <t>13-01-2025 09.03</t>
  </si>
  <si>
    <t>13-01-2025 17.42</t>
  </si>
  <si>
    <t xml:space="preserve">Rappel de la réservation_x000D_
Kelly arrive dans 8 jours. Nous lui enverrons les informations relatives à </t>
  </si>
  <si>
    <t>13-01-2025 23.33</t>
  </si>
  <si>
    <t xml:space="preserve">Karen a effectué une réservation_x000D_
Karen a effectué une Réservation instantanée pour votre logement pour le 5 </t>
  </si>
  <si>
    <t>HMNDRPH5XN</t>
  </si>
  <si>
    <t>Karen Maxwell</t>
  </si>
  <si>
    <t>+1 647-232-5273</t>
  </si>
  <si>
    <t>14-01-25 07:00</t>
  </si>
  <si>
    <t xml:space="preserve"># La réservation HMNDRPH5XN a été ajoutée. _x000D_
Joséphine - 05-08-2025 - 56 jours - 3 312,68 €_x000D_
</t>
  </si>
  <si>
    <t>14-01-25 07:01</t>
  </si>
  <si>
    <t>14-01-2025 09.05</t>
  </si>
  <si>
    <t>HMP5J8EFEA</t>
  </si>
  <si>
    <t>Jun Young Chang</t>
  </si>
  <si>
    <t>+82 10-8870-3837</t>
  </si>
  <si>
    <t>South Korea</t>
  </si>
  <si>
    <t>14-01-25 11:28</t>
  </si>
  <si>
    <t xml:space="preserve"># La réservation HMP5J8EFEA a été ajoutée. _x000D_
Apollinaire - 16-02-2025 - 3 jours - 449,52 €_x000D_
</t>
  </si>
  <si>
    <t>2029</t>
  </si>
  <si>
    <t>14-01-2025 13.43</t>
  </si>
  <si>
    <t>Nouvelle demande d'information_x000D_
Nouvelle demande d'information pour le 19–21 janv. à 270,60 €</t>
  </si>
  <si>
    <t>14-01-2025 13.54</t>
  </si>
  <si>
    <t>19–21 janv. 2025 : Kellian_x000D_
D’accord merci pour votre réponse \uD83D\uDE01 Combien de pouce fait elle ?</t>
  </si>
  <si>
    <t>14-01-25 18:02</t>
  </si>
  <si>
    <t xml:space="preserve">#  Note de 5 pour Maury le 05-01-2025_x000D_
</t>
  </si>
  <si>
    <t>14-01-2025 20.43</t>
  </si>
  <si>
    <t>9–15 janv. 2025 : Cheryl_x000D_
Bonjour, Nous sommes déjà sortis de l'appartement</t>
  </si>
  <si>
    <t>14-01-2025 21.18</t>
  </si>
  <si>
    <t>Vinicius a effectué une réservation_x000D_
Vinicius a effectué une Réservation instantanée pour votre logement pour le</t>
  </si>
  <si>
    <t>HMS9RFWT2C</t>
  </si>
  <si>
    <t>Vinicius Sanches</t>
  </si>
  <si>
    <t>+55 11 98811-7667</t>
  </si>
  <si>
    <t>14-01-25 21:23</t>
  </si>
  <si>
    <t xml:space="preserve"># La réservation HMS9RFWT2C a été ajoutée. _x000D_
Joséphine - 31-10-2025 - 33 jours - 1 944,45 €_x000D_
</t>
  </si>
  <si>
    <t>14-01-2025 23.47</t>
  </si>
  <si>
    <t>16–23 janv. 2025 : Maria_x000D_
Bonjour, Nous sommes un peu coincés dans ce qu'il faut faire. Notre vol att</t>
  </si>
  <si>
    <t>14-01-2025 23.55</t>
  </si>
  <si>
    <t>16–23 janv. 2025 : Michaela_x000D_
A réagi avec ❤️ à « Hello Maria, Let me see tomorrow what we can do to make</t>
  </si>
  <si>
    <t>15-01-2025 02.10</t>
  </si>
  <si>
    <t>Message de Jaouad HADDOUCHI_x000D_
Hello, merci pour vos messages. L'appartement est top, nous sommes tombés a</t>
  </si>
  <si>
    <t>15-01-25 07:01</t>
  </si>
  <si>
    <t>15-01-2025 09.05</t>
  </si>
  <si>
    <t>Message de Jaouad HADDOUCHI_x000D_
Bonjour, Parfait c'est top. On les laissera en bas de l'escalier et on vous</t>
  </si>
  <si>
    <t>15-01-2025 12.35</t>
  </si>
  <si>
    <t>16–19 janv. 2025 : Valerie_x000D_
A réagi avec ❤️ à « Bonjour Valerie, Your upcoming trip is fast approaching</t>
  </si>
  <si>
    <t>15-01-2025 13.57</t>
  </si>
  <si>
    <t xml:space="preserve">Airbnb_x000D_
Qu'avez-vous pensé de votre voyageur, Cheryl ? Rédigez un commentaire pour </t>
  </si>
  <si>
    <t>15-01-2025 14.24</t>
  </si>
  <si>
    <t>Nouveau commentaire client_x000D_
Note: 10.0</t>
  </si>
  <si>
    <t>15-01-2025 14.27</t>
  </si>
  <si>
    <t>La pré-approbation de Kellian a expiré_x000D_
Kellian n'a pas répondu à votre pré-approbation sous 24 heures. Envoyez-lui</t>
  </si>
  <si>
    <t>15-01-2025 15.06</t>
  </si>
  <si>
    <t>Nouvelle réservation pour le dim. 6 juil. 2025 pour 3 nuits  _x000D_
#4662083894 1 x Loft Maury\n Montant total: EUR 825.00</t>
  </si>
  <si>
    <t>HMXFHFDW9M</t>
  </si>
  <si>
    <t>United States</t>
  </si>
  <si>
    <t>HM2PB5ZFKN</t>
  </si>
  <si>
    <t>HMC9WDA8ZX</t>
  </si>
  <si>
    <t>Barcelona, Spain</t>
  </si>
  <si>
    <t>HMFADBYJCM</t>
  </si>
  <si>
    <t>David Fandrei</t>
  </si>
  <si>
    <t>Rudolstadt, Germany</t>
  </si>
  <si>
    <t>HMCCMZ5FF2</t>
  </si>
  <si>
    <t>Elisabeth Christine Holth</t>
  </si>
  <si>
    <t>Oslo, Norway</t>
  </si>
  <si>
    <t>HMRKB8N2N5</t>
  </si>
  <si>
    <t>Aurélie Khoros</t>
  </si>
  <si>
    <t>Beirut, Lebanon</t>
  </si>
  <si>
    <t>HMYDMC2SK8</t>
  </si>
  <si>
    <t>Alice Warhem</t>
  </si>
  <si>
    <t>Cormontreuil, France</t>
  </si>
  <si>
    <t>A5WRH8</t>
  </si>
  <si>
    <t>Kyle Li</t>
  </si>
  <si>
    <t>San Francisco, CA</t>
  </si>
  <si>
    <t>DF9KTT</t>
  </si>
  <si>
    <t>Guadeloupe</t>
  </si>
  <si>
    <t>XJCMN4</t>
  </si>
  <si>
    <t>Alan Thomson</t>
  </si>
  <si>
    <t>Hawthorn, Australia</t>
  </si>
  <si>
    <t>44CN3A</t>
  </si>
  <si>
    <t>12242761</t>
  </si>
  <si>
    <t>Anne-Bess Chabert</t>
  </si>
  <si>
    <t>15-01-25 15:22</t>
  </si>
  <si>
    <t xml:space="preserve"># La réservation HMXFHFDW9M a été ajoutée. _x000D_
Odessa - 29-06-2019 - 64 jours - (44,00) €_x000D_
</t>
  </si>
  <si>
    <t xml:space="preserve"># La réservation HM2PB5ZFKN a été ajoutée. _x000D_
Odessa - 01-05-2019 - 30 jours - (44,00) €_x000D_
</t>
  </si>
  <si>
    <t xml:space="preserve"># La réservation HMC9WDA8ZX a été ajoutée. _x000D_
Odessa - 05-04-2019 - 18 jours - (44,00) €_x000D_
</t>
  </si>
  <si>
    <t xml:space="preserve"># La réservation HMFADBYJCM a été ajoutée. _x000D_
Odessa - 02-07-2017 - 30 jours - 1 590,00 €_x000D_
</t>
  </si>
  <si>
    <t xml:space="preserve"># La réservation HMCCMZ5FF2 a été ajoutée. _x000D_
Odessa - 02-06-2017 - 13 jours - 676,00 €_x000D_
</t>
  </si>
  <si>
    <t xml:space="preserve"># La réservation HMRKB8N2N5 a été ajoutée. _x000D_
Odessa - 24-05-2017 - 6 jours - 377,00 €_x000D_
</t>
  </si>
  <si>
    <t xml:space="preserve"># La réservation HMYDMC2SK8 a été ajoutée. _x000D_
Odessa - 17-05-2017 - 4 jours - 260,00 €_x000D_
</t>
  </si>
  <si>
    <t xml:space="preserve"># La réservation A5WRH8 a été ajoutée. _x000D_
Odessa - 02-01-2017 - 88 jours - 3 100,00 €_x000D_
</t>
  </si>
  <si>
    <t xml:space="preserve"># La réservation DF9KTT a été ajoutée. _x000D_
Odessa - 13-10-2016 - 4 jours - 0,00 €_x000D_
</t>
  </si>
  <si>
    <t xml:space="preserve"># La réservation XJCMN4 a été ajoutée. _x000D_
Odessa - 03-10-2016 - 7 jours - 414,00 €_x000D_
</t>
  </si>
  <si>
    <t xml:space="preserve"># La réservation 44CN3A a été ajoutée. _x000D_
Odessa - 25-05-2016 - 1 jours - 338,00 €_x000D_
</t>
  </si>
  <si>
    <t>15-01-25 15:55</t>
  </si>
  <si>
    <t xml:space="preserve">#  Note de 4 pour Odessa le 02-07-2017_x000D_
</t>
  </si>
  <si>
    <t xml:space="preserve">#  Note de 5 pour Odessa le 02-06-2017_x000D_
</t>
  </si>
  <si>
    <t xml:space="preserve">#  Note de 4 pour Odessa le 24-05-2017_x000D_
</t>
  </si>
  <si>
    <t xml:space="preserve">#  Note de 5 pour Odessa le 17-05-2017_x000D_
</t>
  </si>
  <si>
    <t xml:space="preserve">#  Note de 5 pour Odessa le 02-01-2017_x000D_
</t>
  </si>
  <si>
    <t xml:space="preserve">#  Note de 5 pour Odessa le 03-10-2016_x000D_
</t>
  </si>
  <si>
    <t>15-01-25 15:56</t>
  </si>
  <si>
    <t>15-01-2025 16.13</t>
  </si>
  <si>
    <t>16–23 janv. 2025 : Michaela_x000D_
Merci de votre aide !</t>
  </si>
  <si>
    <t>15-01-2025 16.49</t>
  </si>
  <si>
    <t xml:space="preserve">16–23 janv. 2025 : Michaela_x000D_
A réagi avec ❤️ à « You're welcome! \uD83D\uDE0A Send us a message here on </t>
  </si>
  <si>
    <t>895,00 €</t>
  </si>
  <si>
    <t>15-01-25 17:12</t>
  </si>
  <si>
    <t xml:space="preserve"># La réservation 4662083894 a été ajoutée._x000D_
</t>
  </si>
  <si>
    <t>15-01-25 17:13</t>
  </si>
  <si>
    <t>15-01-2025 22.27</t>
  </si>
  <si>
    <t>Nouvelle réservation pour le mer. 26 mars 2025 pour 5 nuits  _x000D_
#4742053135 1 x Apollinaire\n Montant total: EUR 1825.00</t>
  </si>
  <si>
    <t>16-01-2025 06.14</t>
  </si>
  <si>
    <t xml:space="preserve">Dana a effectué une réservation_x000D_
Dana a effectué une Réservation instantanée pour votre logement pour le 29 </t>
  </si>
  <si>
    <t>16-01-2025 06.23</t>
  </si>
  <si>
    <t>Maria arrive aujourd'hui_x000D_
Assurez-vous que les informations d'arrivée sont bien à jour et que vous re</t>
  </si>
  <si>
    <t>16-01-2025 06.50</t>
  </si>
  <si>
    <t>Valerie arrive aujourd'hui_x000D_
Assurez-vous que les informations d'arrivée sont bien à jour et que vous re</t>
  </si>
  <si>
    <t>Dana Wissink</t>
  </si>
  <si>
    <t>16-01-25 07:00</t>
  </si>
  <si>
    <t xml:space="preserve"># La réservation HMBPAQ5BD9 a été ajoutée. _x000D_
Maury - 29-05-2025 - 4 jours - 764,00 €_x000D_
</t>
  </si>
  <si>
    <t>16-01-25 07:02</t>
  </si>
  <si>
    <t>Herendi László
3 adults, 2 children (10,15)</t>
  </si>
  <si>
    <t>1 915,00 €</t>
  </si>
  <si>
    <t>4742053135</t>
  </si>
  <si>
    <t xml:space="preserve"># La réservation 4742053135 a été ajoutée._x000D_
</t>
  </si>
  <si>
    <t>16-01-25 07:04</t>
  </si>
  <si>
    <t xml:space="preserve"># Validation du paiement de la réservation 4764952511 pour Apollinaire du 11-01-2025 pour un montant de 605,14 €_x000D_
</t>
  </si>
  <si>
    <t>16-01-2025 08.12</t>
  </si>
  <si>
    <t>16–23 janv. 2025 : Maria_x000D_
Nous avons atterri !</t>
  </si>
  <si>
    <t>16-01-2025 08.46</t>
  </si>
  <si>
    <t>16–23 janv. 2025 : Maria_x000D_
A réagi avec ❤️ à « Welcome to Paris! The loft is ready for you arrival \uD</t>
  </si>
  <si>
    <t>16-01-2025 08.53</t>
  </si>
  <si>
    <t>16–23 janv. 2025 : Maria_x000D_
Merci!</t>
  </si>
  <si>
    <t>16-01-2025 10.22</t>
  </si>
  <si>
    <t>16–23 janv. 2025 : Alessandra Et Louis_x000D_
Tenez-nous au courant \uD83D\uDE4F\uD83C\uDFFC</t>
  </si>
  <si>
    <t>16-01-2025 10.29</t>
  </si>
  <si>
    <t>16–23 janv. 2025 : Maria_x000D_
Ça y est, nous y sommes ! Merci beaucoup ☺️</t>
  </si>
  <si>
    <t>16-01-2025 12.42</t>
  </si>
  <si>
    <t>16–19 janv. 2025 : Eva_x000D_
Oh comme c'est gentil ! ! Merci beaucoup \uD83E\uDE77</t>
  </si>
  <si>
    <t>16-01-2025 13.34</t>
  </si>
  <si>
    <t>16–19 janv. 2025 : Eva_x000D_
Bonjour Alessandra et Louis, je viens d'arriver et l'appartement a l'air gé</t>
  </si>
  <si>
    <t>16-01-2025 14.38</t>
  </si>
  <si>
    <t>Preeti a effectué une réservation_x000D_
Preeti a effectué une Réservation instantanée pour votre logement pour le 3</t>
  </si>
  <si>
    <t>16-01-2025 17.24</t>
  </si>
  <si>
    <t xml:space="preserve">Rappel de la réservation_x000D_
Pelagia arrive dans 8 jours. Nous lui enverrons les informations relatives </t>
  </si>
  <si>
    <t>16-01-2025 18.04</t>
  </si>
  <si>
    <t>29 mai – 2 juin 2025 : Dana_x000D_
Bonjour, Nous devrons déposer nos bagages à la propriété à 11h30 le 29.</t>
  </si>
  <si>
    <t>16-01-2025 19.40</t>
  </si>
  <si>
    <t>Message de László Herendi_x000D_
Dear Alessandra and Louis,\nThank you for the information. I have just subm</t>
  </si>
  <si>
    <t>16-01-2025 19.36</t>
  </si>
  <si>
    <t>31 mai – 30 juin 2025 : Preeti_x000D_
Merci beaucoup pour tous vos conseils et votre aide ! Salutations Preeti</t>
  </si>
  <si>
    <t>16-01-2025 22.38</t>
  </si>
  <si>
    <t>30 juin – 30 juil. 2025 : Ishan_x000D_
Parfait merci !</t>
  </si>
  <si>
    <t>16-01-2025 23.55</t>
  </si>
  <si>
    <t>Chloe a effectué une réservation_x000D_
Chloe a effectué une Réservation instantanée pour votre logement pour le 20</t>
  </si>
  <si>
    <t>17-01-2025 00.05</t>
  </si>
  <si>
    <t>20–27 mars 2025 : Chloe_x000D_
Merci Alessandra et Louis, nous nous réjouissons de notre séjour !</t>
  </si>
  <si>
    <t>17-01-2025 00.19</t>
  </si>
  <si>
    <t>Cheryl vous a laissé un commentaire_x000D_
Vous pourrez consulter ses remarques une fois que vous aurez rédigé votre p</t>
  </si>
  <si>
    <t>17-01-2025 06.18</t>
  </si>
  <si>
    <t>31 mai – 30 juin 2025 : Preeti_x000D_
Bonjour Alessandra et Louis! Je vérifie juste si la réservation a été annul</t>
  </si>
  <si>
    <t>HMBDPSTBWP</t>
  </si>
  <si>
    <t>Chloe Kiser</t>
  </si>
  <si>
    <t>+1 971-998-6745</t>
  </si>
  <si>
    <t>San Luis Obispo, CA</t>
  </si>
  <si>
    <t>17-01-25 07:00</t>
  </si>
  <si>
    <t xml:space="preserve"># La réservation HMBDPSTBWP a été ajoutée. _x000D_
Maury - 20-03-2025 - 7 jours - 966,63 €_x000D_
</t>
  </si>
  <si>
    <t>17-01-25 07:01</t>
  </si>
  <si>
    <t>17-01-25 09:49</t>
  </si>
  <si>
    <t xml:space="preserve">#  La réservation du 02-11-2025 chez Maury de Booking n'a pas été trouvée sur ListeRésas._x000D_
</t>
  </si>
  <si>
    <t>Nicole Terrani
2 adults, 2 children (10,7)</t>
  </si>
  <si>
    <t>1 050,00 €</t>
  </si>
  <si>
    <t>17-01-25 09:58</t>
  </si>
  <si>
    <t xml:space="preserve"># La réservation 4923471545 a été ajoutée._x000D_
</t>
  </si>
  <si>
    <t>17-01-2025 09.17</t>
  </si>
  <si>
    <t>Pensez à répondre à László Herendi, qui attend depuis 13 heures_x000D_
#4742053135</t>
  </si>
  <si>
    <t>17-01-2025 07.01</t>
  </si>
  <si>
    <t>16–19 janv. 2025 : Eva_x000D_
Hoi Alessandra &amp; Louis, Désolée pour la réponse tardive, mais cela a foncti</t>
  </si>
  <si>
    <t>17-01-2025 15.39</t>
  </si>
  <si>
    <t>Annulation_x000D_
#4619767461 (Natalia Novoseltseva) \n1 x Loft Maury</t>
  </si>
  <si>
    <t>17-01-2025 18.13</t>
  </si>
  <si>
    <t xml:space="preserve">Maja a effectué une réservation_x000D_
Maja a effectué une Réservation instantanée pour votre logement pour le 21 </t>
  </si>
  <si>
    <t>HMRYQHK28K</t>
  </si>
  <si>
    <t>Maja Klajić</t>
  </si>
  <si>
    <t>+385 98 924 8712</t>
  </si>
  <si>
    <t>HR</t>
  </si>
  <si>
    <t>17-01-25 18:55</t>
  </si>
  <si>
    <t xml:space="preserve"># La réservation HMRYQHK28K a été ajoutée. _x000D_
Apollinaire - 21-03-2025 - 3 jours - 606,96 €_x000D_
</t>
  </si>
  <si>
    <t xml:space="preserve">#  Note de 5 pour Maury le 09-01-2025_x000D_
</t>
  </si>
  <si>
    <t>17-01-25 18:56</t>
  </si>
  <si>
    <t xml:space="preserve">#  1161,94 € versés pour la réservation Apollinaire du 16/01/2025_x000D_
</t>
  </si>
  <si>
    <t>17-01-25 18:57</t>
  </si>
  <si>
    <t xml:space="preserve">#  294,96 € versés pour la réservation Maury du 16/01/2025_x000D_
</t>
  </si>
  <si>
    <t>17-01-25 18:58</t>
  </si>
  <si>
    <t xml:space="preserve"># La réservation 4619767461 a été supprimée._x000D_
</t>
  </si>
  <si>
    <t xml:space="preserve">Réservation annulée : Maury - 18/04/2025 - Réservation : 4619767461_x000D_
</t>
  </si>
  <si>
    <t>17-01-2025 21.29</t>
  </si>
  <si>
    <t>31 oct. – 3 déc. 2025 : Vinicius_x000D_
Bonjour Alessandra et Louis. Merci pour votre rappel. J'ai déjà rempli le f</t>
  </si>
  <si>
    <t>18-01-2025 13.59</t>
  </si>
  <si>
    <t>Nouvelle réservation pour le ven. 10 oct. 2025 pour 3 nuits  _x000D_
#4452801751 1 x Apollinaire\n Montant total: EUR 1320.00</t>
  </si>
  <si>
    <t>18-01-25 17:40</t>
  </si>
  <si>
    <t xml:space="preserve"># La réservation 4452801751 a été ajoutée._x000D_
</t>
  </si>
  <si>
    <t>18-01-2025 18.02</t>
  </si>
  <si>
    <t>16–19 janv. 2025 : Eva_x000D_
Merci ! Nous avons passé un très agréable séjour\uD83D\uDE0A. Nous partiron</t>
  </si>
  <si>
    <t>18-01-2025 19.26</t>
  </si>
  <si>
    <t>Nouvelle demande d'information_x000D_
Nouvelle demande d'information pour le 31 mai – 30 juin à 1 859,93 €</t>
  </si>
  <si>
    <t>18-01-25 21:21</t>
  </si>
  <si>
    <t>19-01-2025 03.56</t>
  </si>
  <si>
    <t>Mariel a effectué une réservation_x000D_
Mariel a effectué une Réservation instantanée pour votre logement pour le 1</t>
  </si>
  <si>
    <t>19-01-25 07:00</t>
  </si>
  <si>
    <t xml:space="preserve"># La réservation HMSSSEEXEX a été ajoutée. _x000D_
Apollinaire - 01-04-2025 - 6 jours - 1 679,52 €_x000D_
</t>
  </si>
  <si>
    <t>19-01-25 08:55</t>
  </si>
  <si>
    <t>19-01-2025 12.36</t>
  </si>
  <si>
    <t>Nouvelle réservation pour le sam. 9 août 2025 pour 3 nuits  _x000D_
#4778018421 1 x Loft Maury\n Montant total: EUR 825.00</t>
  </si>
  <si>
    <t>19-01-2025 12.37</t>
  </si>
  <si>
    <t>16–19 janv. 2025 : Valerie_x000D_
On a passé un super week-end ! Votre appartement est vraiment au top ! Merc</t>
  </si>
  <si>
    <t>19-01-2025 13.40</t>
  </si>
  <si>
    <t>Airbnb_x000D_
Qu'avez-vous pensé de votre voyageur, Valerie ? Rédigez un commentaire pour</t>
  </si>
  <si>
    <t>19-01-2025 15.03</t>
  </si>
  <si>
    <t>Mariel a annulé sa réservation_x000D_
L'arrivée était prévue le 1–7 avr. 2025 dans le logement suivant : Loft - C</t>
  </si>
  <si>
    <t>19-01-2025 17.31</t>
  </si>
  <si>
    <t>31 mai – 30 juin 2025 : Anna_x000D_
Bonne soirée Alessandra et Louis, merci pour la réponse à mes questions, je</t>
  </si>
  <si>
    <t>19-01-2025 19.41</t>
  </si>
  <si>
    <t>La pré-approbation de Anna a expiré_x000D_
Anna n'a pas répondu à votre pré-approbation sous 24 heures. Envoyez-lui un</t>
  </si>
  <si>
    <t>19-01-2025 22.33</t>
  </si>
  <si>
    <t>Aras a effectué une réservation_x000D_
Aras a effectué une Réservation instantanée pour votre logement pour le 2 f</t>
  </si>
  <si>
    <t>19-01-2025 23.36</t>
  </si>
  <si>
    <t>2–5 févr. 2025 : Aras_x000D_
Merci</t>
  </si>
  <si>
    <t>20-01-2025 00.03</t>
  </si>
  <si>
    <t>21–28 janv. 2025 : Kelly_x000D_
Merci beaucoup ! Je prévois de déposer mes bagages plus tôt dans la journée</t>
  </si>
  <si>
    <t>20-01-2025 05.37</t>
  </si>
  <si>
    <t>Valerie vous a laissé un commentaire_x000D_
Vous pourrez consulter ses remarques une fois que vous aurez rédigé votre p</t>
  </si>
  <si>
    <t>HMJ33J4PFD</t>
  </si>
  <si>
    <t>Aras Kitapçıoğlu</t>
  </si>
  <si>
    <t>+90 531 925 92 20</t>
  </si>
  <si>
    <t>TR</t>
  </si>
  <si>
    <t>20-01-25 07:00</t>
  </si>
  <si>
    <t>La réservation HMSSSEEXEX a été supprimée.</t>
  </si>
  <si>
    <t xml:space="preserve"># La réservation HMJ33J4PFD a été ajoutée. _x000D_
Apollinaire - 02-02-2025 - 3 jours - 380,64 €_x000D_
</t>
  </si>
  <si>
    <t>20-01-25 07:02</t>
  </si>
  <si>
    <t>Joerg Szameitat
2 adults, 2 children (11,15)</t>
  </si>
  <si>
    <t>20-01-25 07:03</t>
  </si>
  <si>
    <t xml:space="preserve"># La réservation 4778018421 a été ajoutée._x000D_
</t>
  </si>
  <si>
    <t>20-01-25 14:36</t>
  </si>
  <si>
    <t xml:space="preserve">#  Note de 5 pour Maury le 16-01-2025_x000D_
</t>
  </si>
  <si>
    <t>20-01-2025 17.38</t>
  </si>
  <si>
    <t>16–23 janv. 2025 : Maria_x000D_
Merci ! Nous passons un merveilleux moment ! L'appartement est parfait.</t>
  </si>
  <si>
    <t>20-01-2025 22.36</t>
  </si>
  <si>
    <t>16–23 janv. 2025 : Maria_x000D_
Votre appartement est vraiment parfait.❣️ Ma seule suggestion serait d'avoi</t>
  </si>
  <si>
    <t>20-01-2025 22.45</t>
  </si>
  <si>
    <t>16–23 janv. 2025 : Maria_x000D_
Oh. Je vois maintenant ! \uD83D\uDE03</t>
  </si>
  <si>
    <t>21-01-2025 06.07</t>
  </si>
  <si>
    <t>Kelly arrive aujourd'hui_x000D_
Assurez-vous que les informations d'arrivée sont bien à jour et que vous re</t>
  </si>
  <si>
    <t>21-01-25 07:01</t>
  </si>
  <si>
    <t>Arlene Hall
2 guests</t>
  </si>
  <si>
    <t>4 241,00 €</t>
  </si>
  <si>
    <t>21-01-25 07:02</t>
  </si>
  <si>
    <t xml:space="preserve"># La réservation 4742053135 a été modifiée._x000D_
</t>
  </si>
  <si>
    <t xml:space="preserve"># La réservation 4496695561 a été modifiée._x000D_
</t>
  </si>
  <si>
    <t xml:space="preserve"># La réservation 4397270804 a été modifiée._x000D_
</t>
  </si>
  <si>
    <t xml:space="preserve"># La réservation 4886775460 a été modifiée._x000D_
</t>
  </si>
  <si>
    <t xml:space="preserve"># La réservation 4460305343 a été modifiée._x000D_
</t>
  </si>
  <si>
    <t xml:space="preserve"># La réservation 4776935565 a été modifiée._x000D_
</t>
  </si>
  <si>
    <t xml:space="preserve"># La réservation 4840296638 a été modifiée._x000D_
</t>
  </si>
  <si>
    <t>21-01-2025 12.57</t>
  </si>
  <si>
    <t>Nouvelle réservation pour le ven. 6 juin 2025 pour 3 nuits  _x000D_
#4630993662 1 x Loft Maury\n Montant total: EUR 840.00</t>
  </si>
  <si>
    <t>21-01-25 13:07</t>
  </si>
  <si>
    <t>21-01-25 13:08</t>
  </si>
  <si>
    <t xml:space="preserve"># La réservation 4630993662 a été ajoutée._x000D_
</t>
  </si>
  <si>
    <t>21-01-2025 13.50</t>
  </si>
  <si>
    <t>16–23 janv. 2025 : Maria_x000D_
Pas de soucis.</t>
  </si>
  <si>
    <t>21-01-2025 15.47</t>
  </si>
  <si>
    <t>28 avr. – 7 mai 2025 : Bradley_x000D_
Nous avons 4 personnes dans notre groupe qui viennent Je n'ai pas ajouté ce</t>
  </si>
  <si>
    <t>21-01-25 17:40</t>
  </si>
  <si>
    <t xml:space="preserve"># La réservation HMWW9MFAP2 a été ajoutée. _x000D_
Apollinaire - 28-04-2025 - 9 jours - 2 006,21 €_x000D_
</t>
  </si>
  <si>
    <t>21-01-2025 17.33</t>
  </si>
  <si>
    <t xml:space="preserve">Rappel de la réservation_x000D_
Jason arrive dans 8 jours. Nous lui enverrons les informations relatives à </t>
  </si>
  <si>
    <t>21-01-2025 17.59</t>
  </si>
  <si>
    <t>Alicia a effectué une réservation_x000D_
Alicia a effectué une Réservation instantanée pour votre logement pour le 4</t>
  </si>
  <si>
    <t>HMSTX54XSN</t>
  </si>
  <si>
    <t>Alicia Bogard</t>
  </si>
  <si>
    <t>+1 319-213-6973</t>
  </si>
  <si>
    <t>Solon, IA</t>
  </si>
  <si>
    <t>21-01-25 18:03</t>
  </si>
  <si>
    <t xml:space="preserve"># La réservation HMSTX54XSN a été ajoutée. _x000D_
Apollinaire - 04-03-2025 - 7 jours - 1 288,87 €_x000D_
</t>
  </si>
  <si>
    <t>21-01-2025 18.05</t>
  </si>
  <si>
    <t>4–11 mars 2025 : Alicia_x000D_
Bonjour ! Je pense que mon paiement par carte de crédit peut ne pas avoir é</t>
  </si>
  <si>
    <t>21-01-2025 18.13</t>
  </si>
  <si>
    <t>4–11 mars 2025 : Alicia_x000D_
Merci ! Je vous souhaite une très belle journée ! :)</t>
  </si>
  <si>
    <t>22-01-25 07:01</t>
  </si>
  <si>
    <t>22-01-25 07:03</t>
  </si>
  <si>
    <t xml:space="preserve"># La réservation 4420086532 a été modifiée._x000D_
</t>
  </si>
  <si>
    <t xml:space="preserve"># La réservation 4823518365 a été modifiée._x000D_
</t>
  </si>
  <si>
    <t xml:space="preserve"># La réservation 4731844990 a été modifiée._x000D_
</t>
  </si>
  <si>
    <t xml:space="preserve"># La réservation 4347714337 a été modifiée._x000D_
</t>
  </si>
  <si>
    <t xml:space="preserve"># La réservation 4603612125 a été modifiée._x000D_
</t>
  </si>
  <si>
    <t xml:space="preserve"># La réservation 4580401109 a été modifiée._x000D_
</t>
  </si>
  <si>
    <t xml:space="preserve"># La réservation 4983805999 a été modifiée._x000D_
</t>
  </si>
  <si>
    <t xml:space="preserve"># La réservation 4453628772 a été modifiée._x000D_
</t>
  </si>
  <si>
    <t xml:space="preserve"># La réservation 4391135784 a été modifiée._x000D_
</t>
  </si>
  <si>
    <t xml:space="preserve"># La réservation 4845700436 a été modifiée._x000D_
</t>
  </si>
  <si>
    <t xml:space="preserve"># La réservation 4630993662 a été modifiée._x000D_
</t>
  </si>
  <si>
    <t xml:space="preserve"># La réservation 4460594523 a été modifiée._x000D_
</t>
  </si>
  <si>
    <t xml:space="preserve"># La réservation 4404105301 a été modifiée._x000D_
</t>
  </si>
  <si>
    <t xml:space="preserve"># La réservation 4775975848 a été modifiée._x000D_
</t>
  </si>
  <si>
    <t xml:space="preserve"># La réservation 4662083894 a été modifiée._x000D_
</t>
  </si>
  <si>
    <t xml:space="preserve"># La réservation 4505012794 a été modifiée._x000D_
</t>
  </si>
  <si>
    <t xml:space="preserve"># La réservation 4778018421 a été modifiée._x000D_
</t>
  </si>
  <si>
    <t xml:space="preserve"># La réservation 4923471545 a été modifiée._x000D_
</t>
  </si>
  <si>
    <t xml:space="preserve"># La réservation 4370344277 a été modifiée._x000D_
</t>
  </si>
  <si>
    <t>22-01-2025 11.01</t>
  </si>
  <si>
    <t>21–28 janv. 2025 : Kelly_x000D_
Bonjour ! Tout va bien pour l'instant. Merci pour votre arrivée \uD83D\uDE0</t>
  </si>
  <si>
    <t>22-01-2025 19.40</t>
  </si>
  <si>
    <t xml:space="preserve">29 janv. – 4 févr. 2025 : Jason_x000D_
Bonjour Alessandra et Louis, j'ai rempli le formulaire. N'hésitez pas à me </t>
  </si>
  <si>
    <t>22-01-2025 20.01</t>
  </si>
  <si>
    <t>Joy a effectué une réservation_x000D_
Joy a effectué une Réservation instantanée pour votre logement pour le 14 m</t>
  </si>
  <si>
    <t>23-01-2025 05.01</t>
  </si>
  <si>
    <t xml:space="preserve">Bridget a effectué une réservation_x000D_
Bridget a effectué une Réservation instantanée pour votre logement pour le </t>
  </si>
  <si>
    <t>23-01-2025 06.20</t>
  </si>
  <si>
    <t xml:space="preserve">Tina a effectué une réservation_x000D_
Tina a effectué une Réservation instantanée pour votre logement pour le 31 </t>
  </si>
  <si>
    <t>HMD2TJXJCT</t>
  </si>
  <si>
    <t>Bridget Kelly</t>
  </si>
  <si>
    <t>+1 920-470-3077</t>
  </si>
  <si>
    <t>HMMBDNKH58</t>
  </si>
  <si>
    <t>Joy Best</t>
  </si>
  <si>
    <t>+1 425-314-6445</t>
  </si>
  <si>
    <t>23-01-25 07:00</t>
  </si>
  <si>
    <t xml:space="preserve"># La réservation HMMPSMTA4A a été ajoutée. _x000D_
Joséphine - 31-05-2025 - 30 jours - 1 552,89 €_x000D_
</t>
  </si>
  <si>
    <t xml:space="preserve"># La réservation HMD2TJXJCT a été ajoutée. _x000D_
Apollinaire - 10-05-2025 - 3 jours - 734,88 €_x000D_
</t>
  </si>
  <si>
    <t xml:space="preserve"># La réservation HMMBDNKH58 a été ajoutée. _x000D_
Apollinaire - 14-03-2025 - 7 jours - 1 288,87 €_x000D_
</t>
  </si>
  <si>
    <t>23-01-25 07:01</t>
  </si>
  <si>
    <t xml:space="preserve">#  899,14 € versés pour la réservation Maury du 21/01/2025_x000D_
</t>
  </si>
  <si>
    <t>23-01-2025 09.37</t>
  </si>
  <si>
    <t xml:space="preserve">16–23 janv. 2025 : Michaela_x000D_
A réagi avec \uD83D\uDC4D à « Bonjour Maria, We sincerely hope you enjoyed </t>
  </si>
  <si>
    <t>23-01-2025 10.13</t>
  </si>
  <si>
    <t>16–23 janv. 2025 : Maria_x000D_
A réagi avec ❤️ à « Thank you so much for your lovely message Maria, it was</t>
  </si>
  <si>
    <t>Victor Carrero
2 adults, 4 children (15,15,7,2)</t>
  </si>
  <si>
    <t>1 647,00 €</t>
  </si>
  <si>
    <t>23-01-25 14:25</t>
  </si>
  <si>
    <t xml:space="preserve"># La réservation 4184487237 a été modifiée._x000D_
</t>
  </si>
  <si>
    <t xml:space="preserve"># La réservation 4460562427 a été modifiée._x000D_
</t>
  </si>
  <si>
    <t xml:space="preserve"># La réservation 4764952511 a été modifiée._x000D_
</t>
  </si>
  <si>
    <t xml:space="preserve"># La réservation 4949671891 a été modifiée._x000D_
</t>
  </si>
  <si>
    <t xml:space="preserve"># La réservation 4464214967 a été modifiée._x000D_
</t>
  </si>
  <si>
    <t xml:space="preserve"># La réservation 4444199620 a été modifiée._x000D_
</t>
  </si>
  <si>
    <t xml:space="preserve"># La réservation 4480118996 a été modifiée._x000D_
</t>
  </si>
  <si>
    <t xml:space="preserve"># La réservation 4843238100 a été modifiée._x000D_
</t>
  </si>
  <si>
    <t xml:space="preserve"># La réservation 4925023475 a été modifiée._x000D_
</t>
  </si>
  <si>
    <t xml:space="preserve"># La réservation 4797631656 a été modifiée._x000D_
</t>
  </si>
  <si>
    <t xml:space="preserve"># La réservation 4452801751 a été modifiée._x000D_
</t>
  </si>
  <si>
    <t>OK
Paid online</t>
  </si>
  <si>
    <t>23-01-25 14:28</t>
  </si>
  <si>
    <t xml:space="preserve"># La réservation 4628921531 a été ajoutée._x000D_
</t>
  </si>
  <si>
    <t>23-01-25 14:31</t>
  </si>
  <si>
    <t>23-01-25 14:32</t>
  </si>
  <si>
    <t>23-01-25 14:37</t>
  </si>
  <si>
    <t>23-01-25 14:38</t>
  </si>
  <si>
    <t>HMQT484PNP</t>
  </si>
  <si>
    <t>Marsha Howell</t>
  </si>
  <si>
    <t>+1 850-865-1822</t>
  </si>
  <si>
    <t>St. Augustine, FL</t>
  </si>
  <si>
    <t>24-01-25 07:00</t>
  </si>
  <si>
    <t xml:space="preserve"># La réservation HMQT484PNP a été ajoutée. _x000D_
Maury - 14-03-2025 - 5 jours - 655,76 €_x000D_
</t>
  </si>
  <si>
    <t>24-01-25 07:01</t>
  </si>
  <si>
    <t>24-01-25 07:02</t>
  </si>
  <si>
    <t>24-01-25 07:03</t>
  </si>
  <si>
    <t>24-01-25 09:32</t>
  </si>
  <si>
    <t xml:space="preserve"># La réservation 4628921531 a été modifiée._x000D_
</t>
  </si>
  <si>
    <t xml:space="preserve"># La réservation 4990288565 a été modifiée._x000D_
</t>
  </si>
  <si>
    <t>24-01-25 09:33</t>
  </si>
  <si>
    <t>24-01-25 09:44</t>
  </si>
  <si>
    <t>Dmytro Ryashchenko
4 guests</t>
  </si>
  <si>
    <t>1 005,00 €</t>
  </si>
  <si>
    <t>David Gonzalez Ballester
6 guests</t>
  </si>
  <si>
    <t>1 400,40 €</t>
  </si>
  <si>
    <t>Sandra Behr
4 guests</t>
  </si>
  <si>
    <t>525,00 €</t>
  </si>
  <si>
    <t>Nakano Shun
6 guests</t>
  </si>
  <si>
    <t>2 450,70 €</t>
  </si>
  <si>
    <t>Katelyn Loftus
3 guests</t>
  </si>
  <si>
    <t>1 808,59 €</t>
  </si>
  <si>
    <t>Baiba Strautmane
5 guests</t>
  </si>
  <si>
    <t>1 536,00 €</t>
  </si>
  <si>
    <t>YU SHIEN LAU
5 guests</t>
  </si>
  <si>
    <t>1 350,36 €</t>
  </si>
  <si>
    <t>Burcu Zaharia- Boztuna
4 guests</t>
  </si>
  <si>
    <t>259,00 €</t>
  </si>
  <si>
    <t>Jurate Valioniene
4 guests</t>
  </si>
  <si>
    <t>1 107,00 €</t>
  </si>
  <si>
    <t>Kellie Noble
5 guests</t>
  </si>
  <si>
    <t>1 036,80 €</t>
  </si>
  <si>
    <t>Wendy FElder
4 guests</t>
  </si>
  <si>
    <t>1 239,30 €</t>
  </si>
  <si>
    <t>Nicolas METROPE
4 adults</t>
  </si>
  <si>
    <t>1 308,15 €</t>
  </si>
  <si>
    <t>24-01-25 09:56</t>
  </si>
  <si>
    <t xml:space="preserve"># La réservation 4195835361 a été modifiée._x000D_
</t>
  </si>
  <si>
    <t xml:space="preserve"># La réservation 4184447904 a été modifiée._x000D_
</t>
  </si>
  <si>
    <t xml:space="preserve"># La réservation 4206448053 a été modifiée._x000D_
</t>
  </si>
  <si>
    <t xml:space="preserve"># La réservation 4106611714 a été modifiée._x000D_
</t>
  </si>
  <si>
    <t xml:space="preserve"># La réservation 4262873062 a été modifiée._x000D_
</t>
  </si>
  <si>
    <t xml:space="preserve"># La réservation 4019937393 a été modifiée._x000D_
</t>
  </si>
  <si>
    <t xml:space="preserve"># La réservation 4067945378 a été modifiée._x000D_
</t>
  </si>
  <si>
    <t xml:space="preserve"># La réservation 4716248688 a été modifiée._x000D_
</t>
  </si>
  <si>
    <t xml:space="preserve"># La réservation 4032156990 a été modifiée._x000D_
</t>
  </si>
  <si>
    <t xml:space="preserve"># La réservation 4144438075 a été modifiée._x000D_
</t>
  </si>
  <si>
    <t xml:space="preserve"># La réservation 4606104804 a été modifiée._x000D_
</t>
  </si>
  <si>
    <t xml:space="preserve"># La réservation 4840337148 a été modifiée._x000D_
</t>
  </si>
  <si>
    <t>Joachim Ullrich
4 guests</t>
  </si>
  <si>
    <t>290,00 €</t>
  </si>
  <si>
    <t>Rebecca Davis-suskind
2 guests</t>
  </si>
  <si>
    <t>1 591,25 €</t>
  </si>
  <si>
    <t>24-01-25 09:57</t>
  </si>
  <si>
    <t xml:space="preserve"># La réservation 4183359334 a été modifiée._x000D_
</t>
  </si>
  <si>
    <t xml:space="preserve"># La réservation 4525834999 a été modifiée._x000D_
</t>
  </si>
  <si>
    <t>HM8YSBNYMF</t>
  </si>
  <si>
    <t>Samantha Mead</t>
  </si>
  <si>
    <t>+1 215-932-2300</t>
  </si>
  <si>
    <t>24-01-25 22:02</t>
  </si>
  <si>
    <t xml:space="preserve"># La réservation HM8YSBNYMF a été ajoutée. _x000D_
Maury - 13-02-2025 - 3 jours - 275,28 €_x000D_
</t>
  </si>
  <si>
    <t>Carlsbad, CA</t>
  </si>
  <si>
    <t>25-01-25 07:01</t>
  </si>
  <si>
    <t>25-01-25 07:02</t>
  </si>
  <si>
    <t>25-01-25 17:38</t>
  </si>
  <si>
    <t xml:space="preserve"># La réservation 4833313933 a été ajoutée._x000D_
</t>
  </si>
  <si>
    <t>26-01-25 07:01</t>
  </si>
  <si>
    <t xml:space="preserve">#  757,84 € versés pour la réservation Apollinaire du 24/01/2025_x000D_
</t>
  </si>
  <si>
    <t>26-01-25 07:02</t>
  </si>
  <si>
    <t>26-01-25 07:03</t>
  </si>
  <si>
    <t>Federica Ielasi
2 adults, 2 children (13,17)</t>
  </si>
  <si>
    <t>1 610,00 €</t>
  </si>
  <si>
    <t>26-01-25 19:18</t>
  </si>
  <si>
    <t>4882317107</t>
  </si>
  <si>
    <t xml:space="preserve"># La réservation 4882317107 a été ajoutée._x000D_
</t>
  </si>
  <si>
    <t>27-01-25 07:01</t>
  </si>
  <si>
    <t>27-01-25 07:02</t>
  </si>
  <si>
    <t>27-01-25 10:21</t>
  </si>
  <si>
    <t xml:space="preserve"># La réservation 4882317107 a été modifiée._x000D_
</t>
  </si>
  <si>
    <t>27-01-25 10:24</t>
  </si>
  <si>
    <t>27-01-25 12:27</t>
  </si>
  <si>
    <t xml:space="preserve"># La réservation 4499230180 a été ajoutée._x000D_
</t>
  </si>
  <si>
    <t>27-01-25 12:28</t>
  </si>
  <si>
    <t>27-01-25 12:31</t>
  </si>
  <si>
    <t xml:space="preserve">La réservation 4496695561 a été modifiée._x000D_
</t>
  </si>
  <si>
    <t xml:space="preserve">La réservation 4882317107 a été modifiée._x000D_
</t>
  </si>
  <si>
    <t xml:space="preserve">La réservation 4397270804 a été modifiée._x000D_
</t>
  </si>
  <si>
    <t xml:space="preserve">La réservation 4886775460 a été modifiée._x000D_
</t>
  </si>
  <si>
    <t xml:space="preserve">La réservation 4460305343 a été modifiée._x000D_
</t>
  </si>
  <si>
    <t xml:space="preserve">La réservation 4776935565 a été modifiée._x000D_
</t>
  </si>
  <si>
    <t xml:space="preserve">La réservation 4499230180 a été modifiée._x000D_
</t>
  </si>
  <si>
    <t xml:space="preserve">La réservation 4840296638 a été modifiée._x000D_
</t>
  </si>
  <si>
    <t>27-01-25 12:34</t>
  </si>
  <si>
    <t>27-01-25 12:42</t>
  </si>
  <si>
    <t xml:space="preserve">La réservation 4983805999 a été modifiée._x000D_
</t>
  </si>
  <si>
    <t>27-01-25 12:49</t>
  </si>
  <si>
    <t>27-01-25 18:16</t>
  </si>
  <si>
    <t xml:space="preserve">#  Note de 5 pour Apollinaire le 16-01-2025_x000D_
</t>
  </si>
  <si>
    <t>27-01-25 18:17</t>
  </si>
  <si>
    <t>28-01-25 12:16</t>
  </si>
  <si>
    <t>28-01-25 12:17</t>
  </si>
  <si>
    <t xml:space="preserve">La réservation 4826393367 a été ajoutée._x000D_
</t>
  </si>
  <si>
    <t>28-01-25 12:48</t>
  </si>
  <si>
    <t xml:space="preserve">La réservation 4460562427 a été modifiée._x000D_
</t>
  </si>
  <si>
    <t xml:space="preserve">La réservation 4764952511 a été modifiée._x000D_
</t>
  </si>
  <si>
    <t xml:space="preserve">La réservation 4949671891 a été modifiée._x000D_
</t>
  </si>
  <si>
    <t xml:space="preserve">La réservation 4464214967 a été modifiée._x000D_
</t>
  </si>
  <si>
    <t xml:space="preserve">La réservation 4444199620 a été modifiée._x000D_
</t>
  </si>
  <si>
    <t xml:space="preserve">La réservation 4742053135 a été modifiée._x000D_
</t>
  </si>
  <si>
    <t xml:space="preserve">La réservation 4480118996 a été modifiée._x000D_
</t>
  </si>
  <si>
    <t xml:space="preserve">La réservation 4843238100 a été modifiée._x000D_
</t>
  </si>
  <si>
    <t xml:space="preserve">La réservation 4925023475 a été modifiée._x000D_
</t>
  </si>
  <si>
    <t xml:space="preserve">La réservation 4797631656 a été modifiée._x000D_
</t>
  </si>
  <si>
    <t xml:space="preserve">La réservation 4452801751 a été modifiée._x000D_
</t>
  </si>
  <si>
    <t xml:space="preserve">La réservation 4628921531 a été modifiée._x000D_
</t>
  </si>
  <si>
    <t xml:space="preserve">La réservation 4990288565 a été modifiée._x000D_
</t>
  </si>
  <si>
    <t>28-01-25 12:51</t>
  </si>
  <si>
    <t>29-01-25 07:01</t>
  </si>
  <si>
    <t>29-01-25 10:51</t>
  </si>
  <si>
    <t>HM2C3WJK9M</t>
  </si>
  <si>
    <t>Ryan McCandlish</t>
  </si>
  <si>
    <t>+61 418 686 648</t>
  </si>
  <si>
    <t>Glen Iris, Australia</t>
  </si>
  <si>
    <t>29-01-25 13:24</t>
  </si>
  <si>
    <t xml:space="preserve"># La réservation HM2C3WJK9M a été ajoutée. _x000D_
Apollinaire - 29-06-2025 - 3 jours - 734,88 €_x000D_
</t>
  </si>
  <si>
    <t>29-01-25 13:25</t>
  </si>
  <si>
    <t>Brooke Lean</t>
  </si>
  <si>
    <t>Luis Alonso Salazar Sanchez</t>
  </si>
  <si>
    <t xml:space="preserve">#  La réservation du 250/2006/1 chez Apollinaire de Booking n'a pas été trouvée sur ListeRésas._x000D_
</t>
  </si>
  <si>
    <t xml:space="preserve">#  La réservation du 255/2019/0 chez Maury de Booking n'a pas été trouvée sur ListeRésas._x000D_
</t>
  </si>
  <si>
    <t xml:space="preserve">#  La réservation du 252/2028/0 chez Maury de Airbnb n'a pas été trouvée sur ListeRésas._x000D_
</t>
  </si>
  <si>
    <t xml:space="preserve">#  La réservation du 252/2005/0 chez Maury de Airbnb n'a pas été trouvée sur ListeRésas._x000D_
</t>
  </si>
  <si>
    <t xml:space="preserve">#  La réservation du 06-10-25279 chez Apollinaire de Booking n'a pas été trouvée sur ListeRésas._x000D_
</t>
  </si>
  <si>
    <t xml:space="preserve">#  La réservation du 19-05-25139 chez Maury de Booking n'a pas été trouvée sur ListeRésas._x000D_
</t>
  </si>
  <si>
    <t xml:space="preserve">#  La réservation du 28-02-2559 chez Maury de Airbnb n'a pas été trouvée sur ListeRésas._x000D_
</t>
  </si>
  <si>
    <t xml:space="preserve">#  La réservation du 05-02-2536 chez Maury de Airbnb n'a pas été trouvée sur ListeRésas._x000D_
</t>
  </si>
  <si>
    <t xml:space="preserve">#  La réservation du 06-10-2025 chez Apollinaire de Booking n'a pas été trouvée sur ListeRésas._x000D_
</t>
  </si>
  <si>
    <t xml:space="preserve">#  La réservation du 19-05-2025 chez Maury de Booking n'a pas été trouvée sur ListeRésas._x000D_
</t>
  </si>
  <si>
    <t xml:space="preserve">#  La réservation du 28-02-2025 chez Maury de Airbnb n'a pas été trouvée sur ListeRésas._x000D_
</t>
  </si>
  <si>
    <t xml:space="preserve">#  La réservation du 05-02-2025 chez Maury de Airbnb n'a pas été trouvée sur ListeRésas._x000D_
</t>
  </si>
  <si>
    <t xml:space="preserve">#  La réservation du 01-04-2026 chez Apollinaire de Booking n'a pas été trouvée sur ListeGuesty._x000D_
</t>
  </si>
  <si>
    <t xml:space="preserve">#  La réservation du 24-12-2025 chez Apollinaire de Booking n'a pas été trouvée sur ListeGuesty._x000D_
</t>
  </si>
  <si>
    <t xml:space="preserve">#  La réservation du 18-12-2025 chez Maury de Booking n'a pas été trouvée sur ListeGuesty._x000D_
</t>
  </si>
  <si>
    <t xml:space="preserve">#  La réservation du 14-11-2025 chez Apollinaire de Airbnb n'a pas été trouvée sur ListeGuesty._x000D_
</t>
  </si>
  <si>
    <t xml:space="preserve">#  La réservation du 02-11-2025 chez Maury de Booking n'a pas été trouvée sur ListeGuesty._x000D_
</t>
  </si>
  <si>
    <t xml:space="preserve">#  La réservation du 31-10-2025 chez Joséphine de Airbnb n'a pas été trouvée sur ListeGuesty._x000D_
</t>
  </si>
  <si>
    <t xml:space="preserve">#  La réservation du 10-10-2025 chez Apollinaire de Booking n'a pas été trouvée sur ListeGuesty._x000D_
</t>
  </si>
  <si>
    <t xml:space="preserve">#  La réservation du 01-10-2025 chez Joséphine de Airbnb n'a pas été trouvée sur ListeGuesty._x000D_
</t>
  </si>
  <si>
    <t xml:space="preserve">#  La réservation du 16-09-2025 chez Apollinaire de Booking n'a pas été trouvée sur ListeGuesty._x000D_
</t>
  </si>
  <si>
    <t xml:space="preserve">#  La réservation du 09-09-2025 chez Apollinaire de Booking n'a pas été trouvée sur ListeGuesty._x000D_
</t>
  </si>
  <si>
    <t xml:space="preserve">#  La réservation du 09-08-2025 chez Maury de Booking n'a pas été trouvée sur ListeGuesty._x000D_
</t>
  </si>
  <si>
    <t xml:space="preserve">#  La réservation du 05-08-2025 chez Joséphine de Airbnb n'a pas été trouvée sur ListeGuesty._x000D_
</t>
  </si>
  <si>
    <t xml:space="preserve">#  La réservation du 01-08-2025 chez Apollinaire de Booking n'a pas été trouvée sur ListeGuesty._x000D_
</t>
  </si>
  <si>
    <t xml:space="preserve">#  La réservation du 30-07-2025 chez Maury de Airbnb n'a pas été trouvée sur ListeGuesty._x000D_
</t>
  </si>
  <si>
    <t xml:space="preserve">#  La réservation du 23-07-2025 chez Apollinaire de Booking n'a pas été trouvée sur ListeGuesty._x000D_
</t>
  </si>
  <si>
    <t xml:space="preserve">#  La réservation du 19-07-2025 chez Maury de Airbnb n'a pas été trouvée sur ListeGuesty._x000D_
</t>
  </si>
  <si>
    <t xml:space="preserve">#  La réservation du 14-07-2025 chez Maury de Booking n'a pas été trouvée sur ListeGuesty._x000D_
</t>
  </si>
  <si>
    <t xml:space="preserve">#  La réservation du 11-07-2025 chez Apollinaire de Booking n'a pas été trouvée sur ListeGuesty._x000D_
</t>
  </si>
  <si>
    <t xml:space="preserve">#  La réservation du 07-07-2025 chez Apollinaire de Booking n'a pas été trouvée sur ListeGuesty._x000D_
</t>
  </si>
  <si>
    <t xml:space="preserve">#  La réservation du 06-07-2025 chez Maury de Booking n'a pas été trouvée sur ListeGuesty._x000D_
</t>
  </si>
  <si>
    <t xml:space="preserve">#  La réservation du 02-07-2025 chez Apollinaire de Booking n'a pas été trouvée sur ListeGuesty._x000D_
</t>
  </si>
  <si>
    <t xml:space="preserve">#  La réservation du 30-06-2025 chez Joséphine de Airbnb n'a pas été trouvée sur ListeGuesty._x000D_
</t>
  </si>
  <si>
    <t xml:space="preserve">#  La réservation du 30-06-2025 chez Maury de Booking n'a pas été trouvée sur ListeGuesty._x000D_
</t>
  </si>
  <si>
    <t xml:space="preserve">#  La réservation du 29-06-2025 chez Apollinaire de Airbnb n'a pas été trouvée sur ListeGuesty._x000D_
</t>
  </si>
  <si>
    <t xml:space="preserve">#  La réservation du 19-06-2025 chez Maury de Booking n'a pas été trouvée sur ListeGuesty._x000D_
</t>
  </si>
  <si>
    <t xml:space="preserve">#  La réservation du 14-06-2025 chez Apollinaire de Airbnb n'a pas été trouvée sur ListeGuesty._x000D_
</t>
  </si>
  <si>
    <t xml:space="preserve">#  La réservation du 14-06-2025 chez Maury de Booking n'a pas été trouvée sur ListeGuesty._x000D_
</t>
  </si>
  <si>
    <t xml:space="preserve">#  La réservation du 09-06-2025 chez Maury de Booking n'a pas été trouvée sur ListeGuesty._x000D_
</t>
  </si>
  <si>
    <t xml:space="preserve">#  La réservation du 06-06-2025 chez Maury de Booking n'a pas été trouvée sur ListeGuesty._x000D_
</t>
  </si>
  <si>
    <t xml:space="preserve">#  La réservation du 31-05-2025 chez Joséphine de Airbnb n'a pas été trouvée sur ListeGuesty._x000D_
</t>
  </si>
  <si>
    <t xml:space="preserve">#  La réservation du 31-05-2025 chez Apollinaire de Booking n'a pas été trouvée sur ListeGuesty._x000D_
</t>
  </si>
  <si>
    <t xml:space="preserve">#  La réservation du 29-05-2025 chez Maury de Airbnb n'a pas été trouvée sur ListeGuesty._x000D_
</t>
  </si>
  <si>
    <t xml:space="preserve">#  La réservation du 28-05-2025 chez Apollinaire de Booking n'a pas été trouvée sur ListeGuesty._x000D_
</t>
  </si>
  <si>
    <t xml:space="preserve">#  La réservation du 24-05-2025 chez Apollinaire de Booking n'a pas été trouvée sur ListeGuesty._x000D_
</t>
  </si>
  <si>
    <t xml:space="preserve">#  La réservation du 20-05-2025 chez Maury de Booking n'a pas été trouvée sur ListeGuesty._x000D_
</t>
  </si>
  <si>
    <t xml:space="preserve">#  La réservation du 15-05-2025 chez Apollinaire de Airbnb n'a pas été trouvée sur ListeGuesty._x000D_
</t>
  </si>
  <si>
    <t xml:space="preserve">#  La réservation du 14-05-2025 chez Maury de Booking n'a pas été trouvée sur ListeGuesty._x000D_
</t>
  </si>
  <si>
    <t xml:space="preserve">#  La réservation du 10-05-2025 chez Apollinaire de Airbnb n'a pas été trouvée sur ListeGuesty._x000D_
</t>
  </si>
  <si>
    <t xml:space="preserve">#  La réservation du 01-05-2025 chez Maury de Booking n'a pas été trouvée sur ListeGuesty._x000D_
</t>
  </si>
  <si>
    <t xml:space="preserve">#  La réservation du 01-05-2025 chez Joséphine de Airbnb n'a pas été trouvée sur ListeGuesty._x000D_
</t>
  </si>
  <si>
    <t xml:space="preserve">#  La réservation du 28-04-2025 chez Apollinaire de Airbnb n'a pas été trouvée sur ListeGuesty._x000D_
</t>
  </si>
  <si>
    <t xml:space="preserve">#  La réservation du 23-04-2025 chez Apollinaire de Booking n'a pas été trouvée sur ListeGuesty._x000D_
</t>
  </si>
  <si>
    <t xml:space="preserve">#  La réservation du 21-04-2025 chez Maury de Booking n'a pas été trouvée sur ListeGuesty._x000D_
</t>
  </si>
  <si>
    <t xml:space="preserve">#  La réservation du 18-04-2025 chez Apollinaire de Booking n'a pas été trouvée sur ListeGuesty._x000D_
</t>
  </si>
  <si>
    <t xml:space="preserve">#  La réservation du 14-04-2025 chez Maury de Booking n'a pas été trouvée sur ListeGuesty._x000D_
</t>
  </si>
  <si>
    <t xml:space="preserve">#  La réservation du 10-04-2025 chez Maury de Booking n'a pas été trouvée sur ListeGuesty._x000D_
</t>
  </si>
  <si>
    <t xml:space="preserve">#  La réservation du 09-04-2025 chez Apollinaire de Airbnb n'a pas été trouvée sur ListeGuesty._x000D_
</t>
  </si>
  <si>
    <t xml:space="preserve">#  La réservation du 01-04-2025 chez Joséphine de Airbnb n'a pas été trouvée sur ListeGuesty._x000D_
</t>
  </si>
  <si>
    <t xml:space="preserve">#  La réservation du 29-03-2025 chez Maury de Booking n'a pas été trouvée sur ListeGuesty._x000D_
</t>
  </si>
  <si>
    <t xml:space="preserve">#  La réservation du 26-03-2025 chez Apollinaire de Booking n'a pas été trouvée sur ListeGuesty._x000D_
</t>
  </si>
  <si>
    <t xml:space="preserve">#  La réservation du 21-03-2025 chez Apollinaire de Airbnb n'a pas été trouvée sur ListeGuesty._x000D_
</t>
  </si>
  <si>
    <t xml:space="preserve">#  La réservation du 20-03-2025 chez Maury de Airbnb n'a pas été trouvée sur ListeGuesty._x000D_
</t>
  </si>
  <si>
    <t xml:space="preserve">#  La réservation du 14-03-2025 chez Maury de Airbnb n'a pas été trouvée sur ListeGuesty._x000D_
</t>
  </si>
  <si>
    <t xml:space="preserve">#  La réservation du 14-03-2025 chez Apollinaire de Airbnb n'a pas été trouvée sur ListeGuesty._x000D_
</t>
  </si>
  <si>
    <t xml:space="preserve">#  La réservation du 06-03-2025 chez Maury de Booking n'a pas été trouvée sur ListeGuesty._x000D_
</t>
  </si>
  <si>
    <t xml:space="preserve">#  La réservation du 04-03-2025 chez Apollinaire de Airbnb n'a pas été trouvée sur ListeGuesty._x000D_
</t>
  </si>
  <si>
    <t xml:space="preserve">#  La réservation du 28-02-2025 chez Joséphine de Airbnb n'a pas été trouvée sur ListeGuesty._x000D_
</t>
  </si>
  <si>
    <t xml:space="preserve">#  La réservation du 22-02-2025 chez Apollinaire de Booking n'a pas été trouvée sur ListeGuesty._x000D_
</t>
  </si>
  <si>
    <t xml:space="preserve">#  La réservation du 20-02-2025 chez Maury de Booking n'a pas été trouvée sur ListeGuesty._x000D_
</t>
  </si>
  <si>
    <t xml:space="preserve">#  La réservation du 19-02-2025 chez Apollinaire de Booking n'a pas été trouvée sur ListeGuesty._x000D_
</t>
  </si>
  <si>
    <t xml:space="preserve">#  La réservation du 16-02-2025 chez Apollinaire de Airbnb n'a pas été trouvée sur ListeGuesty._x000D_
</t>
  </si>
  <si>
    <t xml:space="preserve">#  La réservation du 16-02-2025 chez Maury de Airbnb n'a pas été trouvée sur ListeGuesty._x000D_
</t>
  </si>
  <si>
    <t xml:space="preserve">#  La réservation du 13-02-2025 chez Maury de Airbnb n'a pas été trouvée sur ListeGuesty._x000D_
</t>
  </si>
  <si>
    <t xml:space="preserve">#  La réservation du 08-02-2025 chez Maury de Airbnb n'a pas été trouvée sur ListeGuesty._x000D_
</t>
  </si>
  <si>
    <t xml:space="preserve">#  La réservation du 06-02-2025 chez Apollinaire de Airbnb n'a pas été trouvée sur ListeGuesty._x000D_
</t>
  </si>
  <si>
    <t xml:space="preserve">#  La réservation du 255/2020/0 chez Maury de Booking n'a pas été trouvée sur ListeGuesty._x000D_
</t>
  </si>
  <si>
    <t xml:space="preserve">#  La réservation du 255/2014/0 chez Maury de Booking n'a pas été trouvée sur ListeGuesty._x000D_
</t>
  </si>
  <si>
    <t>HM58N43W3A</t>
  </si>
  <si>
    <t>+64 21 129 9814</t>
  </si>
  <si>
    <t>New Plymouth, New Zealand</t>
  </si>
  <si>
    <t>HMEKZ5S8ZP</t>
  </si>
  <si>
    <t>+52 662 107 8925</t>
  </si>
  <si>
    <t>Son., Mexico</t>
  </si>
  <si>
    <t xml:space="preserve"># La réservation HM58N43W3A a été ajoutée. _x000D_
Maury - 28-02-2025 - 3 jours - 344,16 €_x000D_
</t>
  </si>
  <si>
    <t xml:space="preserve"># La réservation HMEKZ5S8ZP a été ajoutée. _x000D_
Maury - 05-02-2025 - 3 jours - 226,08 €_x000D_
</t>
  </si>
  <si>
    <t xml:space="preserve">#  Note de 5 pour Maury le 21-01-2025_x000D_
</t>
  </si>
  <si>
    <t xml:space="preserve">#  380,64 € versés pour la réservation Apollinaire du 02/02/2025_x000D_
</t>
  </si>
  <si>
    <t xml:space="preserve">#  841,29 € versés pour la réservation Maury du 29/01/2025_x000D_
</t>
  </si>
  <si>
    <t xml:space="preserve"># La réservation 4444199620 a été supprimée._x000D_
</t>
  </si>
  <si>
    <t xml:space="preserve">La réservation 4925023475 a été ajoutée._x000D_
</t>
  </si>
  <si>
    <t xml:space="preserve">La réservation 4379362132 a été ajoutée._x000D_
</t>
  </si>
  <si>
    <t xml:space="preserve">Réservation annulée : Apollinaire - 22/02/2025 - Réservation : 4444199620_x000D_
</t>
  </si>
  <si>
    <t>1 840,00 €</t>
  </si>
  <si>
    <t xml:space="preserve"># La réservation 4391135784 a été supprimée._x000D_
</t>
  </si>
  <si>
    <t xml:space="preserve">La réservation 4845700436 a été modifiée._x000D_
</t>
  </si>
  <si>
    <t xml:space="preserve">Réservation annulée : Maury - 14/05/2025 - Réservation : 4391135784_x000D_
</t>
  </si>
  <si>
    <t xml:space="preserve"># Apollinaire -  Note de 8_x000D_
</t>
  </si>
  <si>
    <t xml:space="preserve">#  La réservation du 05-08-2025 chez Joséphine de Airbnb n'a pas été trouvée sur ListeRésas._x000D_
</t>
  </si>
  <si>
    <t xml:space="preserve">#  Note de 5 pour Maury le 29-01-2025_x000D_
</t>
  </si>
  <si>
    <t xml:space="preserve">#  La réservation du 13-08-2025 chez Apollinaire de Airbnb n'a pas été trouvée sur ListeRésas._x000D_
</t>
  </si>
  <si>
    <t>HMH3W55CMW</t>
  </si>
  <si>
    <t>Bridgewater, NJ</t>
  </si>
  <si>
    <t xml:space="preserve"># La réservation HMH3W55CMW a été ajoutée. _x000D_
Apollinaire - 13-08-2025 - 5 jours - 1 331,84 €_x000D_
</t>
  </si>
  <si>
    <t xml:space="preserve">#  1923,48 € versés pour la réservation Apollinaire du 06/02/2025_x000D_
</t>
  </si>
  <si>
    <t xml:space="preserve">#  226,08 € versés pour la réservation Maury du 05/02/2025_x000D_
</t>
  </si>
  <si>
    <t>HMFRQ4Y5WX</t>
  </si>
  <si>
    <t>Romance Valenti-Faucher</t>
  </si>
  <si>
    <t xml:space="preserve"># La réservation HMFRQ4Y5WX a été ajoutée. _x000D_
Maury - 23-06-2025 - 6 jours - 1 092,00 €_x000D_
</t>
  </si>
  <si>
    <t xml:space="preserve">La réservation 4897034246 a été ajoutée._x000D_
</t>
  </si>
  <si>
    <t xml:space="preserve">#  609,84 € versés pour la réservation Maury du 08/02/2025_x000D_
</t>
  </si>
  <si>
    <t>Anushka Lobo
3 adults</t>
  </si>
  <si>
    <t>4563095836</t>
  </si>
  <si>
    <t xml:space="preserve">La réservation 4563095836 a été ajoutée._x000D_
</t>
  </si>
  <si>
    <t>HMXF2JZJBR</t>
  </si>
  <si>
    <t xml:space="preserve"># La réservation HMXF2JZJBR a été ajoutée. _x000D_
Maury - 11-05-2025 - 3 jours - 511,44 €_x000D_
</t>
  </si>
  <si>
    <t xml:space="preserve">#  Note de 2 pour Apollinaire le 24-01-2025_x000D_
</t>
  </si>
  <si>
    <t xml:space="preserve">#  La réservation du 28-12-2025 chez Maury de Booking n'a pas été trouvée sur ListeRésas._x000D_
</t>
  </si>
  <si>
    <t>Lotteke Plante
2 adults, 2 children (9,7)</t>
  </si>
  <si>
    <t xml:space="preserve">La réservation 4898046080 a été ajoutée._x000D_
</t>
  </si>
  <si>
    <t xml:space="preserve">#  12500,27 € versés pour un règlement partiel de la réservation Odessa du 10/09/2024_x000D_
</t>
  </si>
  <si>
    <t>13-02-25 07:01</t>
  </si>
  <si>
    <t>13-02-25 14:06</t>
  </si>
  <si>
    <t xml:space="preserve">#  Note de 5 pour Maury le 08-02-2025_x000D_
</t>
  </si>
  <si>
    <t>HMYZDRNJTY</t>
  </si>
  <si>
    <t>Fabio Caravello</t>
  </si>
  <si>
    <t>+55 21 99863-8011</t>
  </si>
  <si>
    <t>RJ, Brazil</t>
  </si>
  <si>
    <t>14-02-25 20:49</t>
  </si>
  <si>
    <t xml:space="preserve"># La réservation HMYZDRNJTY a été ajoutée. _x000D_
Apollinaire - 22-02-2025 - 9 jours - 996,62 €_x000D_
</t>
  </si>
  <si>
    <t>14-02-25 20:50</t>
  </si>
  <si>
    <t xml:space="preserve">#  275,28 € versés pour la réservation Maury du 13/02/2025_x000D_
</t>
  </si>
  <si>
    <t>15-02-25 07:00</t>
  </si>
  <si>
    <t xml:space="preserve"># La réservation HMXF2JZJBR a été modifiée. _x000D_
Maury - 11-05-2025 - 4 jours - 685,28 €_x000D_
</t>
  </si>
  <si>
    <t>16-02-25 07:00</t>
  </si>
  <si>
    <t>La réservation HMDNBW33EY a été supprimée.</t>
  </si>
  <si>
    <t>16-02-25 07:01</t>
  </si>
  <si>
    <t>16-02-25 11:15</t>
  </si>
  <si>
    <t xml:space="preserve">#  La réservation du 15-11-2025 chez Maury de Airbnb n'a pas été trouvée sur ListeRésas._x000D_
</t>
  </si>
  <si>
    <t xml:space="preserve">#  La réservation du 09-03-2025 chez Maury de Booking n'a pas été trouvée sur ListeRésas._x000D_
</t>
  </si>
  <si>
    <t>HM89QH98XA</t>
  </si>
  <si>
    <t>Canning Vale, Australia</t>
  </si>
  <si>
    <t>16-02-25 11:17</t>
  </si>
  <si>
    <t xml:space="preserve"># La réservation HM89QH98XA a été ajoutée. _x000D_
Maury - 15-11-2025 - 5 jours - 695,12 €_x000D_
</t>
  </si>
  <si>
    <t>Ekaterina Shnayder
3 adults</t>
  </si>
  <si>
    <t>625,00 €</t>
  </si>
  <si>
    <t>4303626002</t>
  </si>
  <si>
    <t>16-02-25 11:53</t>
  </si>
  <si>
    <t xml:space="preserve">La réservation 4303626002 a été ajoutée._x000D_
</t>
  </si>
  <si>
    <t>HM8PAJQNS9</t>
  </si>
  <si>
    <t>John Truong</t>
  </si>
  <si>
    <t>+1 905-464-2623</t>
  </si>
  <si>
    <t>16-02-25 17:01</t>
  </si>
  <si>
    <t xml:space="preserve"># La réservation HM8PAJQNS9 a été ajoutée. _x000D_
Apollinaire - 11-03-2025 - 3 jours - 380,64 €_x000D_
</t>
  </si>
  <si>
    <t>16-02-25 17:04</t>
  </si>
  <si>
    <t xml:space="preserve"># La réservation 4460594523 a été supprimée._x000D_
</t>
  </si>
  <si>
    <t xml:space="preserve"># La réservation 4833313933 a été supprimée._x000D_
</t>
  </si>
  <si>
    <t xml:space="preserve">La réservation 4662083894 a été ajoutée._x000D_
</t>
  </si>
  <si>
    <t xml:space="preserve">Réservation annulée : Maury - 19/06/2025 - Réservation : 4833313933_x000D_
</t>
  </si>
  <si>
    <t xml:space="preserve">Réservation annulée : Maury - 09/06/2025 - Réservation : 4460594523_x000D_
</t>
  </si>
  <si>
    <t xml:space="preserve">#  La réservation du 19-07-2025 chez Maury de Airbnb n'a pas été trouvée sur ListeRésas._x000D_
</t>
  </si>
  <si>
    <t xml:space="preserve">#  La réservation du 06-06-2025 chez Maury de Booking n'a pas été trouvée sur ListeRésas._x000D_
</t>
  </si>
  <si>
    <t>16-02-25 17:05</t>
  </si>
  <si>
    <t>16-02-25 17:13</t>
  </si>
  <si>
    <t xml:space="preserve">La réservation 4630993662 a été ajoutée._x000D_
</t>
  </si>
  <si>
    <t xml:space="preserve">La réservation 4505012794 a été ajoutée._x000D_
</t>
  </si>
  <si>
    <t>16-02-25 17:17</t>
  </si>
  <si>
    <t xml:space="preserve"># La réservation HMS4394J9Y a été ajoutée. _x000D_
Maury - 19-07-2025 - 7 jours - 1 309,80 €_x000D_
</t>
  </si>
  <si>
    <t>16-02-25 20:35</t>
  </si>
  <si>
    <t xml:space="preserve">#  Note de 5 pour Apollinaire le 06-02-2025_x000D_
</t>
  </si>
  <si>
    <t>HMXQTDB4DM</t>
  </si>
  <si>
    <t>Perrine Parrod</t>
  </si>
  <si>
    <t>+61 423 049 765</t>
  </si>
  <si>
    <t>Docklands, Australia</t>
  </si>
  <si>
    <t>HMYP49PFZQ</t>
  </si>
  <si>
    <t>Roberta Garieri</t>
  </si>
  <si>
    <t>+39 334 302 5935</t>
  </si>
  <si>
    <t>Rome, Italy</t>
  </si>
  <si>
    <t>17-02-25 07:00</t>
  </si>
  <si>
    <t xml:space="preserve"># La réservation HMXQTDB4DM a été ajoutée. _x000D_
Apollinaire - 19-09-2025 - 16 jours - 3 671,14 €_x000D_
</t>
  </si>
  <si>
    <t xml:space="preserve"># La réservation HMYP49PFZQ a été ajoutée. _x000D_
Maury - 03-03-2025 - 3 jours - 285,12 €_x000D_
</t>
  </si>
  <si>
    <t>17-02-25 11:52</t>
  </si>
  <si>
    <t xml:space="preserve">#  La réservation du 14-10-2025 chez Apollinaire de Booking n'a pas été trouvée sur ListeRésas._x000D_
</t>
  </si>
  <si>
    <t xml:space="preserve">#  La réservation du 17-08-2025 chez Maury de Airbnb n'a pas été trouvée sur ListeRésas._x000D_
</t>
  </si>
  <si>
    <t>HMHYAJ43Z9</t>
  </si>
  <si>
    <t>17-02-25 12:04</t>
  </si>
  <si>
    <t xml:space="preserve"># La réservation HMHYAJ43Z9 a été ajoutée. _x000D_
Maury - 17-08-2025 - 4 jours - 632,80 €_x000D_
</t>
  </si>
  <si>
    <t>17-02-25 12:06</t>
  </si>
  <si>
    <t xml:space="preserve">La réservation 4684567559 a été ajoutée._x000D_
</t>
  </si>
  <si>
    <t>HMZK3QCQCZ</t>
  </si>
  <si>
    <t>SG</t>
  </si>
  <si>
    <t>17-02-25 16:27</t>
  </si>
  <si>
    <t xml:space="preserve"># La réservation HMZK3QCQCZ a été ajoutée. _x000D_
Maury - 11-12-2025 - 3 jours - 501,60 €_x000D_
</t>
  </si>
  <si>
    <t>17-02-25 17:04</t>
  </si>
  <si>
    <t>La réservation HMZK3QCQCZ a été supprimée.</t>
  </si>
  <si>
    <t xml:space="preserve">#  Note de 5 pour Maury le 13-02-2025_x000D_
</t>
  </si>
  <si>
    <t>19-02-25 08:24</t>
  </si>
  <si>
    <t xml:space="preserve">#  Note de 5 pour Apollinaire le 02-02-2025_x000D_
</t>
  </si>
  <si>
    <t>19-02-25 08:25</t>
  </si>
  <si>
    <t xml:space="preserve">#  631,91 € versés pour la réservation Maury du 16/02/2025_x000D_
</t>
  </si>
  <si>
    <t xml:space="preserve">#  449,52 € versés pour la réservation Apollinaire du 16/02/2025_x000D_
</t>
  </si>
  <si>
    <t>19-02-25 08:27</t>
  </si>
  <si>
    <t xml:space="preserve">La réservation 4848163273 a été ajoutée._x000D_
</t>
  </si>
  <si>
    <t>20-02-25 07:04</t>
  </si>
  <si>
    <t>HM2XMREJWB</t>
  </si>
  <si>
    <t>Jackie Edison</t>
  </si>
  <si>
    <t>20-02-25 18:00</t>
  </si>
  <si>
    <t xml:space="preserve"># La réservation HM2XMREJWB a été ajoutée. _x000D_
Maury - 09-07-2025 - 5 jours - 891,92 €_x000D_
</t>
  </si>
  <si>
    <t xml:space="preserve">#  Note de 5 pour Maury le 16-02-2025_x000D_
</t>
  </si>
  <si>
    <t>d11 nov.2024d11 oct.2024d11 déc.2024d11 déc. 20242025d11 nov. 20242025d11 janv.2025d11 févr.2025d20 févr.2025</t>
  </si>
  <si>
    <t>20-02-25 18:01</t>
  </si>
  <si>
    <t xml:space="preserve">#  12543,06 € versés pour un règlement partiel de la réservation Odessa du 10/09/2024_x000D_
</t>
  </si>
  <si>
    <t>20-02-25 19:26</t>
  </si>
  <si>
    <t xml:space="preserve"># La réservation HMXMHFEQQX a été modifiée. _x000D_
Odessa - 10-09-2024 - 180 jours - 9 409,57 €_x000D_
</t>
  </si>
  <si>
    <t>21-02-25 07:01</t>
  </si>
  <si>
    <t>21-02-25 20:04</t>
  </si>
  <si>
    <t xml:space="preserve">#  Note de 5 pour Maury le 05-02-2025_x000D_
</t>
  </si>
  <si>
    <t>22-02-25 07:01</t>
  </si>
  <si>
    <t>23-02-25 07:02</t>
  </si>
  <si>
    <t>23-02-25 07:03</t>
  </si>
  <si>
    <t xml:space="preserve">La réservation 4870635338 a été ajoutée._x000D_
</t>
  </si>
  <si>
    <t>23-02-25 07:04</t>
  </si>
  <si>
    <t xml:space="preserve"># Apollinaire -  Note de 9_x000D_
</t>
  </si>
  <si>
    <t>Fernández de Avila Ruben
2 guests</t>
  </si>
  <si>
    <t>1 150,00 €</t>
  </si>
  <si>
    <t>27-02-25 19:48</t>
  </si>
  <si>
    <t xml:space="preserve">La réservation 4803006430 a été ajoutée._x000D_
</t>
  </si>
  <si>
    <t xml:space="preserve"># La réservation 4370344277 a été supprimée._x000D_
</t>
  </si>
  <si>
    <t xml:space="preserve">Réservation annulée : Maury - 18/12/2025 - Réservation : 4370344277_x000D_
</t>
  </si>
  <si>
    <t>27-02-25 20:04</t>
  </si>
  <si>
    <t xml:space="preserve">#  La réservation du 30-06-2025 chez Maury de Booking n'a pas été trouvée sur ListeRésas._x000D_
</t>
  </si>
  <si>
    <t>27-02-25 20:17</t>
  </si>
  <si>
    <t>La réservation HMWW9MFAP2 a été supprimée.</t>
  </si>
  <si>
    <t>27-02-25 20:18</t>
  </si>
  <si>
    <t xml:space="preserve">#  996,62 € versés pour la réservation Apollinaire du 22/02/2025_x000D_
</t>
  </si>
  <si>
    <t>27-02-25 20:22</t>
  </si>
  <si>
    <t xml:space="preserve">La réservation 4775975848 a été ajoutée._x000D_
</t>
  </si>
  <si>
    <t>28-02-25 07:01</t>
  </si>
  <si>
    <t xml:space="preserve">La réservation 4955431270 a été ajoutée._x000D_
</t>
  </si>
  <si>
    <t xml:space="preserve">La réservation 4630993662 a été modifiée._x000D_
</t>
  </si>
  <si>
    <t xml:space="preserve">La réservation 4538201362 a été ajoutée._x000D_
</t>
  </si>
  <si>
    <t xml:space="preserve"># La réservation 4496695561 a été supprimée._x000D_
</t>
  </si>
  <si>
    <t xml:space="preserve">Réservation annulée : Apollinaire - 18/04/2025 - Réservation : 4496695561_x000D_
</t>
  </si>
  <si>
    <t xml:space="preserve">#  La réservation du 02-05-2025 chez Apollinaire de Booking n'a pas été trouvée sur ListeRésas._x000D_
</t>
  </si>
  <si>
    <t xml:space="preserve">#  La réservation du 17-04-2025 chez Apollinaire de Booking n'a pas été trouvée sur ListeRésas._x000D_
</t>
  </si>
  <si>
    <t>Stipkovits Péter
2 adults, 2 children (8,10)</t>
  </si>
  <si>
    <t>4301124352</t>
  </si>
  <si>
    <t xml:space="preserve">La réservation 4301124352 a été ajoutée._x000D_
</t>
  </si>
  <si>
    <t xml:space="preserve">La réservation 4656883781 a été ajoutée._x000D_
</t>
  </si>
  <si>
    <t xml:space="preserve"># Validation du paiement de la réservation 4949671891 pour Apollinaire du 29-01-2025 pour un montant de 727,70 €_x000D_
</t>
  </si>
  <si>
    <t xml:space="preserve"># Validation du paiement de la réservation 4464214967 pour Apollinaire du 19-02-2025 pour un montant de 608,97 €_x000D_
</t>
  </si>
  <si>
    <t xml:space="preserve">#  344,16 € versés pour la réservation Maury du 28/02/2025_x000D_
</t>
  </si>
  <si>
    <t>d1 mars2025</t>
  </si>
  <si>
    <t xml:space="preserve">#  1641,76 € versés pour un règlement partiel de la réservation Joséphine du 28/02/2025_x000D_
</t>
  </si>
  <si>
    <t>févr 2026</t>
  </si>
  <si>
    <t>Rob Baas
2 adults, 2 children (11,8)</t>
  </si>
  <si>
    <t>955,00 €</t>
  </si>
  <si>
    <t>4452334680</t>
  </si>
  <si>
    <t xml:space="preserve">La réservation 4452334680 a été ajoutée._x000D_
</t>
  </si>
  <si>
    <t xml:space="preserve"># Validation du paiement de la réservation 4731844990 pour Maury du 20-02-2025 pour un montant de 1474,20 €_x000D_
</t>
  </si>
  <si>
    <t>Marián Župčán
4 adults</t>
  </si>
  <si>
    <t>1 565,00 €</t>
  </si>
  <si>
    <t>4396983284</t>
  </si>
  <si>
    <t xml:space="preserve">La réservation 4396983284 a été ajoutée._x000D_
</t>
  </si>
  <si>
    <t>La réservation HMH3W55CMW a été supprimée.</t>
  </si>
  <si>
    <t xml:space="preserve">#  Note de 5 pour Apollinaire le 22-02-2025_x000D_
</t>
  </si>
  <si>
    <t xml:space="preserve">La réservation 4891355092 a été ajoutée._x000D_
</t>
  </si>
  <si>
    <t xml:space="preserve"># La réservation HMA349AZ8B a été ajoutée. _x000D_
Maury - 03-06-2025 - 3 jours - 540,96 €_x000D_
</t>
  </si>
  <si>
    <t xml:space="preserve">#  1288,87 € versés pour la réservation Apollinaire du 04/03/2025_x000D_
</t>
  </si>
  <si>
    <t xml:space="preserve">#  285,12 € versés pour la réservation Maury du 03/03/2025_x000D_
</t>
  </si>
  <si>
    <t>HM38HQRT45</t>
  </si>
  <si>
    <t>Stephanie Wood</t>
  </si>
  <si>
    <t>+1 347-628-1387</t>
  </si>
  <si>
    <t xml:space="preserve"># La réservation HM38HQRT45 a été ajoutée. _x000D_
Maury - 15-05-2025 - 3 jours - 540,96 €_x000D_
</t>
  </si>
  <si>
    <t xml:space="preserve">#  La réservation du 28-12-2025 chez Maury de Booking n'a pas été trouvée sur ListeGuesty._x000D_
</t>
  </si>
  <si>
    <t xml:space="preserve">#  La réservation du 15-11-2025 chez Maury de Airbnb n'a pas été trouvée sur ListeGuesty._x000D_
</t>
  </si>
  <si>
    <t xml:space="preserve">#  La réservation du 14-10-2025 chez Apollinaire de Booking n'a pas été trouvée sur ListeGuesty._x000D_
</t>
  </si>
  <si>
    <t xml:space="preserve">#  La réservation du 06-10-2025 chez Apollinaire de Booking n'a pas été trouvée sur ListeGuesty._x000D_
</t>
  </si>
  <si>
    <t xml:space="preserve">#  La réservation du 02-10-2025 chez Maury de Booking n'a pas été trouvée sur ListeGuesty._x000D_
</t>
  </si>
  <si>
    <t xml:space="preserve">#  La réservation du 19-09-2025 chez Apollinaire de Airbnb n'a pas été trouvée sur ListeGuesty._x000D_
</t>
  </si>
  <si>
    <t xml:space="preserve">#  La réservation du 03-09-2025 chez Apollinaire de Booking n'a pas été trouvée sur ListeGuesty._x000D_
</t>
  </si>
  <si>
    <t xml:space="preserve">#  La réservation du 18-08-2025 chez Apollinaire de Booking n'a pas été trouvée sur ListeGuesty._x000D_
</t>
  </si>
  <si>
    <t xml:space="preserve">#  La réservation du 17-08-2025 chez Maury de Airbnb n'a pas été trouvée sur ListeGuesty._x000D_
</t>
  </si>
  <si>
    <t xml:space="preserve">#  La réservation du 09-08-2025 chez Apollinaire de Booking n'a pas été trouvée sur ListeGuesty._x000D_
</t>
  </si>
  <si>
    <t xml:space="preserve">#  La réservation du 09-07-2025 chez Maury de Airbnb n'a pas été trouvée sur ListeGuesty._x000D_
</t>
  </si>
  <si>
    <t xml:space="preserve">#  La réservation du 23-06-2025 chez Maury de Airbnb n'a pas été trouvée sur ListeGuesty._x000D_
</t>
  </si>
  <si>
    <t xml:space="preserve">#  La réservation du 10-06-2025 chez Apollinaire de Booking n'a pas été trouvée sur ListeGuesty._x000D_
</t>
  </si>
  <si>
    <t xml:space="preserve">#  La réservation du 03-06-2025 chez Maury de Airbnb n'a pas été trouvée sur ListeGuesty._x000D_
</t>
  </si>
  <si>
    <t xml:space="preserve">#  La réservation du 19-05-2025 chez Maury de Booking n'a pas été trouvée sur ListeGuesty._x000D_
</t>
  </si>
  <si>
    <t xml:space="preserve">#  La réservation du 15-05-2025 chez Maury de Airbnb n'a pas été trouvée sur ListeGuesty._x000D_
</t>
  </si>
  <si>
    <t xml:space="preserve">#  La réservation du 11-05-2025 chez Maury de Airbnb n'a pas été trouvée sur ListeGuesty._x000D_
</t>
  </si>
  <si>
    <t xml:space="preserve">#  La réservation du 02-05-2025 chez Apollinaire de Booking n'a pas été trouvée sur ListeGuesty._x000D_
</t>
  </si>
  <si>
    <t xml:space="preserve">#  La réservation du 28-04-2025 chez Apollinaire de Booking n'a pas été trouvée sur ListeGuesty._x000D_
</t>
  </si>
  <si>
    <t xml:space="preserve">#  La réservation du 18-04-2025 chez Maury de Booking n'a pas été trouvée sur ListeGuesty._x000D_
</t>
  </si>
  <si>
    <t xml:space="preserve">#  La réservation du 17-04-2025 chez Apollinaire de Booking n'a pas été trouvée sur ListeGuesty._x000D_
</t>
  </si>
  <si>
    <t xml:space="preserve">#  La réservation du 04-04-2025 chez Maury de Booking n'a pas été trouvée sur ListeGuesty._x000D_
</t>
  </si>
  <si>
    <t xml:space="preserve">#  La réservation du 03-04-2025 chez Apollinaire de Booking n'a pas été trouvée sur ListeGuesty._x000D_
</t>
  </si>
  <si>
    <t xml:space="preserve">#  La réservation du 11-03-2025 chez Apollinaire de Airbnb n'a pas été trouvée sur ListeGuesty._x000D_
</t>
  </si>
  <si>
    <t xml:space="preserve">#  La réservation du 09-03-2025 chez Maury de Booking n'a pas été trouvée sur ListeGuesty._x000D_
</t>
  </si>
  <si>
    <t>obj.data(0).source.children</t>
  </si>
  <si>
    <t>Date fin</t>
  </si>
  <si>
    <t>obj.data(0).checkIn.value</t>
  </si>
  <si>
    <t>obj.data(0).checkOut.value</t>
  </si>
  <si>
    <t xml:space="preserve"># La réservation 4499230180 a été supprimée._x000D_
</t>
  </si>
  <si>
    <t xml:space="preserve">La réservation 4840296638 a été ajoutée._x000D_
</t>
  </si>
  <si>
    <t xml:space="preserve">Réservation annulée : Apollinaire - 07/07/2025 - Réservation : 4499230180_x000D_
</t>
  </si>
  <si>
    <t xml:space="preserve">#  Note de 5 pour Maury le 03-03-2025_x000D_
</t>
  </si>
  <si>
    <t xml:space="preserve"># La réservation 4538201362 a été supprimée._x000D_
</t>
  </si>
  <si>
    <t xml:space="preserve">La réservation 4480118996 a été ajoutée._x000D_
</t>
  </si>
  <si>
    <t xml:space="preserve">Réservation annulée : Apollinaire - 10/06/2025 - Réservation : 4538201362_x000D_
</t>
  </si>
  <si>
    <t>obj.data(0).money.money.guest.numberOfGuests.numberOfGuests.numberOfGuests.numberOfInfants.children</t>
  </si>
  <si>
    <t>obj.data(0).money.money.guest.numberOfGuests.numberOfAdults.children</t>
  </si>
  <si>
    <t>obj.data(0).money.money.guest.guestsCount.children</t>
  </si>
  <si>
    <t>obj.data(0).money.money.guest.fullName.children</t>
  </si>
  <si>
    <t>obj.data(0).money.ownerRevenue.value</t>
  </si>
  <si>
    <t>obj.data(0).money.money.hostPayout.value</t>
  </si>
  <si>
    <t>Frais Total</t>
  </si>
  <si>
    <t>https://app.guesty.com/api/reservations-reports/owner-portal?smartView=true&amp;columns=source+status+checkIn+checkOut+money.ownerRevenue+money.hostPayout+guest.fullName+guestsCount+numberOfGuests.numberOfAdults+numberOfGuests.numberOfChildren+numberOfGuests.numberOfInfants+listingNickname+listing+integration.platform&amp;filters=%7B%22status%22%3A%7B%22%40in%22%3A%5B%22confirmed%22%2C%22reserved%22%2C%22awaiting_payment%22%5D%7D%7D&amp;skip=0&amp;limit=250&amp;sort=-checkIn&amp;lang=fr-FR&amp;timezone=Europe%2FParis</t>
  </si>
  <si>
    <t>La réservation HM89QH98XA a été supprimée.</t>
  </si>
  <si>
    <t>La réservation HMA349AZ8B a été supprimée.</t>
  </si>
  <si>
    <t>HMSPP23ERC</t>
  </si>
  <si>
    <t>Jane Hooppaw</t>
  </si>
  <si>
    <t>+1 480-220-1332</t>
  </si>
  <si>
    <t xml:space="preserve"># La réservation HMSPP23ERC a été ajoutée. _x000D_
Apollinaire - 10-06-2025 - 3 jours - 754,56 €_x000D_
</t>
  </si>
  <si>
    <t xml:space="preserve">#  La réservation du 01-04-2026 chez Apollinaire de Booking n'a pas été trouvée sur ListeRésas._x000D_
</t>
  </si>
  <si>
    <t xml:space="preserve">#  La réservation du 24-12-2025 chez Apollinaire de Booking n'a pas été trouvée sur ListeRésas._x000D_
</t>
  </si>
  <si>
    <t xml:space="preserve">#  La réservation du 14-11-2025 chez Apollinaire de Airbnb n'a pas été trouvée sur ListeRésas._x000D_
</t>
  </si>
  <si>
    <t xml:space="preserve">#  La réservation du 31-10-2025 chez Joséphine de Airbnb n'a pas été trouvée sur ListeRésas._x000D_
</t>
  </si>
  <si>
    <t xml:space="preserve">#  La réservation du 10-10-2025 chez Apollinaire de Booking n'a pas été trouvée sur ListeRésas._x000D_
</t>
  </si>
  <si>
    <t xml:space="preserve">#  La réservation du 02-10-2025 chez Maury de Booking n'a pas été trouvée sur ListeRésas._x000D_
</t>
  </si>
  <si>
    <t xml:space="preserve">#  La réservation du 01-10-2025 chez Joséphine de Airbnb n'a pas été trouvée sur ListeRésas._x000D_
</t>
  </si>
  <si>
    <t xml:space="preserve">#  La réservation du 19-09-2025 chez Apollinaire de Airbnb n'a pas été trouvée sur ListeRésas._x000D_
</t>
  </si>
  <si>
    <t xml:space="preserve">#  La réservation du 16-09-2025 chez Apollinaire de Booking n'a pas été trouvée sur ListeRésas._x000D_
</t>
  </si>
  <si>
    <t xml:space="preserve">#  La réservation du 09-09-2025 chez Apollinaire de Booking n'a pas été trouvée sur ListeRésas._x000D_
</t>
  </si>
  <si>
    <t xml:space="preserve">#  La réservation du 03-09-2025 chez Apollinaire de Booking n'a pas été trouvée sur ListeRésas._x000D_
</t>
  </si>
  <si>
    <t xml:space="preserve">#  La réservation du 18-08-2025 chez Apollinaire de Booking n'a pas été trouvée sur ListeRésas._x000D_
</t>
  </si>
  <si>
    <t xml:space="preserve">#  La réservation du 09-08-2025 chez Apollinaire de Booking n'a pas été trouvée sur ListeRésas._x000D_
</t>
  </si>
  <si>
    <t xml:space="preserve">#  La réservation du 09-08-2025 chez Maury de Booking n'a pas été trouvée sur ListeRésas._x000D_
</t>
  </si>
  <si>
    <t xml:space="preserve">#  La réservation du 01-08-2025 chez Apollinaire de Booking n'a pas été trouvée sur ListeRésas._x000D_
</t>
  </si>
  <si>
    <t xml:space="preserve">#  La réservation du 23-07-2025 chez Apollinaire de Booking n'a pas été trouvée sur ListeRésas._x000D_
</t>
  </si>
  <si>
    <t xml:space="preserve">#  La réservation du 14-07-2025 chez Maury de Booking n'a pas été trouvée sur ListeRésas._x000D_
</t>
  </si>
  <si>
    <t xml:space="preserve">#  La réservation du 11-07-2025 chez Apollinaire de Booking n'a pas été trouvée sur ListeRésas._x000D_
</t>
  </si>
  <si>
    <t xml:space="preserve">#  La réservation du 09-07-2025 chez Maury de Airbnb n'a pas été trouvée sur ListeRésas._x000D_
</t>
  </si>
  <si>
    <t xml:space="preserve">#  La réservation du 06-07-2025 chez Maury de Booking n'a pas été trouvée sur ListeRésas._x000D_
</t>
  </si>
  <si>
    <t xml:space="preserve">#  La réservation du 02-07-2025 chez Apollinaire de Booking n'a pas été trouvée sur ListeRésas._x000D_
</t>
  </si>
  <si>
    <t xml:space="preserve">#  La réservation du 30-06-2025 chez Joséphine de Airbnb n'a pas été trouvée sur ListeRésas._x000D_
</t>
  </si>
  <si>
    <t xml:space="preserve">#  La réservation du 29-06-2025 chez Apollinaire de Airbnb n'a pas été trouvée sur ListeRésas._x000D_
</t>
  </si>
  <si>
    <t xml:space="preserve">#  La réservation du 23-06-2025 chez Maury de Airbnb n'a pas été trouvée sur ListeRésas._x000D_
</t>
  </si>
  <si>
    <t xml:space="preserve">#  La réservation du 19-06-2025 chez Maury de Booking n'a pas été trouvée sur ListeRésas._x000D_
</t>
  </si>
  <si>
    <t xml:space="preserve">#  La réservation du 14-06-2025 chez Apollinaire de Airbnb n'a pas été trouvée sur ListeRésas._x000D_
</t>
  </si>
  <si>
    <t xml:space="preserve">#  La réservation du 14-06-2025 chez Maury de Booking n'a pas été trouvée sur ListeRésas._x000D_
</t>
  </si>
  <si>
    <t xml:space="preserve">#  La réservation du 10-06-2025 chez Apollinaire de Airbnb n'a pas été trouvée sur ListeRésas._x000D_
</t>
  </si>
  <si>
    <t xml:space="preserve">#  La réservation du 31-05-2025 chez Apollinaire de Booking n'a pas été trouvée sur ListeRésas._x000D_
</t>
  </si>
  <si>
    <t xml:space="preserve">#  La réservation du 31-05-2025 chez Joséphine de Airbnb n'a pas été trouvée sur ListeRésas._x000D_
</t>
  </si>
  <si>
    <t xml:space="preserve">#  La réservation du 29-05-2025 chez Maury de Airbnb n'a pas été trouvée sur ListeRésas._x000D_
</t>
  </si>
  <si>
    <t xml:space="preserve">#  La réservation du 28-05-2025 chez Apollinaire de Booking n'a pas été trouvée sur ListeRésas._x000D_
</t>
  </si>
  <si>
    <t xml:space="preserve">#  La réservation du 24-05-2025 chez Apollinaire de Booking n'a pas été trouvée sur ListeRésas._x000D_
</t>
  </si>
  <si>
    <t xml:space="preserve">#  La réservation du 15-05-2025 chez Apollinaire de Airbnb n'a pas été trouvée sur ListeRésas._x000D_
</t>
  </si>
  <si>
    <t xml:space="preserve">#  La réservation du 15-05-2025 chez Maury de Airbnb n'a pas été trouvée sur ListeRésas._x000D_
</t>
  </si>
  <si>
    <t xml:space="preserve">#  La réservation du 11-05-2025 chez Maury de Airbnb n'a pas été trouvée sur ListeRésas._x000D_
</t>
  </si>
  <si>
    <t xml:space="preserve">#  La réservation du 10-05-2025 chez Apollinaire de Airbnb n'a pas été trouvée sur ListeRésas._x000D_
</t>
  </si>
  <si>
    <t xml:space="preserve">#  La réservation du 01-05-2025 chez Joséphine de Airbnb n'a pas été trouvée sur ListeRésas._x000D_
</t>
  </si>
  <si>
    <t xml:space="preserve">#  La réservation du 01-05-2025 chez Maury de Booking n'a pas été trouvée sur ListeRésas._x000D_
</t>
  </si>
  <si>
    <t xml:space="preserve">#  La réservation du 28-04-2025 chez Apollinaire de Booking n'a pas été trouvée sur ListeRésas._x000D_
</t>
  </si>
  <si>
    <t xml:space="preserve">#  La réservation du 23-04-2025 chez Apollinaire de Booking n'a pas été trouvée sur ListeRésas._x000D_
</t>
  </si>
  <si>
    <t xml:space="preserve">#  La réservation du 21-04-2025 chez Maury de Booking n'a pas été trouvée sur ListeRésas._x000D_
</t>
  </si>
  <si>
    <t xml:space="preserve">#  La réservation du 18-04-2025 chez Maury de Booking n'a pas été trouvée sur ListeRésas._x000D_
</t>
  </si>
  <si>
    <t xml:space="preserve">#  La réservation du 10-04-2025 chez Maury de Booking n'a pas été trouvée sur ListeRésas._x000D_
</t>
  </si>
  <si>
    <t xml:space="preserve">#  La réservation du 09-04-2025 chez Apollinaire de Airbnb n'a pas été trouvée sur ListeRésas._x000D_
</t>
  </si>
  <si>
    <t xml:space="preserve">#  La réservation du 04-04-2025 chez Maury de Booking n'a pas été trouvée sur ListeRésas._x000D_
</t>
  </si>
  <si>
    <t xml:space="preserve">#  La réservation du 03-04-2025 chez Apollinaire de Booking n'a pas été trouvée sur ListeRésas._x000D_
</t>
  </si>
  <si>
    <t xml:space="preserve">#  La réservation du 01-04-2025 chez Joséphine de Airbnb n'a pas été trouvée sur ListeRésas._x000D_
</t>
  </si>
  <si>
    <t xml:space="preserve">#  La réservation du 29-03-2025 chez Maury de Booking n'a pas été trouvée sur ListeRésas._x000D_
</t>
  </si>
  <si>
    <t xml:space="preserve">#  La réservation du 26-03-2025 chez Apollinaire de Booking n'a pas été trouvée sur ListeRésas._x000D_
</t>
  </si>
  <si>
    <t xml:space="preserve">#  La réservation du 21-03-2025 chez Apollinaire de Airbnb n'a pas été trouvée sur ListeRésas._x000D_
</t>
  </si>
  <si>
    <t xml:space="preserve">#  La réservation du 20-03-2025 chez Maury de Airbnb n'a pas été trouvée sur ListeRésas._x000D_
</t>
  </si>
  <si>
    <t xml:space="preserve">#  La réservation du 14-03-2025 chez Maury de Airbnb n'a pas été trouvée sur ListeRésas._x000D_
</t>
  </si>
  <si>
    <t xml:space="preserve">#  La réservation du 14-03-2025 chez Apollinaire de Airbnb n'a pas été trouvée sur ListeRésas._x000D_
</t>
  </si>
  <si>
    <t xml:space="preserve">#  La réservation du 11-03-2025 chez Apollinaire de Airbnb n'a pas été trouvée sur ListeRésas._x000D_
</t>
  </si>
  <si>
    <t xml:space="preserve">#  La réservation du 06-03-2025 chez Maury de Booking n'a pas été trouvée sur ListeRésas._x000D_
</t>
  </si>
  <si>
    <t xml:space="preserve">#  La réservation du 04-03-2025 chez Apollinaire de Airbnb n'a pas été trouvée sur ListeRésas._x000D_
</t>
  </si>
  <si>
    <t xml:space="preserve">#  La réservation du 03-03-2025 chez Maury de Airbnb n'a pas été trouvée sur ListeRésas._x000D_
</t>
  </si>
  <si>
    <t xml:space="preserve">#  La réservation du 28-02-2025 chez Joséphine de Airbnb n'a pas été trouvée sur ListeRésas._x000D_
</t>
  </si>
  <si>
    <t xml:space="preserve">#  La réservation du 22-02-2025 chez Apollinaire de Airbnb n'a pas été trouvée sur ListeRésas._x000D_
</t>
  </si>
  <si>
    <t xml:space="preserve">#  La réservation du 20-02-2025 chez Maury de Booking n'a pas été trouvée sur ListeRésas._x000D_
</t>
  </si>
  <si>
    <t xml:space="preserve">#  La réservation du 19-02-2025 chez Apollinaire de Booking n'a pas été trouvée sur ListeRésas._x000D_
</t>
  </si>
  <si>
    <t xml:space="preserve">#  La réservation du 16-02-2025 chez Apollinaire de Airbnb n'a pas été trouvée sur ListeRésas._x000D_
</t>
  </si>
  <si>
    <t xml:space="preserve">#  La réservation du 16-02-2025 chez Maury de Airbnb n'a pas été trouvée sur ListeRésas._x000D_
</t>
  </si>
  <si>
    <t xml:space="preserve">#  La réservation du 13-02-2025 chez Maury de Airbnb n'a pas été trouvée sur ListeRésas._x000D_
</t>
  </si>
  <si>
    <t xml:space="preserve">#  La réservation du 08-02-2025 chez Maury de Airbnb n'a pas été trouvée sur ListeRésas._x000D_
</t>
  </si>
  <si>
    <t xml:space="preserve">#  La réservation du 06-02-2025 chez Apollinaire de Airbnb n'a pas été trouvée sur ListeRésas._x000D_
</t>
  </si>
  <si>
    <t xml:space="preserve">#  La réservation du 02-02-2025 chez Apollinaire de Airbnb n'a pas été trouvée sur ListeRésas._x000D_
</t>
  </si>
  <si>
    <t xml:space="preserve">#  La réservation du 29-01-2025 chez Apollinaire de Booking n'a pas été trouvée sur ListeRésas._x000D_
</t>
  </si>
  <si>
    <t xml:space="preserve">#  La réservation du 29-01-2025 chez Maury de Airbnb n'a pas été trouvée sur ListeRésas._x000D_
</t>
  </si>
  <si>
    <t xml:space="preserve">#  La réservation du 24-01-2025 chez Apollinaire de Airbnb n'a pas été trouvée sur ListeRésas._x000D_
</t>
  </si>
  <si>
    <t xml:space="preserve">#  La réservation du 21-01-2025 chez Maury de Airbnb n'a pas été trouvée sur ListeRésas._x000D_
</t>
  </si>
  <si>
    <t xml:space="preserve">#  La réservation du 16-01-2025 chez Apollinaire de Airbnb n'a pas été trouvée sur ListeRésas._x000D_
</t>
  </si>
  <si>
    <t xml:space="preserve">#  La réservation du 16-01-2025 chez Maury de Airbnb n'a pas été trouvée sur ListeRésas._x000D_
</t>
  </si>
  <si>
    <t xml:space="preserve">#  La réservation du 11-01-2025 chez Apollinaire de Booking n'a pas été trouvée sur ListeRésas._x000D_
</t>
  </si>
  <si>
    <t xml:space="preserve">#  La réservation du 09-01-2025 chez Maury de Airbnb n'a pas été trouvée sur ListeRésas._x000D_
</t>
  </si>
  <si>
    <t xml:space="preserve">#  La réservation du 05-01-2025 chez Maury de Airbnb n'a pas été trouvée sur ListeRésas._x000D_
</t>
  </si>
  <si>
    <t xml:space="preserve">#  La réservation du 04-01-2025 chez Apollinaire de Booking n'a pas été trouvée sur ListeRésas._x000D_
</t>
  </si>
  <si>
    <t xml:space="preserve">#  La réservation du 03-01-2025 chez Joséphine de Airbnb n'a pas été trouvée sur ListeRésas._x000D_
</t>
  </si>
  <si>
    <t xml:space="preserve">#  La réservation du 02-01-2025 chez Apollinaire de Airbnb n'a pas été trouvée sur ListeRésas._x000D_
</t>
  </si>
  <si>
    <t xml:space="preserve">#  La réservation du 02-01-2025 chez Maury de Airbnb n'a pas été trouvée sur ListeRésas._x000D_
</t>
  </si>
  <si>
    <t xml:space="preserve">#  La réservation du 30-12-2024 chez Maury de Booking n'a pas été trouvée sur ListeRésas._x000D_
</t>
  </si>
  <si>
    <t xml:space="preserve">#  La réservation du 27-12-2024 chez Apollinaire de Booking n'a pas été trouvée sur ListeRésas._x000D_
</t>
  </si>
  <si>
    <t xml:space="preserve">#  La réservation du 27-12-2024 chez Maury de Booking n'a pas été trouvée sur ListeRésas._x000D_
</t>
  </si>
  <si>
    <t xml:space="preserve">#  La réservation du 24-12-2024 chez Maury de Airbnb n'a pas été trouvée sur ListeRésas._x000D_
</t>
  </si>
  <si>
    <t xml:space="preserve">#  La réservation du 21-12-2024 chez Apollinaire de Booking n'a pas été trouvée sur ListeRésas._x000D_
</t>
  </si>
  <si>
    <t xml:space="preserve">#  La réservation du 17-12-2024 chez Apollinaire de Booking n'a pas été trouvée sur ListeRésas._x000D_
</t>
  </si>
  <si>
    <t xml:space="preserve">#  La réservation du 16-12-2024 chez Maury de Airbnb n'a pas été trouvée sur ListeRésas._x000D_
</t>
  </si>
  <si>
    <t xml:space="preserve">#  La réservation du 11-12-2024 chez Maury de Booking n'a pas été trouvée sur ListeRésas._x000D_
</t>
  </si>
  <si>
    <t xml:space="preserve">#  La réservation du 07-12-2024 chez Apollinaire de Airbnb n'a pas été trouvée sur ListeRésas._x000D_
</t>
  </si>
  <si>
    <t xml:space="preserve">#  La réservation du 07-12-2024 chez Maury de Airbnb n'a pas été trouvée sur ListeRésas._x000D_
</t>
  </si>
  <si>
    <t xml:space="preserve">#  La réservation du 04-12-2024 chez Apollinaire de Booking n'a pas été trouvée sur ListeRésas._x000D_
</t>
  </si>
  <si>
    <t xml:space="preserve">#  La réservation du 03-12-2024 chez Maury de Booking n'a pas été trouvée sur ListeRésas._x000D_
</t>
  </si>
  <si>
    <t xml:space="preserve">#  La réservation du 27-11-2024 chez Apollinaire de Airbnb n'a pas été trouvée sur ListeRésas._x000D_
</t>
  </si>
  <si>
    <t xml:space="preserve">#  La réservation du 23-11-2024 chez Joséphine de Airbnb n'a pas été trouvée sur ListeRésas._x000D_
</t>
  </si>
  <si>
    <t xml:space="preserve">#  La réservation du 23-11-2024 chez Maury de Airbnb n'a pas été trouvée sur ListeRésas._x000D_
</t>
  </si>
  <si>
    <t xml:space="preserve">#  La réservation du 22-11-2024 chez Apollinaire de Airbnb n'a pas été trouvée sur ListeRésas._x000D_
</t>
  </si>
  <si>
    <t xml:space="preserve">#  La réservation du 20-11-2024 chez Maury de Airbnb n'a pas été trouvée sur ListeRésas._x000D_
</t>
  </si>
  <si>
    <t xml:space="preserve">#  La réservation du 18-11-2024 chez Apollinaire de Booking n'a pas été trouvée sur ListeRésas._x000D_
</t>
  </si>
  <si>
    <t xml:space="preserve">#  La réservation du 15-11-2024 chez Maury de Booking n'a pas été trouvée sur ListeRésas._x000D_
</t>
  </si>
  <si>
    <t xml:space="preserve">#  La réservation du 14-11-2024 chez Apollinaire de Airbnb n'a pas été trouvée sur ListeRésas._x000D_
</t>
  </si>
  <si>
    <t xml:space="preserve">#  La réservation du 11-11-2024 chez Maury de Airbnb n'a pas été trouvée sur ListeRésas._x000D_
</t>
  </si>
  <si>
    <t xml:space="preserve">#  La réservation du 07-11-2024 chez Maury de Airbnb n'a pas été trouvée sur ListeRésas._x000D_
</t>
  </si>
  <si>
    <t xml:space="preserve">#  La réservation du 03-11-2024 chez Apollinaire de Airbnb n'a pas été trouvée sur ListeRésas._x000D_
</t>
  </si>
  <si>
    <t xml:space="preserve">#  La réservation du 29-10-2024 chez Apollinaire de Airbnb n'a pas été trouvée sur ListeRésas._x000D_
</t>
  </si>
  <si>
    <t xml:space="preserve">#  La réservation du 28-10-2024 chez Maury de Airbnb n'a pas été trouvée sur ListeRésas._x000D_
</t>
  </si>
  <si>
    <t xml:space="preserve">#  La réservation du 25-10-2024 chez Apollinaire de Airbnb n'a pas été trouvée sur ListeRésas._x000D_
</t>
  </si>
  <si>
    <t xml:space="preserve">#  La réservation du 24-10-2024 chez Maury de Airbnb n'a pas été trouvée sur ListeRésas._x000D_
</t>
  </si>
  <si>
    <t xml:space="preserve">#  La réservation du 23-10-2024 chez Apollinaire de Airbnb n'a pas été trouvée sur ListeRésas._x000D_
</t>
  </si>
  <si>
    <t xml:space="preserve">#  La réservation du 17-10-2024 chez Apollinaire de Airbnb n'a pas été trouvée sur ListeRésas._x000D_
</t>
  </si>
  <si>
    <t xml:space="preserve">#  La réservation du 13-10-2024 chez Apollinaire de Airbnb n'a pas été trouvée sur ListeRésas._x000D_
</t>
  </si>
  <si>
    <t xml:space="preserve">#  La réservation du 11-10-2024 chez Maury de Airbnb n'a pas été trouvée sur ListeRésas._x000D_
</t>
  </si>
  <si>
    <t xml:space="preserve">#  La réservation du 10-10-2024 chez Joséphine de Airbnb n'a pas été trouvée sur ListeRésas._x000D_
</t>
  </si>
  <si>
    <t xml:space="preserve">#  La réservation du 30-09-2024 chez Maury de Airbnb n'a pas été trouvée sur ListeRésas._x000D_
</t>
  </si>
  <si>
    <t xml:space="preserve">#  La réservation du 28-09-2024 chez Maury de Airbnb n'a pas été trouvée sur ListeRésas._x000D_
</t>
  </si>
  <si>
    <t xml:space="preserve">#  La réservation du 24-09-2024 chez Apollinaire de Airbnb n'a pas été trouvée sur ListeRésas._x000D_
</t>
  </si>
  <si>
    <t xml:space="preserve">#  La réservation du 23-09-2024 chez Maury de Airbnb n'a pas été trouvée sur ListeRésas._x000D_
</t>
  </si>
  <si>
    <t xml:space="preserve">#  La réservation du 21-09-2024 chez Apollinaire de Airbnb n'a pas été trouvée sur ListeRésas._x000D_
</t>
  </si>
  <si>
    <t xml:space="preserve">#  La réservation du 20-09-2024 chez Maury de Airbnb n'a pas été trouvée sur ListeRésas._x000D_
</t>
  </si>
  <si>
    <t xml:space="preserve">#  La réservation du 16-09-2024 chez Apollinaire de Airbnb n'a pas été trouvée sur ListeRésas._x000D_
</t>
  </si>
  <si>
    <t xml:space="preserve">#  La réservation du 11-09-2024 chez Apollinaire de Airbnb n'a pas été trouvée sur ListeRésas._x000D_
</t>
  </si>
  <si>
    <t xml:space="preserve">#  La réservation du 10-09-2024 chez Joséphine de Airbnb n'a pas été trouvée sur ListeRésas._x000D_
</t>
  </si>
  <si>
    <t xml:space="preserve">#  La réservation du 07-09-2024 chez Maury de Airbnb n'a pas été trouvée sur ListeRésas._x000D_
</t>
  </si>
  <si>
    <t xml:space="preserve">#  La réservation du 07-09-2024 chez Apollinaire de Airbnb n'a pas été trouvée sur ListeRésas._x000D_
</t>
  </si>
  <si>
    <t xml:space="preserve">#  La réservation du 03-09-2024 chez Maury de Airbnb n'a pas été trouvée sur ListeRésas._x000D_
</t>
  </si>
  <si>
    <t xml:space="preserve">#  La réservation du 01-09-2024 chez Apollinaire de Airbnb n'a pas été trouvée sur ListeRésas._x000D_
</t>
  </si>
  <si>
    <t xml:space="preserve">#  La réservation du 30-08-2024 chez Maury de Airbnb n'a pas été trouvée sur ListeRésas._x000D_
</t>
  </si>
  <si>
    <t xml:space="preserve">#  La réservation du 29-08-2024 chez Apollinaire de Airbnb n'a pas été trouvée sur ListeRésas._x000D_
</t>
  </si>
  <si>
    <t xml:space="preserve">#  La réservation du 25-08-2024 chez Apollinaire de Airbnb n'a pas été trouvée sur ListeRésas._x000D_
</t>
  </si>
  <si>
    <t xml:space="preserve">#  La réservation du 25-08-2024 chez Maury de Airbnb n'a pas été trouvée sur ListeRésas._x000D_
</t>
  </si>
  <si>
    <t xml:space="preserve">#  La réservation du 22-08-2024 chez Maury de Airbnb n'a pas été trouvée sur ListeRésas._x000D_
</t>
  </si>
  <si>
    <t xml:space="preserve">#  La réservation du 21-08-2024 chez Apollinaire de Airbnb n'a pas été trouvée sur ListeRésas._x000D_
</t>
  </si>
  <si>
    <t xml:space="preserve">#  La réservation du 18-08-2024 chez Maury de Airbnb n'a pas été trouvée sur ListeRésas._x000D_
</t>
  </si>
  <si>
    <t xml:space="preserve">#  La réservation du 14-08-2024 chez Maury de Airbnb n'a pas été trouvée sur ListeRésas._x000D_
</t>
  </si>
  <si>
    <t xml:space="preserve">#  La réservation du 13-08-2024 chez Apollinaire de Airbnb n'a pas été trouvée sur ListeRésas._x000D_
</t>
  </si>
  <si>
    <t xml:space="preserve">#  La réservation du 08-08-2024 chez Maury de Airbnb n'a pas été trouvée sur ListeRésas._x000D_
</t>
  </si>
  <si>
    <t xml:space="preserve">#  La réservation du 06-08-2024 chez Bienvenue de Airbnb n'a pas été trouvée sur ListeRésas._x000D_
</t>
  </si>
  <si>
    <t xml:space="preserve">#  La réservation du 05-08-2024 chez Maury de Airbnb n'a pas été trouvée sur ListeRésas._x000D_
</t>
  </si>
  <si>
    <t xml:space="preserve">#  La réservation du 04-08-2024 chez Apollinaire de Airbnb n'a pas été trouvée sur ListeRésas._x000D_
</t>
  </si>
  <si>
    <t xml:space="preserve">#  La réservation du 01-08-2024 chez Maury de Airbnb n'a pas été trouvée sur ListeRésas._x000D_
</t>
  </si>
  <si>
    <t xml:space="preserve">#  La réservation du 29-07-2024 chez Maury de Airbnb n'a pas été trouvée sur ListeRésas._x000D_
</t>
  </si>
  <si>
    <t xml:space="preserve">#  La réservation du 26-07-2024 chez Apollinaire de Airbnb n'a pas été trouvée sur ListeRésas._x000D_
</t>
  </si>
  <si>
    <t xml:space="preserve">#  La réservation du 25-07-2024 chez Bienvenue de Airbnb n'a pas été trouvée sur ListeRésas._x000D_
</t>
  </si>
  <si>
    <t xml:space="preserve">#  La réservation du 23-07-2024 chez Maury de Airbnb n'a pas été trouvée sur ListeRésas._x000D_
</t>
  </si>
  <si>
    <t xml:space="preserve">#  La réservation du 22-07-2024 chez Apollinaire de Airbnb n'a pas été trouvée sur ListeRésas._x000D_
</t>
  </si>
  <si>
    <t xml:space="preserve">#  La réservation du 18-07-2024 chez Maury de Airbnb n'a pas été trouvée sur ListeRésas._x000D_
</t>
  </si>
  <si>
    <t xml:space="preserve">#  La réservation du 14-07-2024 chez Maury de Airbnb n'a pas été trouvée sur ListeRésas._x000D_
</t>
  </si>
  <si>
    <t xml:space="preserve">#  La réservation du 13-07-2024 chez Apollinaire de Airbnb n'a pas été trouvée sur ListeRésas._x000D_
</t>
  </si>
  <si>
    <t xml:space="preserve">#  La réservation du 11-07-2024 chez Maury de Airbnb n'a pas été trouvée sur ListeRésas._x000D_
</t>
  </si>
  <si>
    <t xml:space="preserve">#  La réservation du 10-07-2024 chez Joséphine de Airbnb n'a pas été trouvée sur ListeRésas._x000D_
</t>
  </si>
  <si>
    <t xml:space="preserve">#  La réservation du 06-07-2024 chez Apollinaire de Airbnb n'a pas été trouvée sur ListeRésas._x000D_
</t>
  </si>
  <si>
    <t xml:space="preserve">#  La réservation du 06-07-2024 chez Maury de Airbnb n'a pas été trouvée sur ListeRésas._x000D_
</t>
  </si>
  <si>
    <t xml:space="preserve">#  La réservation du 03-07-2024 chez Apollinaire de Airbnb n'a pas été trouvée sur ListeRésas._x000D_
</t>
  </si>
  <si>
    <t xml:space="preserve">#  La réservation du 29-06-2024 chez Apollinaire de Airbnb n'a pas été trouvée sur ListeRésas._x000D_
</t>
  </si>
  <si>
    <t xml:space="preserve">#  La réservation du 28-06-2024 chez Maury de Airbnb n'a pas été trouvée sur ListeRésas._x000D_
</t>
  </si>
  <si>
    <t xml:space="preserve">#  La réservation du 26-06-2024 chez Apollinaire de Airbnb n'a pas été trouvée sur ListeRésas._x000D_
</t>
  </si>
  <si>
    <t xml:space="preserve">#  La réservation du 25-06-2024 chez Maury de Airbnb n'a pas été trouvée sur ListeRésas._x000D_
</t>
  </si>
  <si>
    <t xml:space="preserve">#  La réservation du 23-06-2024 chez Apollinaire de Airbnb n'a pas été trouvée sur ListeRésas._x000D_
</t>
  </si>
  <si>
    <t xml:space="preserve">#  La réservation du 23-06-2024 chez Maury de Airbnb n'a pas été trouvée sur ListeRésas._x000D_
</t>
  </si>
  <si>
    <t xml:space="preserve">#  La réservation du 19-06-2024 chez Maury de Airbnb n'a pas été trouvée sur ListeRésas._x000D_
</t>
  </si>
  <si>
    <t xml:space="preserve">#  La réservation du 17-06-2024 chez Apollinaire de Airbnb n'a pas été trouvée sur ListeRésas._x000D_
</t>
  </si>
  <si>
    <t xml:space="preserve">#  La réservation du 16-06-2024 chez Maury de Airbnb n'a pas été trouvée sur ListeRésas._x000D_
</t>
  </si>
  <si>
    <t xml:space="preserve">#  La réservation du 12-06-2024 chez Maury de Airbnb n'a pas été trouvée sur ListeRésas._x000D_
</t>
  </si>
  <si>
    <t xml:space="preserve">#  La réservation du 07-06-2024 chez Apollinaire de Airbnb n'a pas été trouvée sur ListeRésas._x000D_
</t>
  </si>
  <si>
    <t xml:space="preserve">#  La réservation du 06-06-2024 chez Maury de Airbnb n'a pas été trouvée sur ListeRésas._x000D_
</t>
  </si>
  <si>
    <t xml:space="preserve">#  La réservation du 04-06-2024 chez Maury de Airbnb n'a pas été trouvée sur ListeRésas._x000D_
</t>
  </si>
  <si>
    <t xml:space="preserve">#  La réservation du 01-06-2024 chez Maury de Airbnb n'a pas été trouvée sur ListeRésas._x000D_
</t>
  </si>
  <si>
    <t xml:space="preserve">#  La réservation du 30-05-2024 chez Apollinaire de Airbnb n'a pas été trouvée sur ListeRésas._x000D_
</t>
  </si>
  <si>
    <t xml:space="preserve">#  La réservation du 29-05-2024 chez Maury de Airbnb n'a pas été trouvée sur ListeRésas._x000D_
</t>
  </si>
  <si>
    <t xml:space="preserve">#  La réservation du 27-05-2024 chez Maury de Airbnb n'a pas été trouvée sur ListeRésas._x000D_
</t>
  </si>
  <si>
    <t xml:space="preserve">#  La réservation du 26-05-2024 chez Apollinaire de Airbnb n'a pas été trouvée sur ListeRésas._x000D_
</t>
  </si>
  <si>
    <t xml:space="preserve">#  La réservation du 25-05-2024 chez Joséphine de Airbnb n'a pas été trouvée sur ListeRésas._x000D_
</t>
  </si>
  <si>
    <t xml:space="preserve">#  La réservation du 23-05-2024 chez Apollinaire de Airbnb n'a pas été trouvée sur ListeRésas._x000D_
</t>
  </si>
  <si>
    <t xml:space="preserve">#  La réservation du 20-05-2024 chez Apollinaire de Airbnb n'a pas été trouvée sur ListeRésas._x000D_
</t>
  </si>
  <si>
    <t xml:space="preserve">#  La réservation du 19-05-2024 chez Maury de Airbnb n'a pas été trouvée sur ListeRésas._x000D_
</t>
  </si>
  <si>
    <t xml:space="preserve">#  La réservation du 18-05-2024 chez Apollinaire de Airbnb n'a pas été trouvée sur ListeRésas._x000D_
</t>
  </si>
  <si>
    <t xml:space="preserve">#  La réservation du 14-05-2024 chez Maury de Airbnb n'a pas été trouvée sur ListeRésas._x000D_
</t>
  </si>
  <si>
    <t xml:space="preserve">#  La réservation du 14-05-2024 chez Apollinaire de Airbnb n'a pas été trouvée sur ListeRésas._x000D_
</t>
  </si>
  <si>
    <t xml:space="preserve">#  La réservation du 11-05-2024 chez Apollinaire de Airbnb n'a pas été trouvée sur ListeRésas._x000D_
</t>
  </si>
  <si>
    <t xml:space="preserve">#  La réservation du 07-05-2024 chez Maury de Airbnb n'a pas été trouvée sur ListeRésas._x000D_
</t>
  </si>
  <si>
    <t xml:space="preserve">#  La réservation du 07-05-2024 chez Apollinaire de Airbnb n'a pas été trouvée sur ListeRésas._x000D_
</t>
  </si>
  <si>
    <t xml:space="preserve">#  La réservation du 10-06-2025 chez Apollinaire de Airbnb n'a pas été trouvée sur ListeGuesty._x000D_
</t>
  </si>
  <si>
    <t xml:space="preserve"># Validation du paiement de la réservation 4347714337 pour Maury du 06-03-2025 pour un montant de 697,06 €_x000D_
</t>
  </si>
  <si>
    <t>Jeff Stautberg</t>
  </si>
  <si>
    <t xml:space="preserve"># La réservation HM24NA9YMD a été ajoutée. _x000D_
Maury - 26-05-2025 - 3 jours - 570,48 €_x000D_
</t>
  </si>
  <si>
    <t xml:space="preserve">La réservation 4743323129 a été ajoutée._x000D_
</t>
  </si>
  <si>
    <t xml:space="preserve"># Maury -  Note de 9_x000D_
</t>
  </si>
  <si>
    <t>13-03-25 06:31</t>
  </si>
  <si>
    <t xml:space="preserve">#  380,64 € versés pour la réservation Apollinaire du 11/03/2025_x000D_
</t>
  </si>
  <si>
    <t>13-03-25 06:34</t>
  </si>
  <si>
    <t xml:space="preserve"># Validation du paiement de la réservation 4303626002 pour Maury du 09-03-2025 pour un montant de 478,75 €_x000D_
</t>
  </si>
  <si>
    <t>16-03-25 07:01</t>
  </si>
  <si>
    <t xml:space="preserve">#  1288,87 € versés pour la réservation Apollinaire du 14/03/2025_x000D_
</t>
  </si>
  <si>
    <t xml:space="preserve">#  655,76 € versés pour la réservation Maury du 14/03/2025_x000D_
</t>
  </si>
  <si>
    <t>Alice Poinot</t>
  </si>
  <si>
    <t>17-03-25 14:29</t>
  </si>
  <si>
    <t xml:space="preserve">#  La réservation du 09-08-2025 chez Bienvenue de Airbnb n'a pas été trouvée sur ListeRésas._x000D_
</t>
  </si>
  <si>
    <t xml:space="preserve">#  La réservation du 27-04-2025 chez Maury de Airbnb n'a pas été trouvée sur ListeRésas._x000D_
</t>
  </si>
  <si>
    <t>17-03-25 14:30</t>
  </si>
  <si>
    <t xml:space="preserve"># La réservation 4955431270 a été supprimée._x000D_
</t>
  </si>
  <si>
    <t xml:space="preserve">Réservation annulée : Apollinaire - 28/04/2025 - Réservation : 4955431270_x000D_
</t>
  </si>
  <si>
    <t>17-03-25 14:32</t>
  </si>
  <si>
    <t>HMJ9RTEMMZ</t>
  </si>
  <si>
    <t>Cambridge, MA</t>
  </si>
  <si>
    <t>HMDHXTJR3C</t>
  </si>
  <si>
    <t>+33 6 99 83 88 75</t>
  </si>
  <si>
    <t>17-03-25 14:33</t>
  </si>
  <si>
    <t xml:space="preserve"># La réservation HMRTSEMF9W a été ajoutée. _x000D_
Joséphine - 01-10-2025 - 30 jours - 1 658,94 €_x000D_
</t>
  </si>
  <si>
    <t xml:space="preserve"># La réservation HMJ9RTEMMZ a été ajoutée. _x000D_
Bienvenue - 09-08-2025 - 7 jours - 2 366,24 €_x000D_
</t>
  </si>
  <si>
    <t xml:space="preserve"># La réservation HMDHXTJR3C a été ajoutée. _x000D_
Maury - 27-04-2025 - 3 jours - 531,12 €_x000D_
</t>
  </si>
  <si>
    <t>21-03-25 07:04</t>
  </si>
  <si>
    <t xml:space="preserve"># Maury -  Note de 8_x000D_
</t>
  </si>
  <si>
    <t>22-03-25 07:01</t>
  </si>
  <si>
    <t xml:space="preserve">#  966,63 € versés pour la réservation Maury du 20/03/2025_x000D_
</t>
  </si>
  <si>
    <t>23-03-25 10:10</t>
  </si>
  <si>
    <t xml:space="preserve">#  606,96 € versés pour la réservation Apollinaire du 21/03/2025_x000D_
</t>
  </si>
  <si>
    <t>HMYZ2JSD8T</t>
  </si>
  <si>
    <t>Karen Melvis</t>
  </si>
  <si>
    <t>+1 832-929-1171</t>
  </si>
  <si>
    <t>Houston, TX</t>
  </si>
  <si>
    <t>23-03-25 17:58</t>
  </si>
  <si>
    <t xml:space="preserve"># La réservation HMYZ2JSD8T a été ajoutée. _x000D_
Apollinaire - 24-03-2025 - 2 jours - 196,96 €_x000D_
</t>
  </si>
  <si>
    <t>24-03-25 17:22</t>
  </si>
  <si>
    <t xml:space="preserve">#  Note de 5 pour Apollinaire le 21-03-2025_x000D_
</t>
  </si>
  <si>
    <t>25-03-25 07:00</t>
  </si>
  <si>
    <t xml:space="preserve">#  Note de 5 pour Apollinaire le 14-03-2025_x000D_
</t>
  </si>
  <si>
    <t>25-03-25 07:02</t>
  </si>
  <si>
    <t xml:space="preserve"># La réservation 4684567559 a été supprimée._x000D_
</t>
  </si>
  <si>
    <t xml:space="preserve">Réservation annulée : Apollinaire - 14/10/2025 - Réservation : 4684567559_x000D_
</t>
  </si>
  <si>
    <t>25-03-25 07:03</t>
  </si>
  <si>
    <t xml:space="preserve"># La réservation 4848163273 a été supprimée._x000D_
</t>
  </si>
  <si>
    <t xml:space="preserve">Réservation annulée : Maury - 19/06/2025 - Réservation : 4848163273_x000D_
</t>
  </si>
  <si>
    <t>25-03-25 09:49</t>
  </si>
  <si>
    <t xml:space="preserve">#  Note de 5 pour Apollinaire le 04-03-2025_x000D_
</t>
  </si>
  <si>
    <t>25-03-25 19:55</t>
  </si>
  <si>
    <t xml:space="preserve">#  La réservation du 06-04-2026 chez Maury de Booking n'a pas été trouvée sur ListeRésas._x000D_
</t>
  </si>
  <si>
    <t>25-03-25 20:01</t>
  </si>
  <si>
    <t xml:space="preserve">La réservation 4377081698 a été ajoutée._x000D_
</t>
  </si>
  <si>
    <t>HMN3TJB5WW</t>
  </si>
  <si>
    <t>捷 周</t>
  </si>
  <si>
    <t>+44 7421 274186</t>
  </si>
  <si>
    <t>26-03-25 07:00</t>
  </si>
  <si>
    <t xml:space="preserve"># La réservation HMN3TJB5WW a été ajoutée. _x000D_
Apollinaire - 31-03-2025 - 3 jours - 301,92 €_x000D_
</t>
  </si>
  <si>
    <t>26-03-25 07:01</t>
  </si>
  <si>
    <t xml:space="preserve">#  196,96 € versés pour la réservation Apollinaire du 24/03/2025_x000D_
</t>
  </si>
  <si>
    <t>26-03-25 07:03</t>
  </si>
  <si>
    <t xml:space="preserve"># La réservation 4377081698 a été supprimée._x000D_
</t>
  </si>
  <si>
    <t xml:space="preserve">Réservation annulée : Maury - 06/04/2026 - Réservation : 4377081698_x000D_
</t>
  </si>
  <si>
    <t>26-03-25 19:24</t>
  </si>
  <si>
    <t>La réservation HMMPSMTA4A a été supprimée.</t>
  </si>
  <si>
    <t>HMPT9N83YZ</t>
  </si>
  <si>
    <t>Ginsely Garcia</t>
  </si>
  <si>
    <t>Ladson, SC</t>
  </si>
  <si>
    <t>27-03-25 17:23</t>
  </si>
  <si>
    <t xml:space="preserve"># La réservation HMPT9N83YZ a été ajoutée. _x000D_
Maury - 18-06-2025 - 3 jours - 511,44 €_x000D_
</t>
  </si>
  <si>
    <t>29-03-25 07:00</t>
  </si>
  <si>
    <t xml:space="preserve">#  Note de 5 pour Apollinaire le 24-03-2025_x000D_
</t>
  </si>
  <si>
    <t xml:space="preserve">#  Note de 5 pour Apollinaire le 11-03-2025_x000D_
</t>
  </si>
  <si>
    <t>HMFZTRPB5N</t>
  </si>
  <si>
    <t>Alexandre Barbier</t>
  </si>
  <si>
    <t>Boudry, Switzerland</t>
  </si>
  <si>
    <t>HM45C25KQP</t>
  </si>
  <si>
    <t>Leah Johnson-Coyle</t>
  </si>
  <si>
    <t>Edmonton, Canada</t>
  </si>
  <si>
    <t>29-03-25 15:57</t>
  </si>
  <si>
    <t xml:space="preserve"># La réservation HMFZTRPB5N a été ajoutée. _x000D_
Maury - 28-07-2025 - 3 jours - 531,11 €_x000D_
</t>
  </si>
  <si>
    <t xml:space="preserve"># La réservation HM45C25KQP a été ajoutée. _x000D_
Apollinaire - 27-07-2025 - 3 jours - 695,52 €_x000D_
</t>
  </si>
  <si>
    <t xml:space="preserve">#  Note de 5 pour Maury le 20-03-2025_x000D_
</t>
  </si>
  <si>
    <t>Mayuka Toyama</t>
  </si>
  <si>
    <t>29-03-25 16:08</t>
  </si>
  <si>
    <t>HM83A4Z29D</t>
  </si>
  <si>
    <t>+81 90-8501-1996</t>
  </si>
  <si>
    <t>Tokyo, Japan</t>
  </si>
  <si>
    <t xml:space="preserve"># La réservation HM83A4Z29D a été ajoutée. _x000D_
Joséphine - 31-05-2025 - 30 jours - 1 552,89 €_x000D_
</t>
  </si>
  <si>
    <t>29-03-25 17:17</t>
  </si>
  <si>
    <t xml:space="preserve"># La réservation HMFZTRPB5N a été modifiée. _x000D_
Maury - 28-07-2025 - 4 jours - 711,52 €_x000D_
</t>
  </si>
  <si>
    <t>29-03-25 17:20</t>
  </si>
  <si>
    <t xml:space="preserve"># La réservation 4826393367 a été supprimée._x000D_
</t>
  </si>
  <si>
    <t xml:space="preserve">Réservation annulée : Maury - 29/03/2025 - Réservation : 4826393367_x000D_
</t>
  </si>
  <si>
    <t>HMZBPT9KJ9</t>
  </si>
  <si>
    <t>Karina Quevedo</t>
  </si>
  <si>
    <t>Gilbert, AZ</t>
  </si>
  <si>
    <t xml:space="preserve"># La réservation HMZBPT9KJ9 a été ajoutée. _x000D_
Apollinaire - 15-07-2025 - 3 jours - 695,52 €_x000D_
</t>
  </si>
  <si>
    <t xml:space="preserve">#  1758,88 € versés pour la réservation Joséphine du 01/04/2025_x000D_
</t>
  </si>
  <si>
    <t xml:space="preserve">#  301,92 € versés pour la réservation Apollinaire du 31/03/2025_x000D_
</t>
  </si>
  <si>
    <t xml:space="preserve">#  234,54 € versés pour le solde de la réservation Joséphine du 28/02/2025_x000D_
</t>
  </si>
  <si>
    <t xml:space="preserve"># La réservation 4656883781 a été supprimée._x000D_
</t>
  </si>
  <si>
    <t xml:space="preserve">La réservation 4767272259 a été ajoutée._x000D_
</t>
  </si>
  <si>
    <t xml:space="preserve"># La réservation 4840296638 a été supprimée._x000D_
</t>
  </si>
  <si>
    <t xml:space="preserve">La réservation 4870635338 a été modifiée._x000D_
</t>
  </si>
  <si>
    <t xml:space="preserve">Réservation annulée : Apollinaire - 11/07/2025 - Réservation : 4840296638_x000D_
</t>
  </si>
  <si>
    <t xml:space="preserve">Réservation annulée : Apollinaire - 02/05/2025 - Réservation : 4656883781_x000D_
</t>
  </si>
  <si>
    <t xml:space="preserve"># La réservation 4983805999 a été supprimée._x000D_
</t>
  </si>
  <si>
    <t xml:space="preserve">La réservation 4453628772 a été ajoutée._x000D_
</t>
  </si>
  <si>
    <t xml:space="preserve">Réservation annulée : Maury - 21/04/2025 - Réservation : 4983805999_x000D_
</t>
  </si>
  <si>
    <t xml:space="preserve"># Validation du paiement de la réservation 4742053135 pour Apollinaire du 26-03-2025 pour un montant de 1466,89 €_x000D_
</t>
  </si>
  <si>
    <t>HM4MPFDHY9</t>
  </si>
  <si>
    <t>Victoria Atamanenko</t>
  </si>
  <si>
    <t>+33 6 38 34 91 56</t>
  </si>
  <si>
    <t xml:space="preserve"># La réservation HM4MPFDHY9 a été ajoutée. _x000D_
Maury - 08-04-2025 - 2 jours - 232,64 €_x000D_
</t>
  </si>
  <si>
    <t>mars 2026</t>
  </si>
  <si>
    <t>HMZHEE9ETS</t>
  </si>
  <si>
    <t>Frederick, MD</t>
  </si>
  <si>
    <t xml:space="preserve"># La réservation HMZHEE9ETS a été ajoutée. _x000D_
Apollinaire - 12-07-2025 - 3 jours - 695,52 €_x000D_
</t>
  </si>
  <si>
    <t>Cedric Savy Cheng Xin</t>
  </si>
  <si>
    <t xml:space="preserve">#  La réservation du 29-04-2025 chez Apollinaire de Airbnb n'a pas été trouvée sur ListeRésas._x000D_
</t>
  </si>
  <si>
    <t>HM2EPKB2H8</t>
  </si>
  <si>
    <t>+33 6 31 32 56 07</t>
  </si>
  <si>
    <t xml:space="preserve"># La réservation HM2EPKB2H8 a été ajoutée. _x000D_
Apollinaire - 29-04-2025 - 5 jours - 1 076,00 €_x000D_
</t>
  </si>
  <si>
    <t xml:space="preserve"># Validation du paiement de la réservation 4563095836 pour Maury du 04-04-2025 pour un montant de 911,54 €_x000D_
</t>
  </si>
  <si>
    <t xml:space="preserve"># Validation du paiement de la réservation 4396983284 pour Apollinaire du 03-04-2025 pour un montant de 1198,79 €_x000D_
</t>
  </si>
  <si>
    <t>HMZFRKWA32</t>
  </si>
  <si>
    <t>Irene Aguilar</t>
  </si>
  <si>
    <t>Plano, TX</t>
  </si>
  <si>
    <t>HMWMP3N9JC</t>
  </si>
  <si>
    <t>Cindy Veltens</t>
  </si>
  <si>
    <t>+32 486 60 08 48</t>
  </si>
  <si>
    <t xml:space="preserve"># La réservation HMZFRKWA32 a été ajoutée. _x000D_
Maury - 10-06-2025 - 3 jours - 540,96 €_x000D_
</t>
  </si>
  <si>
    <t xml:space="preserve"># La réservation HMWMP3N9JC a été ajoutée. _x000D_
Maury - 23-04-2025 - 4 jours - 501,60 €_x000D_
</t>
  </si>
  <si>
    <t xml:space="preserve">#  Note de 5 pour Maury le 08-04-2025_x000D_
</t>
  </si>
  <si>
    <t xml:space="preserve">#  1615,31 € versés pour la réservation Apollinaire du 09/04/2025_x000D_
</t>
  </si>
  <si>
    <t xml:space="preserve">#  232,64 € versés pour la réservation Maury du 08/04/2025_x000D_
</t>
  </si>
  <si>
    <t>15-04-25 10:42</t>
  </si>
  <si>
    <t xml:space="preserve"># Validation du paiement de la réservation 4603612125 pour Maury du 10-04-2025 pour un montant de 957,50 €_x000D_
</t>
  </si>
  <si>
    <t>15-04-25 10:43</t>
  </si>
  <si>
    <t xml:space="preserve"># Maury -  Note de 10_x000D_
</t>
  </si>
  <si>
    <t>16-04-25 09:42</t>
  </si>
  <si>
    <t xml:space="preserve"># La réservation 4990288565 a été supprimée._x000D_
</t>
  </si>
  <si>
    <t xml:space="preserve">Réservation annulée : Apollinaire - 31/03/2026 - Réservation : 4990288565_x000D_
</t>
  </si>
  <si>
    <t>Katie Starbuck-Bittker</t>
  </si>
  <si>
    <t>HMB5ST8J89</t>
  </si>
  <si>
    <t>Tom Sellevaag</t>
  </si>
  <si>
    <t>Washington, DC</t>
  </si>
  <si>
    <t>HMEAFK4CBZ</t>
  </si>
  <si>
    <t>Javier Islas</t>
  </si>
  <si>
    <t>+52 55 1921 8138</t>
  </si>
  <si>
    <t>Naucalpan de Juárez, Mexico</t>
  </si>
  <si>
    <t>20-04-25 09:47</t>
  </si>
  <si>
    <t xml:space="preserve"># La réservation HMB5ST8J89 a été ajoutée. _x000D_
Apollinaire - 04-07-2025 - 3 jours - 695,52 €_x000D_
</t>
  </si>
  <si>
    <t xml:space="preserve"># La réservation HMEAFK4CBZ a été ajoutée. _x000D_
Apollinaire - 21-04-2025 - 2 jours - 229,76 €_x000D_
</t>
  </si>
  <si>
    <t>20-04-25 09:49</t>
  </si>
  <si>
    <t xml:space="preserve"># La réservation 4776935565 a été supprimée._x000D_
</t>
  </si>
  <si>
    <t xml:space="preserve">Réservation annulée : Apollinaire - 02/07/2025 - Réservation : 4776935565_x000D_
</t>
  </si>
  <si>
    <t>22-04-25 16:53</t>
  </si>
  <si>
    <t xml:space="preserve"># Validation du paiement de la réservation 4452334680 pour Maury du 18-04-2025 pour un montant de 731,53 €_x000D_
</t>
  </si>
  <si>
    <t xml:space="preserve"># Validation du paiement de la réservation 4580401109 pour Maury du 14-04-2025 pour un montant de 911,54 €_x000D_
</t>
  </si>
  <si>
    <t xml:space="preserve"># Validation du paiement de la réservation 4301124352 pour Apollinaire du 17-04-2025 pour un montant de 1233,26 €_x000D_
</t>
  </si>
  <si>
    <t>HMHY95E48J</t>
  </si>
  <si>
    <t>Phiona Chikombero</t>
  </si>
  <si>
    <t>+44 7829 888187</t>
  </si>
  <si>
    <t>JE</t>
  </si>
  <si>
    <t>24-04-25 11:22</t>
  </si>
  <si>
    <t xml:space="preserve"># La réservation HMHY95E48J a été ajoutée. _x000D_
Maury - 07-05-2025 - 4 jours - 475,36 €_x000D_
</t>
  </si>
  <si>
    <t>24-04-25 11:23</t>
  </si>
  <si>
    <t xml:space="preserve">#  229,76 € versés pour la réservation Apollinaire du 21/04/2025_x000D_
</t>
  </si>
  <si>
    <t>24-04-25 11:25</t>
  </si>
  <si>
    <t xml:space="preserve"># La réservation 4743323129 a été supprimée._x000D_
</t>
  </si>
  <si>
    <t xml:space="preserve">Réservation annulée : Maury - 08/05/2025 - Réservation : 4743323129_x000D_
</t>
  </si>
  <si>
    <t>24-04-25 11:26</t>
  </si>
  <si>
    <t>26-04-25 09:09</t>
  </si>
  <si>
    <t xml:space="preserve">#  501,6 € versés pour la réservation Maury du 23/04/2025_x000D_
</t>
  </si>
  <si>
    <t>26-04-25 09:10</t>
  </si>
  <si>
    <t xml:space="preserve">La réservation 4551180083 a été ajoutée._x000D_
</t>
  </si>
  <si>
    <t>HMBTSNJNXF</t>
  </si>
  <si>
    <t>Youssef Badraoui</t>
  </si>
  <si>
    <t>+212 661-051094</t>
  </si>
  <si>
    <t>Casablanca, Morocco</t>
  </si>
  <si>
    <t>27-04-25 17:30</t>
  </si>
  <si>
    <t xml:space="preserve"># La réservation HMBTSNJNXF a été ajoutée. _x000D_
Apollinaire - 06-05-2025 - 4 jours - 643,04 €_x000D_
</t>
  </si>
  <si>
    <t>HMK9JNEZNC</t>
  </si>
  <si>
    <t>Keire Hunter</t>
  </si>
  <si>
    <t>Baltimore, MD</t>
  </si>
  <si>
    <t xml:space="preserve"># La réservation HMK9JNEZNC a été ajoutée. _x000D_
Maury - 02-08-2025 - 7 jours - 1 002,46 €_x000D_
</t>
  </si>
  <si>
    <t xml:space="preserve">#  1076 € versés pour la réservation Apollinaire du 29/04/2025_x000D_
</t>
  </si>
  <si>
    <t xml:space="preserve">#  531,12 € versés pour la réservation Maury du 27/04/2025_x000D_
</t>
  </si>
  <si>
    <t xml:space="preserve"># Validation du paiement de la réservation 4882317107 pour Apollinaire du 23-04-2025 pour un montant de 1233,26 €_x000D_
</t>
  </si>
  <si>
    <t>02-05-2025 10.33</t>
  </si>
  <si>
    <t>Message from Ryo Fujiwara_x000D_
I’ve checked in smoothly and I’m really enjoying my stay\n\nThank you for t</t>
  </si>
  <si>
    <t>02-05-2025 03.52</t>
  </si>
  <si>
    <t xml:space="preserve">Dan souhaite réserver votre logement_x000D_
Dan a fait une demande pour Maison Familiale au Coeur de Montparnasse pour </t>
  </si>
  <si>
    <t>HMQ8EMP9A4</t>
  </si>
  <si>
    <t>Dan Loucks</t>
  </si>
  <si>
    <t xml:space="preserve"># La réservation HMQ8EMP9A4 a été ajoutée. _x000D_
Bienvenue - 27-07-2025 - 7 jours - 2 396,09 €_x000D_
</t>
  </si>
  <si>
    <t>HMCQA8H889</t>
  </si>
  <si>
    <t>Tri Hoang</t>
  </si>
  <si>
    <t>+1 617-842-0151</t>
  </si>
  <si>
    <t>HMHCSNHJ2Z</t>
  </si>
  <si>
    <t>Eda Molon</t>
  </si>
  <si>
    <t>+31 6 87327926</t>
  </si>
  <si>
    <t>Amsterdam, Netherlands</t>
  </si>
  <si>
    <t xml:space="preserve"># La réservation HMCQA8H889 a été ajoutée. _x000D_
Apollinaire - 21-05-2025 - 3 jours - 459,36 €_x000D_
</t>
  </si>
  <si>
    <t xml:space="preserve"># La réservation HMHCSNHJ2Z a été ajoutée. _x000D_
Apollinaire - 13-05-2025 - 2 jours - 249,44 €_x000D_
</t>
  </si>
  <si>
    <t xml:space="preserve">#  1935 € versés pour la réservation Joséphine du 01/05/2025_x000D_
</t>
  </si>
  <si>
    <t>avr 2026</t>
  </si>
  <si>
    <t>La réservation HMZHEE9ETS a été supprimée.</t>
  </si>
  <si>
    <t xml:space="preserve">#  Note de 5 pour Joséphine le 01-04-2025_x000D_
</t>
  </si>
  <si>
    <t xml:space="preserve"># Validation du paiement de la réservation 4453628772 pour Maury du 01-05-2025 pour un montant de 697,06 €_x000D_
</t>
  </si>
  <si>
    <t>HM3XHCM4EX</t>
  </si>
  <si>
    <t>Lars Schnieder</t>
  </si>
  <si>
    <t>+49 170 7712863</t>
  </si>
  <si>
    <t xml:space="preserve"># La réservation HM3XHCM4EX a été ajoutée. _x000D_
Maury - 13-10-2025 - 4 jours - 777,12 €_x000D_
</t>
  </si>
  <si>
    <t xml:space="preserve">#  Note de 5 pour Apollinaire le 06-05-2025_x000D_
</t>
  </si>
  <si>
    <t xml:space="preserve">#  734,88 € versés pour la réservation Apollinaire du 10/05/2025_x000D_
</t>
  </si>
  <si>
    <t xml:space="preserve">#  475,36 € versés pour la réservation Maury du 07/05/2025_x000D_
</t>
  </si>
  <si>
    <t xml:space="preserve">#  643,04 € versés pour la réservation Apollinaire du 06/05/2025_x000D_
</t>
  </si>
  <si>
    <t>HMJPXCH9J2</t>
  </si>
  <si>
    <t>Po-Yuan Huang</t>
  </si>
  <si>
    <t>HM4XWXHAQQ</t>
  </si>
  <si>
    <t>Lauren Thorburn</t>
  </si>
  <si>
    <t>Brisbane, Australia</t>
  </si>
  <si>
    <t>13-05-25 18:38</t>
  </si>
  <si>
    <t xml:space="preserve"># La réservation HMJPXCH9J2 a été ajoutée. _x000D_
Apollinaire - 12-07-2025 - 3 jours - 695,52 €_x000D_
</t>
  </si>
  <si>
    <t xml:space="preserve"># La réservation HM4XWXHAQQ a été ajoutée. _x000D_
Maury - 04-07-2025 - 2 jours - 311,36 €_x000D_
</t>
  </si>
  <si>
    <t xml:space="preserve">#  Note de 5 pour Maury le 07-05-2025_x000D_
</t>
  </si>
  <si>
    <t>13-05-25 18:53</t>
  </si>
  <si>
    <t xml:space="preserve">#  685,28 € versés pour la réservation Maury du 11/05/2025_x000D_
</t>
  </si>
  <si>
    <t>16-05-25 11:39</t>
  </si>
  <si>
    <t xml:space="preserve">#  Note de 5 pour Apollinaire le 10-05-2025_x000D_
</t>
  </si>
  <si>
    <t>16-05-25 11:40</t>
  </si>
  <si>
    <t xml:space="preserve">#  249,44 € versés pour la réservation Apollinaire du 13/05/2025_x000D_
</t>
  </si>
  <si>
    <t>19-05-2025 09.14</t>
  </si>
  <si>
    <t>20-05-2025 03.15</t>
  </si>
  <si>
    <t>Monica a effectué une réservation_x000D_
Monica a effectué une Réservation instantanée pour votre logement pour le 2</t>
  </si>
  <si>
    <t>HMF82SSXFF</t>
  </si>
  <si>
    <t>Monica Loeffler</t>
  </si>
  <si>
    <t>+1 813-471-7694</t>
  </si>
  <si>
    <t>Tampa, FL</t>
  </si>
  <si>
    <t>HMFT2DCYY5</t>
  </si>
  <si>
    <t>Laurence Zerbib</t>
  </si>
  <si>
    <t>+33 6 72 91 81 67</t>
  </si>
  <si>
    <t>20-05-25 09:09</t>
  </si>
  <si>
    <t xml:space="preserve"># La réservation HMF82SSXFF a été ajoutée. _x000D_
Maury - 23-08-2025 - 6 jours - 954,24 €_x000D_
</t>
  </si>
  <si>
    <t>20-05-25 09:10</t>
  </si>
  <si>
    <t xml:space="preserve"># La réservation HMFT2DCYY5 a été ajoutée. _x000D_
Joséphine - 03-07-2025 - 31 jours - 1 829,51 €_x000D_
</t>
  </si>
  <si>
    <t>La réservation HMEFRJJYHM a été supprimée.</t>
  </si>
  <si>
    <t xml:space="preserve">#  Note de 5 pour Maury le 11-05-2025_x000D_
</t>
  </si>
  <si>
    <t>20-05-25 09:11</t>
  </si>
  <si>
    <t xml:space="preserve">#  1610,76 € versés pour la réservation Apollinaire du 15/05/2025_x000D_
</t>
  </si>
  <si>
    <t xml:space="preserve">#  540,96 € versés pour la réservation Maury du 15/05/2025_x000D_
</t>
  </si>
  <si>
    <t>20-05-25 09:19:35</t>
  </si>
  <si>
    <t>23-05-25 07:01</t>
  </si>
  <si>
    <t xml:space="preserve">#  459,36 € versés pour la réservation Apollinaire du 21/05/2025_x000D_
</t>
  </si>
  <si>
    <t>HM2SJ9FST3</t>
  </si>
  <si>
    <t>Hanna Herkama</t>
  </si>
  <si>
    <t>HKI, Finland</t>
  </si>
  <si>
    <t>24-05-25 12:05</t>
  </si>
  <si>
    <t xml:space="preserve"># La réservation HM2SJ9FST3 a été ajoutée. _x000D_
Maury - 02-06-2025 - 4 jours - 645,92 €_x000D_
</t>
  </si>
  <si>
    <t>26-05-25 12:24</t>
  </si>
  <si>
    <t xml:space="preserve"># Validation du paiement de la réservation 4845700436 pour Maury du 19-05-2025 pour un montant de 1409,44 €_x000D_
</t>
  </si>
  <si>
    <t>HMAWJAJAK5</t>
  </si>
  <si>
    <t>Alayo Akinkugbe</t>
  </si>
  <si>
    <t>HMEMJ232JW</t>
  </si>
  <si>
    <t xml:space="preserve"># La réservation HMAWJAJAK5 a été ajoutée. _x000D_
Maury - 21-06-2025 - 2 jours - 317,92 €_x000D_
</t>
  </si>
  <si>
    <t xml:space="preserve">#  Note de 5 pour Maury le 26-05-2025_x000D_
</t>
  </si>
  <si>
    <t xml:space="preserve">#  764 € versés pour la réservation Maury du 29/05/2025_x000D_
</t>
  </si>
  <si>
    <t xml:space="preserve">#  570,48 € versés pour la réservation Maury du 26/05/2025_x000D_
</t>
  </si>
  <si>
    <t xml:space="preserve"># Validation du paiement de la réservation 4397270804 pour Apollinaire du 24-05-2025 pour un montant de 1171,98 €_x000D_
</t>
  </si>
  <si>
    <t xml:space="preserve"># Bienvenue -  Note de 8_x000D_
</t>
  </si>
  <si>
    <t xml:space="preserve">#  Note de 5 pour Maury le 29-05-2025_x000D_
</t>
  </si>
  <si>
    <t xml:space="preserve">#  1552,89 € versés pour la réservation Joséphine du 31/05/2025_x000D_
</t>
  </si>
  <si>
    <t>HM2QARMDH8</t>
  </si>
  <si>
    <t xml:space="preserve"># La réservation HM2QARMDH8 a été ajoutée. _x000D_
Joséphine - 10-12-2025 - 30 jours - 2 192,88 €_x000D_
</t>
  </si>
  <si>
    <t xml:space="preserve">#  Note de 5 pour Apollinaire le 15-05-2025_x000D_
</t>
  </si>
  <si>
    <t xml:space="preserve"># Validation du paiement de la réservation 4886775460 pour Apollinaire du 28-05-2025 pour un montant de 1057,08 €_x000D_
</t>
  </si>
  <si>
    <t xml:space="preserve">#  Note de 4 pour Joséphine le 01-05-2025_x000D_
</t>
  </si>
  <si>
    <t xml:space="preserve">#  La réservation du 13-08-2025 chez Maury de Airbnb n'a pas été trouvée sur ListeRésas._x000D_
</t>
  </si>
  <si>
    <t>HM2MKQDM9Y</t>
  </si>
  <si>
    <t>Burlingame, CA</t>
  </si>
  <si>
    <t xml:space="preserve"># La réservation HM2MKQDM9Y a été ajoutée. _x000D_
Maury - 13-08-2025 - 3 jours - 452,40 €_x000D_
</t>
  </si>
  <si>
    <t xml:space="preserve">#  645,92 € versés pour la réservation Maury du 02/06/2025_x000D_
</t>
  </si>
  <si>
    <t>HMMW8BR45X</t>
  </si>
  <si>
    <t>Ken And Lisa Lee Choi</t>
  </si>
  <si>
    <t>+1 416-618-4808</t>
  </si>
  <si>
    <t>HMNRRYPKMW</t>
  </si>
  <si>
    <t xml:space="preserve"># La réservation HMMW8BR45X a été ajoutée. _x000D_
Maury - 16-09-2025 - 5 jours - 875,52 €_x000D_
</t>
  </si>
  <si>
    <t>HMXJZYH2CE</t>
  </si>
  <si>
    <t>Megan Handwerk</t>
  </si>
  <si>
    <t>+1 617-939-7732</t>
  </si>
  <si>
    <t>Boston, MA</t>
  </si>
  <si>
    <t>HMZSWEQSBP</t>
  </si>
  <si>
    <t>Molly Harding</t>
  </si>
  <si>
    <t>+1 615-545-5990</t>
  </si>
  <si>
    <t>Murfreesboro, TN</t>
  </si>
  <si>
    <t>HMDHFREY4K</t>
  </si>
  <si>
    <t>Samantha Galang</t>
  </si>
  <si>
    <t>+1 805-390-5667</t>
  </si>
  <si>
    <t xml:space="preserve"># La réservation HMXJZYH2CE a été ajoutée. _x000D_
Maury - 21-09-2025 - 6 jours - 1 111,68 €_x000D_
</t>
  </si>
  <si>
    <t xml:space="preserve"># La réservation HMZSWEQSBP a été ajoutée. _x000D_
Maury - 31-08-2025 - 5 jours - 806,64 €_x000D_
</t>
  </si>
  <si>
    <t xml:space="preserve"># La réservation HMDHFREY4K a été ajoutée. _x000D_
Apollinaire - 28-08-2025 - 6 jours - 1 364,64 €_x000D_
</t>
  </si>
  <si>
    <t xml:space="preserve"># Validation du paiement de la réservation 4630993662 pour Maury du 06-06-2025 pour un montant de 697,06 €_x000D_
</t>
  </si>
  <si>
    <t xml:space="preserve"># Validation du paiement de la réservation 4460305343 pour Apollinaire du 31-05-2025 pour un montant de 3473,38 €_x000D_
</t>
  </si>
  <si>
    <t xml:space="preserve"># Maury -  Note de 7_x000D_
</t>
  </si>
  <si>
    <t xml:space="preserve">#  754,56 € versés pour la réservation Apollinaire du 10/06/2025_x000D_
</t>
  </si>
  <si>
    <t xml:space="preserve">#  540,96 € versés pour la réservation Maury du 10/06/2025_x000D_
</t>
  </si>
  <si>
    <t>HMKZCHHC4A</t>
  </si>
  <si>
    <t>Pymble, Australia</t>
  </si>
  <si>
    <t>13-06-25 12:08</t>
  </si>
  <si>
    <t xml:space="preserve">#  La réservation du 15-01-2026 chez Joséphine de Airbnb n'a pas été trouvée sur ListeRésas._x000D_
</t>
  </si>
  <si>
    <t>mai 2026</t>
  </si>
  <si>
    <t>67abc6cdfcd65a0010d4e532</t>
  </si>
  <si>
    <t>6749a8942ade190011616271</t>
  </si>
  <si>
    <t>678a00439c1cc90013318417</t>
  </si>
  <si>
    <t>678ba5690fa5de0012cfb288</t>
  </si>
  <si>
    <t>679df5290a430e00122d9893</t>
  </si>
  <si>
    <t>67be27f7d7adaf0019f9ea3e</t>
  </si>
  <si>
    <t>6845fdbdcaca0700121ff172</t>
  </si>
  <si>
    <t>677dd61ac1f6540011093894</t>
  </si>
  <si>
    <t>6842de5e25c37200107cee5f</t>
  </si>
  <si>
    <t>67a7da83825cfe00310d3a93</t>
  </si>
  <si>
    <t>6846ec06658410000f30fd69</t>
  </si>
  <si>
    <t>6845d805a9a7a0001257c553</t>
  </si>
  <si>
    <t>682bd7b0ac762e0013befddc</t>
  </si>
  <si>
    <t>67b3104cc9d57c00112639b6</t>
  </si>
  <si>
    <t>678ce3b839e9fb0063440079</t>
  </si>
  <si>
    <t>68135ccbecac560011b9470c</t>
  </si>
  <si>
    <t>672cef57d5365b0011a813f7</t>
  </si>
  <si>
    <t>67e7fe9cba90610012af03fb</t>
  </si>
  <si>
    <t>67e809b091c9870010844c87</t>
  </si>
  <si>
    <t>672c9298fa7c5500125debb4</t>
  </si>
  <si>
    <t>680b4c5b61bad60011356f86</t>
  </si>
  <si>
    <t>67ed958d584be7001352498a</t>
  </si>
  <si>
    <t>674fed6bda339a00121b8c26</t>
  </si>
  <si>
    <t>682350d049cda4003b28ede0</t>
  </si>
  <si>
    <t>13-06-25 18:06</t>
  </si>
  <si>
    <t>14-06-25 09:06</t>
  </si>
  <si>
    <t xml:space="preserve"># La réservation HMKZCHHC4A a été ajoutée. _x000D_
Joséphine - 15-01-2026 - 43 jours - 3 147,31 €_x000D_
</t>
  </si>
  <si>
    <t>14-06-25 09:07</t>
  </si>
  <si>
    <t xml:space="preserve">#  Note de 5 pour Maury le 10-06-2025_x000D_
</t>
  </si>
  <si>
    <t>14-06-25 09:51</t>
  </si>
  <si>
    <t xml:space="preserve">#  Note de 5 pour Maury le 02-06-2025_x000D_
</t>
  </si>
  <si>
    <t>14-06-25 09:55</t>
  </si>
  <si>
    <t xml:space="preserve">#  -  Note de 8_x000D_
</t>
  </si>
  <si>
    <t>15-06-25 08:13</t>
  </si>
  <si>
    <t xml:space="preserve">La réservation 6679177792 a été ajoutée._x000D_
</t>
  </si>
  <si>
    <t>684dd325b9a7f900102dd951</t>
  </si>
  <si>
    <t>16-06-25 09:41</t>
  </si>
  <si>
    <t xml:space="preserve">#  Note de 4 pour Apollinaire le 10-06-2025_x000D_
</t>
  </si>
  <si>
    <t>16-06-25 09:42</t>
  </si>
  <si>
    <t xml:space="preserve">#  3849,55 € versés pour la réservation Apollinaire du 14/06/2025_x000D_
</t>
  </si>
  <si>
    <t>18-06-25 11:44</t>
  </si>
  <si>
    <t xml:space="preserve">La réservation 6022510525 a été ajoutée._x000D_
</t>
  </si>
  <si>
    <t>HM932Q98WP</t>
  </si>
  <si>
    <t>Ara Mohamoud</t>
  </si>
  <si>
    <t>Ottawa, Canada</t>
  </si>
  <si>
    <t>18-06-25 20:38</t>
  </si>
  <si>
    <t xml:space="preserve"># La réservation HM932Q98WP a été ajoutée. _x000D_
Apollinaire - 02-07-2025 - 2 jours - 328,16 €_x000D_
</t>
  </si>
  <si>
    <t>892,00 €</t>
  </si>
  <si>
    <t>19-06-25 07:03</t>
  </si>
  <si>
    <t xml:space="preserve">La réservation 6446376459 a été ajoutée._x000D_
</t>
  </si>
  <si>
    <t xml:space="preserve"># Validation du paiement de la réservation 4404105301 pour Maury du 14-06-2025 pour un montant de 865,58 €_x000D_
</t>
  </si>
  <si>
    <t>685394ab6158f8001af8e84b</t>
  </si>
  <si>
    <t>20-06-25 07:02</t>
  </si>
  <si>
    <t xml:space="preserve">#  511,44 € versés pour la réservation Maury du 18/06/2025_x000D_
</t>
  </si>
  <si>
    <t xml:space="preserve"># La réservation 4925023475 a été supprimée._x000D_
</t>
  </si>
  <si>
    <t xml:space="preserve">Réservation annulée : Apollinaire - 09/09/2025 - Réservation : 4925023475_x000D_
</t>
  </si>
  <si>
    <t>22-06-25 15:57</t>
  </si>
  <si>
    <t xml:space="preserve"># La réservation 4870635338 a été supprimée._x000D_
</t>
  </si>
  <si>
    <t xml:space="preserve">La réservation 6210678850 a été ajoutée._x000D_
</t>
  </si>
  <si>
    <t xml:space="preserve">Réservation annulée : Apollinaire - 08/08/2025 - Réservation : 4870635338_x000D_
</t>
  </si>
  <si>
    <t>HMBM4S3TAQ</t>
  </si>
  <si>
    <t>David Yoo</t>
  </si>
  <si>
    <t>24-06-25 08:53</t>
  </si>
  <si>
    <t>La réservation HM2MKQDM9Y a été supprimée.</t>
  </si>
  <si>
    <t xml:space="preserve"># La réservation HMBM4S3TAQ a été ajoutée. _x000D_
Apollinaire - 07-07-2025 - 2 jours - 367,52 €_x000D_
</t>
  </si>
  <si>
    <t>24-06-25 08:54</t>
  </si>
  <si>
    <t xml:space="preserve">#  317,92 € versés pour la réservation Maury du 21/06/2025_x000D_
</t>
  </si>
  <si>
    <t>6857f96b48820d0013db556d</t>
  </si>
  <si>
    <t>24-06-25 18:04</t>
  </si>
  <si>
    <t xml:space="preserve">#  La réservation du 08-08-2025 chez Apollinaire de Booking n'a pas été trouvée sur ListeGuesty._x000D_
</t>
  </si>
  <si>
    <t>24-06-25 18:05</t>
  </si>
  <si>
    <t xml:space="preserve">La réservation 6210678850 a été modifiée._x000D_
</t>
  </si>
  <si>
    <t>25-06-25 07:02</t>
  </si>
  <si>
    <t xml:space="preserve">#  1092 € versés pour la réservation Maury du 23/06/2025_x000D_
</t>
  </si>
  <si>
    <t>HMDYD2CAKM</t>
  </si>
  <si>
    <t>Richard Lewis</t>
  </si>
  <si>
    <t>+1 617-462-6454</t>
  </si>
  <si>
    <t>25-06-25 17:48</t>
  </si>
  <si>
    <t xml:space="preserve"># La réservation HMDYD2CAKM a été ajoutée. _x000D_
Apollinaire - 20-12-2025 - 3 jours - 636,48 €_x000D_
</t>
  </si>
  <si>
    <t>685c0c14f9bfb20032f09442</t>
  </si>
  <si>
    <t>29-06-25 18:38</t>
  </si>
  <si>
    <t xml:space="preserve"># La réservation HMDYD2CAKM a été modifiée. _x000D_
Apollinaire - 19-12-2025 - 3 jours - 636,48 €_x000D_
</t>
  </si>
  <si>
    <t xml:space="preserve">#  Note de 5 pour Maury le 23-06-2025_x000D_
</t>
  </si>
  <si>
    <t>30-06-25 09:56</t>
  </si>
  <si>
    <t xml:space="preserve">#  Note de 5 pour Apollinaire le 14-06-2025_x000D_
</t>
  </si>
  <si>
    <t xml:space="preserve">#  734,88 € versés pour la réservation Apollinaire du 29/06/2025_x000D_
</t>
  </si>
  <si>
    <t xml:space="preserve"># La réservation 4480118996 a été supprimée._x000D_
</t>
  </si>
  <si>
    <t xml:space="preserve">Réservation annulée : Apollinaire - 23/07/2025 - Réservation : 4480118996_x000D_
</t>
  </si>
  <si>
    <t xml:space="preserve">La réservation 6332645162 a été ajoutée._x000D_
</t>
  </si>
  <si>
    <t>6864a5e6d9ffdf0012b8ee74</t>
  </si>
  <si>
    <t>HM28RSNYHP</t>
  </si>
  <si>
    <t>Rich Birdsell</t>
  </si>
  <si>
    <t>+1 913-940-1084</t>
  </si>
  <si>
    <t xml:space="preserve"># La réservation HM28RSNYHP a été ajoutée. _x000D_
Apollinaire - 15-10-2025 - 7 jours - 1 598,83 €_x000D_
</t>
  </si>
  <si>
    <t>6866a6b5e49ddd001112a166</t>
  </si>
  <si>
    <t>juin 2026</t>
  </si>
  <si>
    <t xml:space="preserve">#  328,16 € versés pour la réservation Apollinaire du 02/07/2025_x000D_
</t>
  </si>
  <si>
    <t>HMHZR2WHJB</t>
  </si>
  <si>
    <t>CiCi Cheng</t>
  </si>
  <si>
    <t>+1 303-868-8725</t>
  </si>
  <si>
    <t>Denver, CO</t>
  </si>
  <si>
    <t xml:space="preserve"># La réservation HMHZR2WHJB a été ajoutée. _x000D_
Maury - 12-09-2025 - 4 jours - 698,40 €_x000D_
</t>
  </si>
  <si>
    <t xml:space="preserve">#  1829,51 € versés pour la réservation Joséphine du 03/07/2025_x000D_
</t>
  </si>
  <si>
    <t xml:space="preserve">La réservation 5098118619 a été ajoutée._x000D_
</t>
  </si>
  <si>
    <t>6868a20fb0a6920011059560</t>
  </si>
  <si>
    <t>HM4TMRMJFP</t>
  </si>
  <si>
    <t xml:space="preserve"># La réservation HM4TMRMJFP a été ajoutée. _x000D_
Maury - 06-10-2025 - 4 jours - 777,12 €_x000D_
</t>
  </si>
  <si>
    <t xml:space="preserve">#  695,52 € versés pour la réservation Apollinaire du 04/07/2025_x000D_
</t>
  </si>
  <si>
    <t xml:space="preserve">#  311,36 € versés pour la réservation Maury du 04/07/2025_x000D_
</t>
  </si>
  <si>
    <t>2026b</t>
  </si>
  <si>
    <t xml:space="preserve"># Validation du paiement de la réservation 4775975848 pour Maury du 30-06-2025 pour un montant de 955,37 €_x000D_
</t>
  </si>
  <si>
    <t xml:space="preserve">La réservation 6311369559 a été ajoutée._x000D_
</t>
  </si>
  <si>
    <t xml:space="preserve">La réservation 5996384435 a été ajoutée._x000D_
</t>
  </si>
  <si>
    <t>686b954d094899000f87b7bc</t>
  </si>
  <si>
    <t>686bc42fdefb1d0012ba8d13</t>
  </si>
  <si>
    <t>La réservation HM2QARMDH8 a été supprimée.</t>
  </si>
  <si>
    <t xml:space="preserve">#  Note de 5 pour Joséphine le 31-05-2025_x000D_
</t>
  </si>
  <si>
    <t>HMPZ294EHX</t>
  </si>
  <si>
    <t xml:space="preserve"># La réservation HMPZ294EHX a été ajoutée. _x000D_
Maury - 05-09-2025 - 3 jours - 550,80 €_x000D_
</t>
  </si>
  <si>
    <t xml:space="preserve">#  Note de 5 pour Apollinaire le 04-07-2025_x000D_
</t>
  </si>
  <si>
    <t xml:space="preserve">#  367,52 € versés pour la réservation Apollinaire du 07/07/2025_x000D_
</t>
  </si>
  <si>
    <t xml:space="preserve"># Validation du paiement de la réservation 4662083894 pour Maury du 06-07-2025 pour un montant de 730,32 €_x000D_
</t>
  </si>
  <si>
    <t>HMDNPF4F44</t>
  </si>
  <si>
    <t>Dean Lo Seen Chong</t>
  </si>
  <si>
    <t>+1 347-739-8759</t>
  </si>
  <si>
    <t>Beau Bassin-Rose Hill, Mauritius</t>
  </si>
  <si>
    <t xml:space="preserve"># La réservation HMDNPF4F44 a été ajoutée. _x000D_
Maury - 08-09-2025 - 3 jours - 521,28 €_x000D_
</t>
  </si>
  <si>
    <t>HM84H2XTTA</t>
  </si>
  <si>
    <t>Michael Turner</t>
  </si>
  <si>
    <t>+1 229-560-6979</t>
  </si>
  <si>
    <t>Hahira, GA</t>
  </si>
  <si>
    <t xml:space="preserve"># La réservation HM84H2XTTA a été ajoutée. _x000D_
Apollinaire - 26-03-2026 - 8 jours - 1 847,98 €_x000D_
</t>
  </si>
  <si>
    <t>HMZ9SKA88T</t>
  </si>
  <si>
    <t>Jeanne Titus</t>
  </si>
  <si>
    <t xml:space="preserve"># La réservation HMZ9SKA88T a été ajoutée. _x000D_
Apollinaire - 22-07-2025 - 5 jours - 971,04 €_x000D_
</t>
  </si>
  <si>
    <t xml:space="preserve">#  891,92 € versés pour la réservation Maury du 09/07/2025_x000D_
</t>
  </si>
  <si>
    <t>68700f6a91d2fc00121a0bd5</t>
  </si>
  <si>
    <t>686fba6972c41000139ca0f2</t>
  </si>
  <si>
    <t>687021f095376e0011a8b6a1</t>
  </si>
  <si>
    <t>13-07-25 07:00</t>
  </si>
  <si>
    <t xml:space="preserve">#  Note de 5 pour Apollinaire le 07-07-2025_x000D_
</t>
  </si>
  <si>
    <t>13-07-25 07:02</t>
  </si>
  <si>
    <t xml:space="preserve"># La réservation 4891355092 a été supprimée._x000D_
</t>
  </si>
  <si>
    <t xml:space="preserve">Réservation annulée : Apollinaire - 18/08/2025 - Réservation : 4891355092_x000D_
</t>
  </si>
  <si>
    <t>HM883TFW94</t>
  </si>
  <si>
    <t>Elisabeth Chapple</t>
  </si>
  <si>
    <t>13-07-25 17:38</t>
  </si>
  <si>
    <t xml:space="preserve"># La réservation HM883TFW94 a été ajoutée. _x000D_
Apollinaire - 13-08-2025 - 3 jours - 636,48 €_x000D_
</t>
  </si>
  <si>
    <t>HMYZ5RM4MZ</t>
  </si>
  <si>
    <t>Joshua Halickman</t>
  </si>
  <si>
    <t>+1 203-645-9559</t>
  </si>
  <si>
    <t>HMBRXYYSQ3</t>
  </si>
  <si>
    <t>14-07-25 07:00</t>
  </si>
  <si>
    <t xml:space="preserve"># La réservation HMYZ5RM4MZ a été ajoutée. _x000D_
Apollinaire - 21-08-2025 - 6 jours - 1 390,88 €_x000D_
</t>
  </si>
  <si>
    <t xml:space="preserve"># La réservation HMBRXYYSQ3 a été ajoutée. _x000D_
Maury - 12-08-2025 - 3 jours - 452,40 €_x000D_
</t>
  </si>
  <si>
    <t>14-07-25 07:01</t>
  </si>
  <si>
    <t xml:space="preserve">#  695,52 € versés pour la réservation Apollinaire du 12/07/2025_x000D_
</t>
  </si>
  <si>
    <t>14-07-25 07:03</t>
  </si>
  <si>
    <t xml:space="preserve"># Validation du paiement de la réservation 4767272259 pour Apollinaire du 09-07-2025 pour un montant de 1130,98 €_x000D_
</t>
  </si>
  <si>
    <t>68746bdc0bca6300132d2a9b</t>
  </si>
  <si>
    <t>6873b438da634d00132f13dc</t>
  </si>
  <si>
    <t>14-07-25 13:53</t>
  </si>
  <si>
    <t xml:space="preserve">#  Note de 5 pour Apollinaire le 29-06-2025_x000D_
</t>
  </si>
  <si>
    <t>HMTQE48YJ4</t>
  </si>
  <si>
    <t>Laura Lewis</t>
  </si>
  <si>
    <t>+44 7833 693684</t>
  </si>
  <si>
    <t>14-07-25 21:02</t>
  </si>
  <si>
    <t xml:space="preserve"># La réservation HMTQE48YJ4 a été ajoutée. _x000D_
Apollinaire - 11-09-2025 - 3 jours - 754,56 €_x000D_
</t>
  </si>
  <si>
    <t xml:space="preserve">#  Note de 5 pour Maury le 09-07-2025_x000D_
</t>
  </si>
  <si>
    <t>15-07-25 07:00</t>
  </si>
  <si>
    <t>La réservation HMKZCHHC4A a été supprimée.</t>
  </si>
  <si>
    <t>15-07-25 07:02</t>
  </si>
  <si>
    <t xml:space="preserve">La réservation 6899646100 a été ajoutée._x000D_
</t>
  </si>
  <si>
    <t>68758226b97ab0000e66c21f</t>
  </si>
  <si>
    <t>6875515e1d826a00110e0987</t>
  </si>
  <si>
    <t>HMDAP2FEDE</t>
  </si>
  <si>
    <t>Risa Makino</t>
  </si>
  <si>
    <t>+81 70-2214-0903</t>
  </si>
  <si>
    <t>Irvine, CA</t>
  </si>
  <si>
    <t>15-07-25 09:16</t>
  </si>
  <si>
    <t xml:space="preserve"># La réservation HMDAP2FEDE a été ajoutée. _x000D_
Maury - 25-11-2025 - 4 jours - 593,44 €_x000D_
</t>
  </si>
  <si>
    <t>HM9PTX3J5D</t>
  </si>
  <si>
    <t>Kia Egebæk</t>
  </si>
  <si>
    <t>Copenhagen, Denmark</t>
  </si>
  <si>
    <t>15-07-25 17:54</t>
  </si>
  <si>
    <t>La réservation HM4TMRMJFP a été supprimée.</t>
  </si>
  <si>
    <t xml:space="preserve"># La réservation HM9PTX3J5D a été ajoutée. _x000D_
Maury - 17-07-2025 - 2 jours - 239,20 €_x000D_
</t>
  </si>
  <si>
    <t>16-07-25 07:00</t>
  </si>
  <si>
    <t xml:space="preserve">#  Note de 5 pour Apollinaire le 12-07-2025_x000D_
</t>
  </si>
  <si>
    <t>6875f2b715329f0013325973</t>
  </si>
  <si>
    <t>687669eb59dbc300127297b9</t>
  </si>
  <si>
    <t>17-07-25 07:01</t>
  </si>
  <si>
    <t xml:space="preserve">#  695,52 € versés pour la réservation Apollinaire du 15/07/2025_x000D_
</t>
  </si>
  <si>
    <t>18-07-25 07:02</t>
  </si>
  <si>
    <t xml:space="preserve"># La réservation 6022510525 a été supprimée._x000D_
</t>
  </si>
  <si>
    <t xml:space="preserve">Réservation annulée : Maury - 06/06/2026 - Réservation : 6022510525_x000D_
</t>
  </si>
  <si>
    <t>18-07-25 07:03</t>
  </si>
  <si>
    <t xml:space="preserve"># Validation du paiement de la réservation 4505012794 pour Maury du 14-07-2025 pour un montant de 693,60 €_x000D_
</t>
  </si>
  <si>
    <t>18-07-25 07:04</t>
  </si>
  <si>
    <t>19-07-25 07:01</t>
  </si>
  <si>
    <t xml:space="preserve">#  239,2 € versés pour la réservation Maury du 17/07/2025_x000D_
</t>
  </si>
  <si>
    <t>HMSPKM5PMZ</t>
  </si>
  <si>
    <t>Katharina Mouratidi</t>
  </si>
  <si>
    <t>+49 171 1057697</t>
  </si>
  <si>
    <t>Berlin, Germany</t>
  </si>
  <si>
    <t>20-07-25 13:07</t>
  </si>
  <si>
    <t xml:space="preserve"># La réservation HMSPKM5PMZ a été ajoutée. _x000D_
Maury - 12-11-2025 - 4 jours - 554,08 €_x000D_
</t>
  </si>
  <si>
    <t>MARYANN TINIO
2 guests</t>
  </si>
  <si>
    <t>20-07-25 13:09</t>
  </si>
  <si>
    <t xml:space="preserve">La réservation 5821116732 a été ajoutée._x000D_
</t>
  </si>
  <si>
    <t>687cabd62e0e9d000fca8050</t>
  </si>
  <si>
    <t>21-07-25 17:53</t>
  </si>
  <si>
    <t xml:space="preserve">La réservation 6473831281 a été ajoutée._x000D_
</t>
  </si>
  <si>
    <t>21-07-25 18:03</t>
  </si>
  <si>
    <t xml:space="preserve">#  Note de 5 pour Maury le 17-07-2025_x000D_
</t>
  </si>
  <si>
    <t>21-07-25 18:04</t>
  </si>
  <si>
    <t xml:space="preserve">#  1309,8 € versés pour la réservation Maury du 19/07/2025_x000D_
</t>
  </si>
  <si>
    <t>23-07-25 11:02</t>
  </si>
  <si>
    <t xml:space="preserve">#  Note de 5 pour Apollinaire le 15-07-2025_x000D_
</t>
  </si>
  <si>
    <t>23-07-25 11:05</t>
  </si>
  <si>
    <t xml:space="preserve"># Validation du paiement de la réservation 4551180083 pour Apollinaire du 19-07-2025 pour un montant de 1199,52 €_x000D_
</t>
  </si>
  <si>
    <t>25-07-25 10:41</t>
  </si>
  <si>
    <t>La réservation HMPZ294EHX a été supprimée.</t>
  </si>
  <si>
    <t>25-07-25 10:43</t>
  </si>
  <si>
    <t xml:space="preserve">#  971,04 € versés pour la réservation Apollinaire du 22/07/2025_x000D_
</t>
  </si>
  <si>
    <t>HMFFR2CPPB</t>
  </si>
  <si>
    <t>Jean-François Naillet</t>
  </si>
  <si>
    <t>+262 692 85 92 60</t>
  </si>
  <si>
    <t>26-07-25 18:16</t>
  </si>
  <si>
    <t xml:space="preserve"># La réservation HMFFR2CPPB a été ajoutée. _x000D_
Maury - 18-10-2025 - 7 jours - 1 174,66 €_x000D_
</t>
  </si>
  <si>
    <t>27-07-25 07:02</t>
  </si>
  <si>
    <t xml:space="preserve">La réservation 5403879521 a été ajoutée._x000D_
</t>
  </si>
  <si>
    <t>6884e58cec8aca002308db55</t>
  </si>
  <si>
    <t>27-07-25 19:12</t>
  </si>
  <si>
    <t xml:space="preserve">La réservation 5326479277 a été ajoutée._x000D_
</t>
  </si>
  <si>
    <t>27-07-25 19:13</t>
  </si>
  <si>
    <t xml:space="preserve">La réservation 6046483889 a été ajoutée._x000D_
</t>
  </si>
  <si>
    <t>28-07-25 07:51</t>
  </si>
  <si>
    <t xml:space="preserve">La réservation 5326479277 a été modifiée._x000D_
</t>
  </si>
  <si>
    <t xml:space="preserve">La réservation 6234617626 a été ajoutée._x000D_
</t>
  </si>
  <si>
    <t>68867fb92eeeef0012c39720</t>
  </si>
  <si>
    <t>29-07-25 07:01</t>
  </si>
  <si>
    <t xml:space="preserve">#  695,52 € versés pour la réservation Apollinaire du 27/07/2025_x000D_
</t>
  </si>
  <si>
    <t xml:space="preserve">#  2396,09 € versés pour la réservation Bienvenue du 27/07/2025_x000D_
</t>
  </si>
  <si>
    <t>29-07-25 07:03</t>
  </si>
  <si>
    <t xml:space="preserve"># Validation du paiement de la réservation 6679177792 pour Maury du 26-07-2025 pour un montant de 432,48 €_x000D_
</t>
  </si>
  <si>
    <t>30-07-25 07:01</t>
  </si>
  <si>
    <t xml:space="preserve">#  711,52 € versés pour la réservation Maury du 28/07/2025_x000D_
</t>
  </si>
  <si>
    <t>HM4NB232TS</t>
  </si>
  <si>
    <t>Beau Long</t>
  </si>
  <si>
    <t>30-07-25 18:24</t>
  </si>
  <si>
    <t xml:space="preserve"># La réservation HM4NB232TS a été ajoutée. _x000D_
Maury - 15-08-2025 - 2 jours - 278,56 €_x000D_
</t>
  </si>
  <si>
    <t xml:space="preserve">#  Note de 5 pour Apollinaire le 27-07-2025_x000D_
</t>
  </si>
  <si>
    <t>HMKCTZTQ5R</t>
  </si>
  <si>
    <t>Steven Kish</t>
  </si>
  <si>
    <t>+1 216-816-6266</t>
  </si>
  <si>
    <t>Palo Alto, CA</t>
  </si>
  <si>
    <t>31-07-25 07:00</t>
  </si>
  <si>
    <t xml:space="preserve"># La réservation HMKCTZTQ5R a été ajoutée. _x000D_
Maury - 05-09-2025 - 3 jours - 432,72 €_x000D_
</t>
  </si>
  <si>
    <t>688ad9eea909110012f2c94d</t>
  </si>
  <si>
    <t>688a2930483ff00012405a44</t>
  </si>
  <si>
    <t xml:space="preserve">#  Note de 4 pour Apollinaire le 22-07-2025_x000D_
</t>
  </si>
  <si>
    <t xml:space="preserve">#  Note de 4 pour Maury le 28-07-2025_x000D_
</t>
  </si>
  <si>
    <t>juil 2026</t>
  </si>
  <si>
    <t xml:space="preserve">#  1002,46 € versés pour la réservation Maury du 02/08/2025_x000D_
</t>
  </si>
  <si>
    <t>Rei Wenmay
4 adults</t>
  </si>
  <si>
    <t xml:space="preserve">La réservation 6493719146 a été ajoutée._x000D_
</t>
  </si>
  <si>
    <t>688f0c455c198e000e955073</t>
  </si>
  <si>
    <t xml:space="preserve"># Validation du paiement de la réservation 6311369559 pour Apollinaire du 30-07-2025 pour un montant de 563,04 €_x000D_
</t>
  </si>
  <si>
    <t>Maison Familiale au Coeur de Montparnasse</t>
  </si>
  <si>
    <t xml:space="preserve">#  Note de 5 pour Bienvenue le 27-07-2025_x000D_
</t>
  </si>
  <si>
    <t>HM5HB8EYZH</t>
  </si>
  <si>
    <t>Nilü Taeed</t>
  </si>
  <si>
    <t>+1 510-907-0270</t>
  </si>
  <si>
    <t xml:space="preserve"># La réservation HM5HB8EYZH a été ajoutée. _x000D_
Maury - 29-09-2025 - 3 jours - 521,28 €_x000D_
</t>
  </si>
  <si>
    <t>689206ef4da51d0011ce0f03</t>
  </si>
  <si>
    <t xml:space="preserve">La réservation 6813214981 a été ajoutée._x000D_
</t>
  </si>
  <si>
    <t xml:space="preserve">La réservation 5861331797 a été ajoutée._x000D_
</t>
  </si>
  <si>
    <t xml:space="preserve"># La réservation 6473831281 a été supprimée._x000D_
</t>
  </si>
  <si>
    <t xml:space="preserve">Réservation annulée : Apollinaire - 22/07/2026 - Réservation : 6473831281_x000D_
</t>
  </si>
  <si>
    <t xml:space="preserve">#  1833,8 € versés pour un règlement partiel de la réservation Joséphine du 05/08/2025_x000D_
</t>
  </si>
  <si>
    <t>6892f3e15073260014f885ed</t>
  </si>
  <si>
    <t>6892f45eeb15a000137b98aa</t>
  </si>
  <si>
    <t xml:space="preserve">La réservation 5250241454 a été ajoutée._x000D_
</t>
  </si>
  <si>
    <t xml:space="preserve"># Validation du paiement de la réservation 4843238100 pour Apollinaire du 01-08-2025 pour un montant de 1879,61 €_x000D_
</t>
  </si>
  <si>
    <t>6894acfb70e07e001b1a71de</t>
  </si>
  <si>
    <t>HMMENXK8E9</t>
  </si>
  <si>
    <t>Shannae Orr</t>
  </si>
  <si>
    <t>240134622</t>
  </si>
  <si>
    <t>+61 439 981 304</t>
  </si>
  <si>
    <t>HMB4JNJ8QF</t>
  </si>
  <si>
    <t>Sofia Dippel</t>
  </si>
  <si>
    <t>+46 73 033 61 83</t>
  </si>
  <si>
    <t>Stockholm, Sweden</t>
  </si>
  <si>
    <t xml:space="preserve"># La réservation HMMENXK8E9 a été ajoutée. _x000D_
Maury - 15-06-2026 - 4 jours - 803,36 €_x000D_
</t>
  </si>
  <si>
    <t xml:space="preserve"># La réservation HMB4JNJ8QF a été ajoutée. _x000D_
Maury - 20-11-2025 - 3 jours - 442,56 €_x000D_
</t>
  </si>
  <si>
    <t>6890670aaf35dc00111ccfe2</t>
  </si>
  <si>
    <t>689672d77624fe001393ccb8</t>
  </si>
  <si>
    <t xml:space="preserve">#  La réservation du 12-08-2025 chez Maury de Airbnb n'a pas été trouvée sur ListeGuesty._x000D_
</t>
  </si>
  <si>
    <t xml:space="preserve"># Réservation annulée mais payée : Maury - 12/08/2025 - Montant :  452,40 €_x000D_
</t>
  </si>
  <si>
    <t xml:space="preserve"># La réservation 6046483889 a été supprimée._x000D_
</t>
  </si>
  <si>
    <t xml:space="preserve">Réservation annulée : Maury - 31/12/2025 - Réservation : 6046483889_x000D_
</t>
  </si>
  <si>
    <t xml:space="preserve">#  2366,24 € versés pour la réservation Bienvenue du 09/08/2025_x000D_
</t>
  </si>
  <si>
    <t xml:space="preserve"># Validation du paiement de la réservation 5996384435 pour Apollinaire du 06-08-2025 pour un montant de 1077,12 €_x000D_
</t>
  </si>
  <si>
    <t>13-08-25 07:03</t>
  </si>
  <si>
    <t xml:space="preserve"># Validation du paiement de la réservation 4778018421 pour Maury du 09-08-2025 pour un montant de 730,32 €_x000D_
</t>
  </si>
  <si>
    <t xml:space="preserve"># Validation du paiement de la réservation 6210678850 pour Apollinaire du 09-08-2025 pour un montant de 954,72 €_x000D_
</t>
  </si>
  <si>
    <t>14-08-25 07:01</t>
  </si>
  <si>
    <t xml:space="preserve">#  452,4 € versés pour la réservation Maury du 12/08/2025_x000D_
</t>
  </si>
  <si>
    <t>14-08-25 07:04</t>
  </si>
  <si>
    <t>15-08-25 07:01</t>
  </si>
  <si>
    <t xml:space="preserve">#  636,48 € versés pour la réservation Apollinaire du 13/08/2025_x000D_
</t>
  </si>
  <si>
    <t>15-08-25 07:02</t>
  </si>
  <si>
    <t xml:space="preserve">La réservation 5791081687 a été ajoutée._x000D_
</t>
  </si>
  <si>
    <t>689e4cf6a6cb1800125804c9</t>
  </si>
  <si>
    <t>HMPXE52YE3</t>
  </si>
  <si>
    <t>Laura Chewning</t>
  </si>
  <si>
    <t>+1 214-529-0089</t>
  </si>
  <si>
    <t>15-08-25 17:54</t>
  </si>
  <si>
    <t xml:space="preserve"># La réservation HMPXE52YE3 a été ajoutée. _x000D_
Apollinaire - 06-11-2025 - 4 jours - 800,48 €_x000D_
</t>
  </si>
  <si>
    <t>689f4e8d3046270011937e88</t>
  </si>
  <si>
    <t>17-08-25 07:01</t>
  </si>
  <si>
    <t xml:space="preserve">#  278,56 € versés pour la réservation Maury du 15/08/2025_x000D_
</t>
  </si>
  <si>
    <t>17-08-25 09:31</t>
  </si>
  <si>
    <t xml:space="preserve">#  Note de 5 pour Apollinaire le 13-08-2025_x000D_
</t>
  </si>
  <si>
    <t>Ricardo Bernal Ortega
2 adults, 2 children (13,15)</t>
  </si>
  <si>
    <t>820,00 €</t>
  </si>
  <si>
    <t>17-08-25 18:11</t>
  </si>
  <si>
    <t xml:space="preserve">La réservation 6236640289 a été ajoutée._x000D_
</t>
  </si>
  <si>
    <t>Total 2027</t>
  </si>
  <si>
    <t>68a1d273a6cb1800126510bc</t>
  </si>
  <si>
    <t>HM4T2WHBMW</t>
  </si>
  <si>
    <t>Aleksey Kliger</t>
  </si>
  <si>
    <t>+1 857-234-7470</t>
  </si>
  <si>
    <t>18-08-25 08:30</t>
  </si>
  <si>
    <t xml:space="preserve"># La réservation HM4T2WHBMW a été ajoutée. _x000D_
Maury - 06-10-2025 - 7 jours - 1 174,66 €_x000D_
</t>
  </si>
  <si>
    <t xml:space="preserve">#  Note de 5 pour Maury le 15-08-2025_x000D_
</t>
  </si>
  <si>
    <t>68a269fc4f6e7800112f0b92</t>
  </si>
  <si>
    <t>Actif</t>
  </si>
  <si>
    <t>Timestamp</t>
  </si>
  <si>
    <t>Proc</t>
  </si>
  <si>
    <t>ErrNum</t>
  </si>
  <si>
    <t>Message</t>
  </si>
  <si>
    <t>CreateZipFromFolder</t>
  </si>
  <si>
    <t>Impossible d’accéder aux espaces Shell.</t>
  </si>
  <si>
    <t>Échec ZIP via PowerShell et Shell.</t>
  </si>
  <si>
    <t>18-08-25 21:14</t>
  </si>
  <si>
    <t xml:space="preserve">#  La réservation du 29-05-2026 chez Apollinaire de Booking n'a pas été trouvée sur ListeGuesty._x000D_
</t>
  </si>
  <si>
    <t>19-08-25 07:01</t>
  </si>
  <si>
    <t xml:space="preserve">#  632,8 € versés pour la réservation Maury du 17/08/2025_x000D_
</t>
  </si>
  <si>
    <t>19-08-25 09:01</t>
  </si>
  <si>
    <t xml:space="preserve"># La réservation 5403879521 a été supprimée._x000D_
</t>
  </si>
  <si>
    <t xml:space="preserve">Réservation annulée : Apollinaire - 29/05/2026 - Réservation : 5403879521_x000D_
</t>
  </si>
  <si>
    <t>20-08-25 07:04</t>
  </si>
  <si>
    <t>Année</t>
  </si>
  <si>
    <t>Marge Brute sur les lofts</t>
  </si>
  <si>
    <t>Prix Nuit       (Min / Max)</t>
  </si>
  <si>
    <t>Wassim Dagher
2 adults, 1 child (5)</t>
  </si>
  <si>
    <t>21-08-25 21:44</t>
  </si>
  <si>
    <t xml:space="preserve">La réservation 6076436601 a été ajoutée._x000D_
</t>
  </si>
  <si>
    <t>HMFCEC33BC</t>
  </si>
  <si>
    <t>21-08-25 21:46</t>
  </si>
  <si>
    <t xml:space="preserve"># La réservation HMFCEC33BC a été ajoutée. _x000D_
Maury - 29-08-2025 - 2 jours - 199,84 €_x000D_
</t>
  </si>
  <si>
    <t>22-08-25 09:07</t>
  </si>
  <si>
    <t xml:space="preserve">#  La réservation du 29-08-2025 chez Maury de Airbnb n'a pas été trouvée sur ListeGuesty._x000D_
</t>
  </si>
  <si>
    <t>22-08-25 09:14</t>
  </si>
  <si>
    <t xml:space="preserve"># Validation du paiement de la réservation 5250241454 pour Apollinaire du 18-08-2025 pour un montant de 832,32 €_x000D_
</t>
  </si>
  <si>
    <t>22-08-25 09:15</t>
  </si>
  <si>
    <t>23-08-25 08:57</t>
  </si>
  <si>
    <t xml:space="preserve">#  1390,88 € versés pour la réservation Apollinaire du 21/08/2025_x000D_
</t>
  </si>
  <si>
    <t>24-08-25 07:04</t>
  </si>
  <si>
    <t>25-08-25 07:01</t>
  </si>
  <si>
    <t xml:space="preserve">#  954,24 € versés pour la réservation Maury du 23/08/2025_x000D_
</t>
  </si>
  <si>
    <t>Impressions</t>
  </si>
  <si>
    <t>Vues</t>
  </si>
  <si>
    <t>Reservations</t>
  </si>
  <si>
    <t>Premiere Page</t>
  </si>
  <si>
    <t>Favoris</t>
  </si>
  <si>
    <t>%1</t>
  </si>
  <si>
    <t>%2</t>
  </si>
  <si>
    <t>Delai</t>
  </si>
  <si>
    <t>Conversion</t>
  </si>
  <si>
    <t>Statistiques sur les 30 derniers jours</t>
  </si>
  <si>
    <t>-</t>
  </si>
  <si>
    <t>La réservation HMMX8FPXK2 a été supprimée.</t>
  </si>
  <si>
    <t xml:space="preserve">#  Note de 5 pour Apollinaire le 21-08-2025_x000D_
</t>
  </si>
  <si>
    <t xml:space="preserve">#  99,92 € versés pour la réservation Maury du 29/08/2025_x000D_
</t>
  </si>
  <si>
    <t xml:space="preserve">#  1364,64 € versés pour la réservation Apollinaire du 28/08/2025_x000D_
</t>
  </si>
  <si>
    <t>CA mensuel Prise de réservation</t>
  </si>
  <si>
    <t>août 2026</t>
  </si>
  <si>
    <t>68b2a485168941001046794d</t>
  </si>
  <si>
    <t>68b4f0c68a43980013a73652</t>
  </si>
  <si>
    <t xml:space="preserve">#  La réservation du 02-01-2026 chez Apollinaire de Booking n'a pas été trouvée sur ListeRésas._x000D_
</t>
  </si>
  <si>
    <t xml:space="preserve">#  La réservation du 24-10-2025 chez Apollinaire de Booking n'a pas été trouvée sur ListeRésas._x000D_
</t>
  </si>
  <si>
    <t xml:space="preserve">La réservation 6317178392 a été ajoutée._x000D_
</t>
  </si>
  <si>
    <t xml:space="preserve">La réservation 6926572479 a été ajoutée._x000D_
</t>
  </si>
  <si>
    <t>ana bernet buendia
4 adults</t>
  </si>
  <si>
    <t xml:space="preserve">La réservation 6321106962 a été ajoutée._x000D_
</t>
  </si>
  <si>
    <t>165,94 €</t>
  </si>
  <si>
    <t>213,35 €</t>
  </si>
  <si>
    <t>HO SHUI
2 guests</t>
  </si>
  <si>
    <t>194,87 €</t>
  </si>
  <si>
    <t>3 520,00 €</t>
  </si>
  <si>
    <t>654,23 €</t>
  </si>
  <si>
    <t>Alvaro Grazziani
4 adults</t>
  </si>
  <si>
    <t>Sunny Guin
2 adults, 2 children (9,2)</t>
  </si>
  <si>
    <t>157,71 €</t>
  </si>
  <si>
    <t>Arik Yaacob
3 adults, 1 child (15)</t>
  </si>
  <si>
    <t>152,19 €</t>
  </si>
  <si>
    <t>341,18 €</t>
  </si>
  <si>
    <t>Claudia Caldwell
2 guests</t>
  </si>
  <si>
    <t>HUANG CHITING
2 adults, 2 children (13,14)</t>
  </si>
  <si>
    <t>1 166,00 €</t>
  </si>
  <si>
    <t>217,04 €</t>
  </si>
  <si>
    <t>Sophia Chaksad
2 adults, 2 children (0,0)</t>
  </si>
  <si>
    <t>165,44 €</t>
  </si>
  <si>
    <t>68b5a3370ae7b60011b0a91c</t>
  </si>
  <si>
    <t xml:space="preserve">#  806,64 € versés pour la réservation Maury du 31/08/2025_x000D_
</t>
  </si>
  <si>
    <t>GRAPHIQUE DES STATISTIQUES AIRBNB</t>
  </si>
  <si>
    <t>Liste séries</t>
  </si>
  <si>
    <t xml:space="preserve"># La réservation HMDYD2CAKM a été ajoutée. _x000D_
Apollinaire - 19-12-2025 - 3 jours - 636,48 €_x000D_
</t>
  </si>
  <si>
    <t xml:space="preserve">La réservation 6317178392 a été modifiée._x000D_
</t>
  </si>
  <si>
    <t xml:space="preserve">La réservation 4628921531 a été ajoutée._x000D_
</t>
  </si>
  <si>
    <t xml:space="preserve">La réservation 5340198049 a été ajoutée._x000D_
</t>
  </si>
  <si>
    <t>HMSJDRMQR2</t>
  </si>
  <si>
    <t>Irene Maconi</t>
  </si>
  <si>
    <t>+39 335 143 8287</t>
  </si>
  <si>
    <t xml:space="preserve"># La réservation HMSJDRMQR2 a été ajoutée. _x000D_
Apollinaire - 17-12-2025 - 2 jours - 316,33 €_x000D_
</t>
  </si>
  <si>
    <t>68b9cca5bec94b0010cca3dc</t>
  </si>
  <si>
    <t xml:space="preserve">#  Note de 5 pour Apollinaire le 28-08-2025_x000D_
</t>
  </si>
  <si>
    <t>LastToken</t>
  </si>
  <si>
    <t>dateToken</t>
  </si>
  <si>
    <t xml:space="preserve">#  La réservation du 13-02-2026 chez Apollinaire de Booking n'a pas été trouvée sur ListeRésas._x000D_
</t>
  </si>
  <si>
    <t>MatchResas</t>
  </si>
  <si>
    <t>MatchResas2</t>
  </si>
  <si>
    <t xml:space="preserve"> Complete </t>
  </si>
  <si>
    <t xml:space="preserve"># La réservation HM84H2XTTA a été ajoutée. _x000D_
Apollinaire - 26-03-2026 - 8 jours - 1 847,98 €_x000D_
</t>
  </si>
  <si>
    <t xml:space="preserve"># La réservation HMFZTRPB5N a été ajoutée. _x000D_
Maury - 28-07-2025 - 4 jours - 711,52 €_x000D_
</t>
  </si>
  <si>
    <t xml:space="preserve"># Réservation non trouvée : Maury - 15/06/2026 14:00:00 - Réservation : 6890670aaf35dc00111ccfe2_x000D_
</t>
  </si>
  <si>
    <t xml:space="preserve"># Réservation non trouvée : Apollinaire - 26/03/2026 15:00:00 - Réservation : 68700f6a91d2fc00121a0bd5_x000D_
</t>
  </si>
  <si>
    <t>690,00 €</t>
  </si>
  <si>
    <t>Arno van Peperstraten
2 adults, 2 children (10,13)
1 guest message to answer</t>
  </si>
  <si>
    <t>+1 780-441-1284</t>
  </si>
  <si>
    <t>+1 419-469-0378</t>
  </si>
  <si>
    <t>1 470,00 €</t>
  </si>
  <si>
    <t>Niel Volschenk
5 adults, 1 child (16)</t>
  </si>
  <si>
    <t>+1 602-512-5299</t>
  </si>
  <si>
    <t>+886 939 061 196</t>
  </si>
  <si>
    <t>1 386,00 €</t>
  </si>
  <si>
    <t>4767272259</t>
  </si>
  <si>
    <t>Maria Magdalena Resinger
2 adults, 2 children (11,14)</t>
  </si>
  <si>
    <t>+1 647-208-4132</t>
  </si>
  <si>
    <t>+1 202-465-5611</t>
  </si>
  <si>
    <t>+1 613-600-6620</t>
  </si>
  <si>
    <t>6820ff1195d9cc001abc9cd6</t>
  </si>
  <si>
    <t>67b2512fd16cd20011e2167c</t>
  </si>
  <si>
    <t xml:space="preserve"># Réservation non trouvée : Maury - 13/10/2025 14:00:00 - Réservation : 6820ff1195d9cc001abc9cd6_x000D_
</t>
  </si>
  <si>
    <t>Sophia Chaksad
2 adults, 2 children (0,0)
1 guest message to answer</t>
  </si>
  <si>
    <t>1 224,00 €</t>
  </si>
  <si>
    <t>jenny song
2 adults, 2 children (0,0)</t>
  </si>
  <si>
    <t>1 296,00 €</t>
  </si>
  <si>
    <t>jenny song
2 guests</t>
  </si>
  <si>
    <t>2 060,00 €</t>
  </si>
  <si>
    <t>Jennifer Ruch
2 adults, 2 children (13,14)</t>
  </si>
  <si>
    <t>1 866,00 €</t>
  </si>
  <si>
    <t>Mullin Laura
5 adults</t>
  </si>
  <si>
    <t>1 446,39 €</t>
  </si>
  <si>
    <t>José Polman
2 guests</t>
  </si>
  <si>
    <t>3 160,00 €</t>
  </si>
  <si>
    <t>Tracey Lee Ricchini
4 adults</t>
  </si>
  <si>
    <t>1 410,00 €</t>
  </si>
  <si>
    <t>Najib Mansour
4 adults</t>
  </si>
  <si>
    <t>1 180,00 €</t>
  </si>
  <si>
    <t>FUZEAU CHRISTOPHE
2 guests</t>
  </si>
  <si>
    <t>1 509,71 €</t>
  </si>
  <si>
    <t>CHEN JEN
4 adults
1 guest message to answer</t>
  </si>
  <si>
    <t>Yael Itan
3 adults, 2 children (14,16)</t>
  </si>
  <si>
    <t>1 850,00 €</t>
  </si>
  <si>
    <t>Nicole M.J. HENNUM
3 adults, 2 children (10,12)</t>
  </si>
  <si>
    <t>1 260,00 €</t>
  </si>
  <si>
    <t>Stephen Bandy
2 adults</t>
  </si>
  <si>
    <t>736,23 €</t>
  </si>
  <si>
    <t>1 650,00 €</t>
  </si>
  <si>
    <t>susan staunton
2 guests</t>
  </si>
  <si>
    <t>Mark Schellhas</t>
  </si>
  <si>
    <t>+46 76 339 30 39</t>
  </si>
  <si>
    <t>1 020,00 €</t>
  </si>
  <si>
    <t>Jean-Paul COUSIN
3 adults, 2 children (13,14)
1 guest message to answer</t>
  </si>
  <si>
    <t>+1 506-233-2525</t>
  </si>
  <si>
    <t>+44 7795 223467</t>
  </si>
  <si>
    <t>John Holzwarth</t>
  </si>
  <si>
    <t>+1 971-219-4953</t>
  </si>
  <si>
    <t>1 170,00 €</t>
  </si>
  <si>
    <t>Todokoro Haruka
4 adults
1 guest message to answer</t>
  </si>
  <si>
    <t>Katie Starbuck</t>
  </si>
  <si>
    <t>+1 617-642-7334</t>
  </si>
  <si>
    <t>1 320,00 €</t>
  </si>
  <si>
    <t>Liu Kun
4 adults, 2 children (4,10)</t>
  </si>
  <si>
    <t>d6 août2025</t>
  </si>
  <si>
    <t>+1 410-977-2115</t>
  </si>
  <si>
    <t>2 295,00 €</t>
  </si>
  <si>
    <t>Christian Große
2 adults, 2 children (12,11)</t>
  </si>
  <si>
    <t>2025-08</t>
  </si>
  <si>
    <t>+41 76 413 90 98</t>
  </si>
  <si>
    <t>+1 604-779-8767</t>
  </si>
  <si>
    <t>530,00 €</t>
  </si>
  <si>
    <t>Stéfane Comment
2 adults, 1 child (7)</t>
  </si>
  <si>
    <t>+1 647-534-2833</t>
  </si>
  <si>
    <t>+45 28 44 80 88</t>
  </si>
  <si>
    <t>Laine Gen
2 adults, 1 child (17)</t>
  </si>
  <si>
    <t>+1 202-870-3840</t>
  </si>
  <si>
    <t>4662083894</t>
  </si>
  <si>
    <t>Melville Martires
4 adults</t>
  </si>
  <si>
    <t>+61 428 115 664</t>
  </si>
  <si>
    <t>4775975848</t>
  </si>
  <si>
    <t>Amelie Simoneau
2 adults, 2 children (9,12)</t>
  </si>
  <si>
    <t>+1 438-389-3449</t>
  </si>
  <si>
    <t>+44 7753 296133</t>
  </si>
  <si>
    <t>+1 207-504-0144</t>
  </si>
  <si>
    <t>1 130,00 €</t>
  </si>
  <si>
    <t>4404105301</t>
  </si>
  <si>
    <t>Tom Goldscheider
2 guests</t>
  </si>
  <si>
    <t>+1 210-883-8532</t>
  </si>
  <si>
    <t>4630993662</t>
  </si>
  <si>
    <t>MEVLUT AKBAS- RUYA AKBAS - NIHAN AKBAS
2 adults, 1 child (12)</t>
  </si>
  <si>
    <t>+358 50 5386679</t>
  </si>
  <si>
    <t>HMBPAQ5BD9</t>
  </si>
  <si>
    <t>+1 979-240-4444</t>
  </si>
  <si>
    <t>Brazoria, TX</t>
  </si>
  <si>
    <t>HM24NA9YMD</t>
  </si>
  <si>
    <t>+1 513-659-3925</t>
  </si>
  <si>
    <t>Cincinnati, OH</t>
  </si>
  <si>
    <t>4845700436</t>
  </si>
  <si>
    <t>Cristina Almeida
4 adults</t>
  </si>
  <si>
    <t>4,88 (26)</t>
  </si>
  <si>
    <t>68c18cea54ca0f0012d43826</t>
  </si>
  <si>
    <t>Megan Walsh</t>
  </si>
  <si>
    <t xml:space="preserve"># La facture suivante n'a pas été affectée : 4505012794 - 693,60_x000D_
</t>
  </si>
  <si>
    <t xml:space="preserve"># La facture suivante n'a pas été affectée : 6679177792 - 432,48_x000D_
</t>
  </si>
  <si>
    <t xml:space="preserve"># La facture suivante n'a pas été affectée : 4778018421 - 730,32_x000D_
</t>
  </si>
  <si>
    <t xml:space="preserve"># La facture suivante n'a pas été affectée : 4551180083 - 1199,52_x000D_
</t>
  </si>
  <si>
    <t xml:space="preserve"># La facture suivante n'a pas été affectée : 6311369559 - 563,04_x000D_
</t>
  </si>
  <si>
    <t xml:space="preserve"># La facture suivante n'a pas été affectée : 4843238100 - 1879,61_x000D_
</t>
  </si>
  <si>
    <t xml:space="preserve"># La facture suivante n'a pas été affectée : 5996384435 - 1077,12_x000D_
</t>
  </si>
  <si>
    <t xml:space="preserve"># La facture suivante n'a pas été affectée : 6210678850 - 954,72_x000D_
</t>
  </si>
  <si>
    <t xml:space="preserve"># La facture suivante n'a pas été affectée : 5250241454 - 832,32_x000D_
</t>
  </si>
  <si>
    <t xml:space="preserve"># La facture suivante n'a pas été affectée : 4897034246 - 1346,40_x000D_
</t>
  </si>
  <si>
    <t xml:space="preserve"># La facture suivante n'a pas été affectée :  - 205,51_x000D_
</t>
  </si>
  <si>
    <t xml:space="preserve"># La facture suivante n'a pas été affectée :  - 476,48_x000D_
</t>
  </si>
  <si>
    <t xml:space="preserve"># La facture suivante n'a pas été affectée :  - 1044,64_x000D_
</t>
  </si>
  <si>
    <t xml:space="preserve"># La facture suivante n'a pas été affectée :  - 366,89_x000D_
</t>
  </si>
  <si>
    <t xml:space="preserve"># La facture suivante n'a pas été affectée :  - 1155,10_x000D_
</t>
  </si>
  <si>
    <t xml:space="preserve"># La facture suivante n'a pas été affectée :  - 884,52_x000D_
</t>
  </si>
  <si>
    <t xml:space="preserve"># La facture suivante n'a pas été affectée :  - 967,24_x000D_
</t>
  </si>
  <si>
    <t xml:space="preserve"># La facture suivante n'a pas été affectée :  - 1209,07_x000D_
</t>
  </si>
  <si>
    <t xml:space="preserve"># La facture suivante n'a pas été affectée :  - 807,75_x000D_
</t>
  </si>
  <si>
    <t xml:space="preserve"># La facture suivante n'a pas été affectée :  - 1426,28_x000D_
</t>
  </si>
  <si>
    <t xml:space="preserve"># La facture suivante n'a pas été affectée :  - 1218,90_x000D_
</t>
  </si>
  <si>
    <t xml:space="preserve"># La facture suivante n'a pas été affectée :  - 497,90_x000D_
</t>
  </si>
  <si>
    <t xml:space="preserve"># La facture suivante n'a pas été affectée :  - 739,19_x000D_
</t>
  </si>
  <si>
    <t xml:space="preserve"># La facture suivante n'a pas été affectée :  - 559,18_x000D_
</t>
  </si>
  <si>
    <t xml:space="preserve"># Validation du paiement de la réservation  pour Apollinaire du 18-08-2025 pour un montant de 832,32 €_x000D_
</t>
  </si>
  <si>
    <t>Prochains Paiements</t>
  </si>
  <si>
    <t>Montant</t>
  </si>
  <si>
    <t>68c3cb63f0346b0013fdffb7</t>
  </si>
  <si>
    <t>Luchana Uzunova</t>
  </si>
  <si>
    <t>Délais Réservation</t>
  </si>
  <si>
    <t>&lt; 7 jours</t>
  </si>
  <si>
    <t>1 à 2 semaines</t>
  </si>
  <si>
    <t>&lt; 1 mois</t>
  </si>
  <si>
    <t>&lt;3 mois</t>
  </si>
  <si>
    <t>&lt;6 mois</t>
  </si>
  <si>
    <t>&lt; = 1 an</t>
  </si>
  <si>
    <t>Délai Moyen</t>
  </si>
  <si>
    <t>Réservations prises dans les 12 derniers mois</t>
  </si>
  <si>
    <t xml:space="preserve"># Validation du paiement de la réservation  pour Apollinaire du 07-09-2025 pour un montant de 594,87 €_x000D_
</t>
  </si>
  <si>
    <t>HMM5T9DQBW</t>
  </si>
  <si>
    <t>+1 239-322-8765</t>
  </si>
  <si>
    <t>Estero, FL</t>
  </si>
  <si>
    <t>Hobe</t>
  </si>
  <si>
    <t>68ca6d009901d35fe5e1e581</t>
  </si>
  <si>
    <t>68ca824d27bb1c0012944f96</t>
  </si>
  <si>
    <t>Kalon Baker</t>
  </si>
  <si>
    <t>68cf7b51b51907000f5e235d</t>
  </si>
  <si>
    <t>Mia Rotondo</t>
  </si>
  <si>
    <t>68cff05234fc37001319bc86</t>
  </si>
  <si>
    <t>Francesco Bani</t>
  </si>
  <si>
    <t>22-09-25 09:39</t>
  </si>
  <si>
    <t xml:space="preserve"># La facture suivante n'a pas été affectée :  - 326,33_x000D_
</t>
  </si>
  <si>
    <t xml:space="preserve"># Validation du paiement de la réservation  pour Apollinaire du 16-09-2025 pour un montant de 1028,16 €_x000D_
</t>
  </si>
  <si>
    <t>22-09-25 09:40</t>
  </si>
  <si>
    <t>22-09-25 09:42</t>
  </si>
  <si>
    <t xml:space="preserve"> du # La facture suivante n'a pas été affectée :  - 326,33_x000D_
14/09/2025 au 16/09/2025_x000D_
</t>
  </si>
  <si>
    <t>22-09-25 09:44</t>
  </si>
  <si>
    <t xml:space="preserve"># La facture suivante n'a pas été affectée :  - 326,33_x000D_
 du 14/09/2025 au 16/09/2025_x000D_
</t>
  </si>
  <si>
    <t>22-09-25 09:45</t>
  </si>
  <si>
    <t>22-09-25 09:56</t>
  </si>
  <si>
    <t>22-09-25 10:05</t>
  </si>
  <si>
    <t>68d165b352a37400130ab2f3</t>
  </si>
  <si>
    <t>SIOBAN ABDUL-MAJEED</t>
  </si>
  <si>
    <t>Marriott</t>
  </si>
  <si>
    <t>CA 12 Mois</t>
  </si>
  <si>
    <t>68d2633861dcc500301a7338</t>
  </si>
  <si>
    <t>James Latimer</t>
  </si>
  <si>
    <t>68d9f3424b23d600123f8791</t>
  </si>
  <si>
    <t>Jared Blitz</t>
  </si>
  <si>
    <t>sept 2026</t>
  </si>
  <si>
    <t>68e29e2504267800111d654d</t>
  </si>
  <si>
    <t>Renata Dauksiene</t>
  </si>
  <si>
    <t xml:space="preserve">#  La réservation du 02-12-2025 chez Apollinaire de manual n'a pas été trouvée sur ListeRésas._x000D_
</t>
  </si>
  <si>
    <t xml:space="preserve">#  La réservation du 21-11-2025 chez Apollinaire de Airbnb n'a pas été trouvée sur ListeRésas._x000D_
</t>
  </si>
  <si>
    <t xml:space="preserve">#  La réservation du 27-10-2025 chez Apollinaire de Airbnb n'a pas été trouvée sur ListeRésas._x000D_
</t>
  </si>
  <si>
    <t xml:space="preserve">#  La réservation du 25-10-2025 chez Maury de Airbnb n'a pas été trouvée sur ListeRésas._x000D_
</t>
  </si>
  <si>
    <t xml:space="preserve">#  La réservation du 27-09-2025 chez Maury de homesVillasByMarriott n'a pas été trouvée sur ListeRésas._x000D_
</t>
  </si>
  <si>
    <t xml:space="preserve">#  La réservation du 14-09-2025 chez Apollinaire de Booking n'a pas été trouvée sur ListeRésas._x000D_
</t>
  </si>
  <si>
    <t xml:space="preserve">#  La réservation du 31-08-2025 chez Maury de Airbnb n'a pas été trouvée sur ListeRésas._x000D_
</t>
  </si>
  <si>
    <t xml:space="preserve">#  La réservation du 09-08-2025 chez Logements de Airbnb n'a pas été trouvée sur ListeRésas._x000D_
</t>
  </si>
  <si>
    <t xml:space="preserve">#  La réservation du 27-07-2025 chez Logements de Airbnb n'a pas été trouvée sur ListeRésas._x000D_
</t>
  </si>
  <si>
    <t xml:space="preserve">#  La réservation du 02-12-2025 chez Apollinaire de Hobe n'a pas été trouvée sur ListeGuesty._x000D_
</t>
  </si>
  <si>
    <t xml:space="preserve">#  La réservation du 21-11-2025 chez Apollinaire de Airbnb n'a pas été trouvée sur ListeGuesty._x000D_
</t>
  </si>
  <si>
    <t xml:space="preserve">#  La réservation du 27-10-2025 chez Apollinaire de Airbnb n'a pas été trouvée sur ListeGuesty._x000D_
</t>
  </si>
  <si>
    <t xml:space="preserve">#  La réservation du 25-10-2025 chez Maury de Airbnb n'a pas été trouvée sur ListeGuesty._x000D_
</t>
  </si>
  <si>
    <t>68e3f420643f5c00138d6769</t>
  </si>
  <si>
    <t>Fiona Morrison</t>
  </si>
  <si>
    <t>68e41ae43a31c1001351bfc7</t>
  </si>
  <si>
    <t>Steffen Schier</t>
  </si>
  <si>
    <t>68e48675129d7b002baae952</t>
  </si>
  <si>
    <t>Daniel Rivera</t>
  </si>
  <si>
    <t>68e581b36913650012c09e89</t>
  </si>
  <si>
    <t>Didier CAROFF</t>
  </si>
  <si>
    <t xml:space="preserve"># Validation du paiement de la réservation  pour Maury du 02-10-2025 pour un montant de 938,40 €_x000D_
</t>
  </si>
  <si>
    <t>0%7C8eXeeJgD1f6B2Y45v36wTtZb7dv%2FV3zJt%2Fmc8SwuYi0jKqNfSsFQamKfNlhPq7tD</t>
  </si>
  <si>
    <t>68ee758c6eca68000f59e6c4</t>
  </si>
  <si>
    <t>Renee Gosson</t>
  </si>
  <si>
    <t>14-10-25 19:53</t>
  </si>
  <si>
    <t xml:space="preserve"># Validation du paiement de la réservation  pour Apollinaire du 06-10-2025 pour un montant de 1509,60 €_x000D_
</t>
  </si>
  <si>
    <t xml:space="preserve"># Validation du paiement de la réservation  pour Apollinaire du 10-10-2025 pour un montant de 1150,56 €_x000D_
</t>
  </si>
  <si>
    <t>17-10-25 09:23</t>
  </si>
  <si>
    <t xml:space="preserve"># Validation du paiement de la réservation  pour Apollinaire du 13-10-2025 pour un montant de 509,39 €_x000D_
</t>
  </si>
  <si>
    <t>68f97cc42a9b7b001255a996</t>
  </si>
  <si>
    <t>Tim Hemker</t>
  </si>
  <si>
    <t>68fcdfb4e5b3fb0011a82890</t>
  </si>
  <si>
    <t>Jessica Servet</t>
  </si>
  <si>
    <t>28-10-25 08:47</t>
  </si>
  <si>
    <t xml:space="preserve"># Validation du paiement de la réservation  pour Apollinaire du 23-10-2025 pour un montant de 1216,82 €_x000D_
</t>
  </si>
  <si>
    <t>6904122a115aec00131fe90d</t>
  </si>
  <si>
    <t>Catherine Coudina</t>
  </si>
  <si>
    <t>oct 2026</t>
  </si>
  <si>
    <t>69085a7b789fd100134f5c15</t>
  </si>
  <si>
    <t>희원 김</t>
  </si>
  <si>
    <t xml:space="preserve"># Validation du paiement de la réservation  pour Maury du 31-10-2025 pour un montant de 362,54 €_x000D_
</t>
  </si>
  <si>
    <t xml:space="preserve"># Validation du paiement de la réservation  pour Apollinaire du 30-10-2025 pour un montant de 962,88 €_x000D_
</t>
  </si>
  <si>
    <t xml:space="preserve"># Validation du paiement de la réservation  pour Maury du 02-11-2025 pour un montant de 856,80 €_x000D_
</t>
  </si>
  <si>
    <t>690f7e702eedaa00136b730d</t>
  </si>
  <si>
    <t>Denis Pichelin</t>
  </si>
  <si>
    <t>6912175b28d581002f46467d</t>
  </si>
  <si>
    <t>jacqueline argoualc'h</t>
  </si>
  <si>
    <t>69139063df75040043b9b71f</t>
  </si>
  <si>
    <t>Michelle Lyu</t>
  </si>
  <si>
    <t>691552b4f808090042f49f93</t>
  </si>
  <si>
    <t>Laura Fetters</t>
  </si>
  <si>
    <t>6917a9a946bd93004134783e</t>
  </si>
  <si>
    <t>Gaelle Le Roux</t>
  </si>
  <si>
    <t>691b6beb758db300133a4095</t>
  </si>
  <si>
    <t>Philippe Pearsall Vezina</t>
  </si>
  <si>
    <t>691bc40a6d347f0019baa249</t>
  </si>
  <si>
    <t>691c12c203dfed0012885971</t>
  </si>
  <si>
    <t>Camilla Leicht Carneiro Leão</t>
  </si>
  <si>
    <t>June Grigis</t>
  </si>
  <si>
    <t>4,91 (23)</t>
  </si>
  <si>
    <t>5,00 (4)</t>
  </si>
  <si>
    <t>5,00 (2)</t>
  </si>
  <si>
    <t>691e282a4e2ca4001332ea07</t>
  </si>
  <si>
    <t>Luis Ramírez</t>
  </si>
  <si>
    <t>21-11-25 09:20</t>
  </si>
  <si>
    <t xml:space="preserve"># Validation du paiement de la réservation  pour Maury du 16-11-2025 pour un montant de 684,05 €_x000D_
</t>
  </si>
  <si>
    <t>691d07337dbd280013acb59e</t>
  </si>
  <si>
    <t>Angela Haberkamp</t>
  </si>
  <si>
    <t>69225d7210601d0012120008</t>
  </si>
  <si>
    <t>Regina Sun</t>
  </si>
  <si>
    <t>69236cc9478fc30012b1265b</t>
  </si>
  <si>
    <t>6923f99f47db180013ac785d</t>
  </si>
  <si>
    <t>Hélène SUSSET</t>
  </si>
  <si>
    <t>Kathy Petersen</t>
  </si>
  <si>
    <t>6924ca484b8fcc0013cdee2c</t>
  </si>
  <si>
    <t>Wendy Zhang</t>
  </si>
  <si>
    <t>6926c48f47db180013c2c072</t>
  </si>
  <si>
    <t>Romain Soula</t>
  </si>
  <si>
    <t>692973d856145d0013883af1</t>
  </si>
  <si>
    <t>Sandra Bellamy</t>
  </si>
  <si>
    <t>692a0d599af40800132c333e</t>
  </si>
  <si>
    <t>Mareya Alkhoori</t>
  </si>
  <si>
    <t>4,67 (6)</t>
  </si>
  <si>
    <t>nov 2026</t>
  </si>
  <si>
    <t>692dbc458741030012d07c3b</t>
  </si>
  <si>
    <t>692dbd14c14b6100128ca0a7</t>
  </si>
  <si>
    <t>GEORGIOS BASKOZOS</t>
  </si>
  <si>
    <t>Floris Calori</t>
  </si>
  <si>
    <t>69331b65dd293e0013cfa9ba</t>
  </si>
  <si>
    <t>FREDERICK BILDET</t>
  </si>
  <si>
    <t xml:space="preserve"># Validation du paiement de la réservation  pour Maury du 02-12-2025 pour un montant de 245,01 €_x000D_
</t>
  </si>
  <si>
    <t>16-12-25 16:29</t>
  </si>
  <si>
    <t xml:space="preserve"># Validation du paiement de la réservation  pour Maury du 12-12-2025 pour un montant de 355,29 €_x000D_
</t>
  </si>
  <si>
    <t>17-12-25 08:30</t>
  </si>
  <si>
    <t xml:space="preserve"># Validation du paiement de la réservation  pour Apollinaire du 12-12-2025 pour un montant de 1150,56 €_x000D_
</t>
  </si>
  <si>
    <t>69450ec1fce8af37d422979a</t>
  </si>
  <si>
    <t>Christine Du Crest</t>
  </si>
  <si>
    <t>69499d1db925477ca101c679</t>
  </si>
  <si>
    <t>Tariq Herzalla</t>
  </si>
  <si>
    <t>694b5f85784d59931988607c</t>
  </si>
  <si>
    <t>Ariel Lane</t>
  </si>
  <si>
    <t>694d8eb1bfd44d0015cee760</t>
  </si>
  <si>
    <t>Jean-Charles JOGUET</t>
  </si>
  <si>
    <t>695164379e5b5000149c4ca0</t>
  </si>
  <si>
    <t>Boggio Lisa</t>
  </si>
  <si>
    <t>déc 2026</t>
  </si>
  <si>
    <t>6956f83a8a1b96b7ab91bdeb</t>
  </si>
  <si>
    <t>6958e752817d720015eeedeb</t>
  </si>
  <si>
    <t>695c790c6de89828907c4452</t>
  </si>
  <si>
    <t>695b26c14c1b67a27d6b548a</t>
  </si>
  <si>
    <t>Barbara Williamson</t>
  </si>
  <si>
    <t>Nikhil Bhat</t>
  </si>
  <si>
    <t xml:space="preserve"># Validation du paiement de la réservation  pour Maury du 28-12-2025 pour un montant de 693,60 €_x000D_
</t>
  </si>
  <si>
    <t xml:space="preserve"># Validation du paiement de la réservation  pour Maury du 01-01-2026 pour un montant de 669,12 €_x000D_
</t>
  </si>
  <si>
    <t xml:space="preserve"># La facture suivante n'a pas été affectée :  - 2578,57_x000D_
Le montant ne correspond pas._x000D_
</t>
  </si>
  <si>
    <t>695d3197caba6a45df6eb1b4</t>
  </si>
  <si>
    <t>Dani Everson</t>
  </si>
  <si>
    <t>(7 560 €) - 0%</t>
  </si>
  <si>
    <t>695fbca3064edd001369813c</t>
  </si>
  <si>
    <t>Ladhani Holli</t>
  </si>
  <si>
    <t>6963da7bb92d070014e775b2</t>
  </si>
  <si>
    <t>Aravinda Dassanayake</t>
  </si>
  <si>
    <t>13-01-26 14:20</t>
  </si>
  <si>
    <t xml:space="preserve"># Validation du paiement de la réservation  pour Apollinaire du 02-01-2026 pour un montant de 1180,25 €_x000D_
</t>
  </si>
  <si>
    <t xml:space="preserve"># Validation du paiement de la réservation  pour Apollinaire du 08-01-2026 pour un montant de 691,07 €_x000D_
</t>
  </si>
  <si>
    <t>6968d9bfd309a3102f7db065</t>
  </si>
  <si>
    <t>Rupal Mistry</t>
  </si>
  <si>
    <t>696e1d15b7eadc001473a395</t>
  </si>
  <si>
    <t>JOSIANE FABRE</t>
  </si>
  <si>
    <t>HomeExchange</t>
  </si>
  <si>
    <t>Auto</t>
  </si>
  <si>
    <t>Oui</t>
  </si>
  <si>
    <t>Non</t>
  </si>
  <si>
    <t>DONNEES FINANCIERES</t>
  </si>
  <si>
    <t>6970db1648378381a02cb253</t>
  </si>
  <si>
    <t>Anna Brugmann</t>
  </si>
  <si>
    <t>#117249085</t>
  </si>
  <si>
    <t>Alejandro</t>
  </si>
  <si>
    <t>#117186481</t>
  </si>
  <si>
    <t>CA 12M</t>
  </si>
  <si>
    <t>Historique 12 mois</t>
  </si>
  <si>
    <t>Délais de réservation</t>
  </si>
  <si>
    <t>Réservations futures</t>
  </si>
  <si>
    <t>Projections mensuelles</t>
  </si>
  <si>
    <t>1041 / 1550 €
(1550 / 1550 €)</t>
  </si>
  <si>
    <t>694 / 1044 €
(842 / 842 €)</t>
  </si>
  <si>
    <t>201 / 342 €
(341 / 341 €)</t>
  </si>
  <si>
    <t>625 / 950 €
(341 / 1550 €)</t>
  </si>
  <si>
    <t>201 / 342 €
(0 / 0 €)</t>
  </si>
  <si>
    <t>342 / 548 €
(547 / 547 €)</t>
  </si>
  <si>
    <t>339 / 543 €
(541 / 541 €)</t>
  </si>
  <si>
    <t>331 / 531 €
(541 / 547 €)</t>
  </si>
  <si>
    <t>( 396 €) - 0%</t>
  </si>
  <si>
    <t>(5 544 €) - 0%</t>
  </si>
  <si>
    <t>(2 376 €) - 0%</t>
  </si>
  <si>
    <t>(5 270 €) - 0%</t>
  </si>
  <si>
    <t>(5 940 €) - 0%</t>
  </si>
  <si>
    <t>(6 138 €) - 0%</t>
  </si>
  <si>
    <t>(4 356 €) - 0%</t>
  </si>
  <si>
    <t>Ménages à v enir</t>
  </si>
  <si>
    <t>Plazza</t>
  </si>
  <si>
    <t>69726ee515a5eb0015c67410</t>
  </si>
  <si>
    <t>Maureen Juran</t>
  </si>
  <si>
    <t xml:space="preserve">2024 </t>
  </si>
  <si>
    <t xml:space="preserve">2025 </t>
  </si>
  <si>
    <t xml:space="preserve">2026 </t>
  </si>
  <si>
    <t>46 / 54 €
(53 / 53 €)</t>
  </si>
  <si>
    <t>45 / 53 €
(0 / 0 €)</t>
  </si>
  <si>
    <t>45 / 52 €
(51 / 51 €)</t>
  </si>
  <si>
    <t>46 / 53 €
(55 / 55 €)</t>
  </si>
  <si>
    <t>49 / 56 €
(0 / 0 €)</t>
  </si>
  <si>
    <t>55 / 63 €
(64 / 64 €)</t>
  </si>
  <si>
    <t>57 / 66 €
(71 / 71 €)</t>
  </si>
  <si>
    <t>69 / 60 €
(0 / 0 €)</t>
  </si>
  <si>
    <t>65 / 44 €
(63 / 63 €)</t>
  </si>
  <si>
    <t>61 / 71 €
(0 / 0 €)</t>
  </si>
  <si>
    <t>53 / 62 €
(59 / 59 €)</t>
  </si>
  <si>
    <t>46 / 54 €
(52 / 52 €)</t>
  </si>
  <si>
    <t>45 / 52 €
(0 / 0 €)</t>
  </si>
  <si>
    <t>66 / 75 €
(75 / 75 €)</t>
  </si>
  <si>
    <t>66 / 75 €
(0 / 0 €)</t>
  </si>
  <si>
    <t>67 / 77 €
(77 / 77 €)</t>
  </si>
  <si>
    <t>87 / 102 €
(101 / 101 €)</t>
  </si>
  <si>
    <t>87 / 102 €
(0 / 0 €)</t>
  </si>
  <si>
    <t>61 / 70 €
(52 / 101 €)</t>
  </si>
  <si>
    <t>Plazza Saint Joseph</t>
  </si>
  <si>
    <t>Esther</t>
  </si>
  <si>
    <t xml:space="preserve"> #117235756</t>
  </si>
  <si>
    <t>115 / 0 €
(194 / 194 €)</t>
  </si>
  <si>
    <t>194 / 0 €
(207 / 376 €)</t>
  </si>
  <si>
    <t>235 / 0 €
(374 / 378 €)</t>
  </si>
  <si>
    <t>206 / 0 €
(221 / 376 €)</t>
  </si>
  <si>
    <t>215 / 0 €
(221 / 524 €)</t>
  </si>
  <si>
    <t>208 / 0 €
(194 / 524 €)</t>
  </si>
  <si>
    <t>182 / 0 €
(184 / 426 €)</t>
  </si>
  <si>
    <t>159 / 0 €
(167 / 350 €)</t>
  </si>
  <si>
    <t>197 / 0 €
(194 / 414 €)</t>
  </si>
  <si>
    <t>210 / 0 €
(232 / 384 €)</t>
  </si>
  <si>
    <t>221 / 0 €
(129 / 456 €)</t>
  </si>
  <si>
    <t>226 / 0 €
(276 / 427 €)</t>
  </si>
  <si>
    <t>347 / 0 €
(388 / 834 €)</t>
  </si>
  <si>
    <t>296 / 0 €
(175 / 717 €)</t>
  </si>
  <si>
    <t>220 / 0 €
(271 / 478 €)</t>
  </si>
  <si>
    <t>203 / 0 €
(211 / 451 €)</t>
  </si>
  <si>
    <t>191 / 0 €
(281 / 436 €)</t>
  </si>
  <si>
    <t>221 / 0 €
(129 / 834 €)</t>
  </si>
  <si>
    <t>167 / 0 €
(197 / 549 €)</t>
  </si>
  <si>
    <t>151 / 0 €
(181 / 301 €)</t>
  </si>
  <si>
    <t>173 / 0 €
(190 / 383 €)</t>
  </si>
  <si>
    <t>200 / 0 €
(230 / 402 €)</t>
  </si>
  <si>
    <t>223 / 0 €
(245 / 510 €)</t>
  </si>
  <si>
    <t>260 / 0 €
(390 / 420 €)</t>
  </si>
  <si>
    <t>226 / 0 €
(305 / 490 €)</t>
  </si>
  <si>
    <t>238 / 0 €
(340 / 459 €)</t>
  </si>
  <si>
    <t>210 / 0 €
(184 / 420 €)</t>
  </si>
  <si>
    <t>231 / 0 €
(285 / 470 €)</t>
  </si>
  <si>
    <t>166 / 0 €
(211 / 332 €)</t>
  </si>
  <si>
    <t>184 / 0 €
(217 / 360 €)</t>
  </si>
  <si>
    <t>204 / 0 €
(181 / 549 €)</t>
  </si>
  <si>
    <t>172 / 0 €
(249 / 361 €)</t>
  </si>
  <si>
    <t>267 / 0 €
(412 / 490 €)</t>
  </si>
  <si>
    <t>125 / 22 €
(193 / 221 €)</t>
  </si>
  <si>
    <t>210 / 159 €
(319 / 388 €)</t>
  </si>
  <si>
    <t>189 / 104 €
(233 / 328 €)</t>
  </si>
  <si>
    <t>134 / 362 €
(166 / 261 €)</t>
  </si>
  <si>
    <t>112 / 322 €
(148 / 251 €)</t>
  </si>
  <si>
    <t>111 / 314 €
(145 / 251 €)</t>
  </si>
  <si>
    <t>160 / 340 €
(93 / 331 €)</t>
  </si>
  <si>
    <t>168 / 360 €
(163 / 317 €)</t>
  </si>
  <si>
    <t>169 / 415 €
(155 / 366 €)</t>
  </si>
  <si>
    <t>195 / 378 €
(213 / 368 €)</t>
  </si>
  <si>
    <t>167 / 514 €
(151 / 360 €)</t>
  </si>
  <si>
    <t>152 / 415 €
(148 / 454 €)</t>
  </si>
  <si>
    <t>153 / 348 €
(171 / 314 €)</t>
  </si>
  <si>
    <t>168 / 324 €
(222 / 351 €)</t>
  </si>
  <si>
    <t>115 / 328 €
(89 / 308 €)</t>
  </si>
  <si>
    <t>151 / 361 €
(89 / 454 €)</t>
  </si>
  <si>
    <t>124 / 264 €
(137 / 236 €)</t>
  </si>
  <si>
    <t>126 / 252 €
(143 / 263 €)</t>
  </si>
  <si>
    <t>129 / 380 €
(173 / 303 €)</t>
  </si>
  <si>
    <t>160 / 369 €
(212 / 318 €)</t>
  </si>
  <si>
    <t>170 / 405 €
(202 / 318 €)</t>
  </si>
  <si>
    <t>171 / 435 €
(267 / 303 €)</t>
  </si>
  <si>
    <t>171 / 371 €
(225 / 298 €)</t>
  </si>
  <si>
    <t>154 / 481 €
(230 / 298 €)</t>
  </si>
  <si>
    <t>174 / 356 €
(225 / 296 €)</t>
  </si>
  <si>
    <t>166 / 380 €
(224 / 317 €)</t>
  </si>
  <si>
    <t>137 / 221 €
(194 / 262 €)</t>
  </si>
  <si>
    <t>142 / 293 €
(146 / 283 €)</t>
  </si>
  <si>
    <t>153 / 348 €
(137 / 318 €)</t>
  </si>
  <si>
    <t>109 / 209 €
(160 / 273 €)</t>
  </si>
  <si>
    <t>48 / 0 €
(54 / 54 €)</t>
  </si>
  <si>
    <t>48 / 0 €
(0 / 0 €)</t>
  </si>
  <si>
    <t>89 / 0 €
(103 / 103 €)</t>
  </si>
  <si>
    <t>89 / 0 €
(0 / 0 €)</t>
  </si>
  <si>
    <t>49 / 0 €
(56 / 56 €)</t>
  </si>
  <si>
    <t>74 / 0 €
(86 / 86 €)</t>
  </si>
  <si>
    <t>73 / 0 €
(77 / 77 €)</t>
  </si>
  <si>
    <t>57 / 0 €
(54 / 103 €)</t>
  </si>
  <si>
    <t>68 / 0 €
(0 / 0 €)</t>
  </si>
  <si>
    <t>67 / 0 €
(76 / 76 €)</t>
  </si>
  <si>
    <t>67 / 0 €
(0 / 0 €)</t>
  </si>
  <si>
    <t>71 / 0 €
(94 / 94 €)</t>
  </si>
  <si>
    <t>81 / 0 €
(0 / 0 €)</t>
  </si>
  <si>
    <t>90 / 493 €
(102 / 102 €)</t>
  </si>
  <si>
    <t>90 / 609 €
(0 / 0 €)</t>
  </si>
  <si>
    <t>82 / 0 €
(94 / 94 €)</t>
  </si>
  <si>
    <t>71 / 0 €
(77 / 77 €)</t>
  </si>
  <si>
    <t>63 / 0 €
(65 / 65 €)</t>
  </si>
  <si>
    <t>55 / 88 €
(0 / 0 €)</t>
  </si>
  <si>
    <t>71 / 69 €
(65 / 102 €)</t>
  </si>
  <si>
    <t>59 / 11 €
(81 / 81 €)</t>
  </si>
  <si>
    <t>59 / 0 €
(80 / 80 €)</t>
  </si>
  <si>
    <t>59 / 0 €
(0 / 0 €)</t>
  </si>
  <si>
    <t>59 / 0 €
(81 / 81 €)</t>
  </si>
  <si>
    <t>64 / 0 €
(72 / 88 €)</t>
  </si>
  <si>
    <t>52 / 0 €
(0 / 0 €)</t>
  </si>
  <si>
    <t>59 / 94 €
(82 / 82 €)</t>
  </si>
  <si>
    <t>59 / 168 €
(81 / 81 €)</t>
  </si>
  <si>
    <t>55 / 0 €
(77 / 82 €)</t>
  </si>
  <si>
    <t>64 / 0 €
(89 / 89 €)</t>
  </si>
  <si>
    <t>64 / 0 €
(0 / 0 €)</t>
  </si>
  <si>
    <t>96 / 0 €
(100 / 101 €)</t>
  </si>
  <si>
    <t>71 / 0 €
(100 / 100 €)</t>
  </si>
  <si>
    <t>71 / 0 €
(0 / 0 €)</t>
  </si>
  <si>
    <t>68 / 0 €
(89 / 101 €)</t>
  </si>
  <si>
    <t>6974dff8073cbb0016c94691</t>
  </si>
  <si>
    <t>Babaud Pauline</t>
  </si>
  <si>
    <t>69752a6d363d956f53d97d0f</t>
  </si>
  <si>
    <t>Gilles Frenette</t>
  </si>
  <si>
    <t>6976188e291bc900134eeb42</t>
  </si>
  <si>
    <t>ong Yoke En</t>
  </si>
  <si>
    <t>54 / 41 €
(51 / 71 €)</t>
  </si>
  <si>
    <t>63 / 71 €
(41 / 41 €)</t>
  </si>
  <si>
    <t>52 / 41 €
(0 / 0 €)</t>
  </si>
  <si>
    <t>n</t>
  </si>
  <si>
    <t>211 / 0 €
(258 / 436 €)</t>
  </si>
  <si>
    <t>258 / 0 €
(418 / 418 €)</t>
  </si>
  <si>
    <t>134 / 314 €
(158 / 324 €)</t>
  </si>
  <si>
    <t>159 / 204 €
(158 / 388 €)</t>
  </si>
  <si>
    <t>141 / 280 €
(158 / 318 €)</t>
  </si>
  <si>
    <t>58 / 26 €
(72 / 88 €)</t>
  </si>
  <si>
    <t>6976312dd239f39a824ad3fc</t>
  </si>
  <si>
    <t>Stephan Offermann</t>
  </si>
  <si>
    <t>6976664635bfb843a1247035</t>
  </si>
  <si>
    <t>Fabien Lescouzères</t>
  </si>
  <si>
    <t>149 / 0 €
(225 / 278 €)</t>
  </si>
  <si>
    <t>69776cb5c2a8893588e97028</t>
  </si>
  <si>
    <t>James Meek</t>
  </si>
  <si>
    <t>9,51 (43)</t>
  </si>
  <si>
    <t>6977d5ea2acfb68d1fdcc17d</t>
  </si>
  <si>
    <t>James Bastable</t>
  </si>
  <si>
    <t>27-01-26 08:17</t>
  </si>
  <si>
    <t xml:space="preserve"># Validation du paiement de la réservation  pour Apollinaire du 20-01-2026 pour un montant de 1017,14 €_x000D_
</t>
  </si>
  <si>
    <t>697c233197939a0054c8d510</t>
  </si>
  <si>
    <t>Mirka Morin</t>
  </si>
  <si>
    <t>(6 696 €) - 0%</t>
  </si>
  <si>
    <t>697e59ba26943d0015290bff</t>
  </si>
  <si>
    <t>697e5b6be613f503ebf5c8a2</t>
  </si>
  <si>
    <t>Antonis Loizou</t>
  </si>
  <si>
    <t>Valerie Davis</t>
  </si>
  <si>
    <t>250 / 0 €
(405 / 409 €)</t>
  </si>
  <si>
    <t>697e60b71420de003b202739</t>
  </si>
  <si>
    <t>Alicia Cawley</t>
  </si>
  <si>
    <t>9,57 (23)</t>
  </si>
  <si>
    <t>janv 2027</t>
  </si>
  <si>
    <t>697f026a52735100150cf029</t>
  </si>
  <si>
    <t>Carole Maes</t>
  </si>
  <si>
    <t>697f8ca674d5263a421b03a4</t>
  </si>
  <si>
    <t>Ashley Means</t>
  </si>
  <si>
    <t>697fa2ecb028e19c9fd795dd</t>
  </si>
  <si>
    <t>Julien Tibi</t>
  </si>
  <si>
    <t>697fcaade613f503eb01a5ab</t>
  </si>
  <si>
    <t>Elaine Lavoie</t>
  </si>
  <si>
    <t>69810bfd80bf2be1341b1e6e</t>
  </si>
  <si>
    <t>6981136fec17b27fdb43791c</t>
  </si>
  <si>
    <t>Sheila Schell</t>
  </si>
  <si>
    <t>Avner Zeitlin</t>
  </si>
  <si>
    <t>avril 2026</t>
  </si>
  <si>
    <t>juillet 2026</t>
  </si>
  <si>
    <t>6980b1216e73474bda89f58f</t>
  </si>
  <si>
    <t>6983e035e73b69668f266f5c</t>
  </si>
  <si>
    <t>Katriese Wilder</t>
  </si>
  <si>
    <t>Dave Terrio</t>
  </si>
  <si>
    <t>222 / 0 €
(378 / 378 €)</t>
  </si>
  <si>
    <t>171 / 378 €
(290 / 290 €)</t>
  </si>
  <si>
    <t>69874a258618120013763697</t>
  </si>
  <si>
    <t>Nicolas Rizo</t>
  </si>
  <si>
    <t>110 / 244 €
(142 / 234 €)</t>
  </si>
  <si>
    <t>69884fe4c18add001c18795a</t>
  </si>
  <si>
    <t>W. Holger Schmidt</t>
  </si>
  <si>
    <t>189 / 0 €
(311 / 311 €)</t>
  </si>
  <si>
    <t>69893b041f76c500135bf515</t>
  </si>
  <si>
    <t>Rosalind Clarke</t>
  </si>
  <si>
    <t>206 / 0 €
(338 / 338 €)</t>
  </si>
  <si>
    <t xml:space="preserve"># Validation du paiement de la réservation  pour Maury du 06-02-2026 pour un montant de 358,22 €_x000D_
</t>
  </si>
  <si>
    <t xml:space="preserve"># Validation du paiement de la réservation  pour Maury du 03-02-2026 pour un montant de 349,42 €_x000D_
</t>
  </si>
  <si>
    <t>6989e62b50ce8f03be10493c</t>
  </si>
  <si>
    <t>Joan Zinter</t>
  </si>
  <si>
    <t>171 / 261 €
(273 / 273 €)</t>
  </si>
  <si>
    <t>698a489ad6b2284115782b63</t>
  </si>
  <si>
    <t>698a976e029bc866af101e88</t>
  </si>
  <si>
    <t>Pascale Jeanmonod</t>
  </si>
  <si>
    <t>Shanell Fan</t>
  </si>
  <si>
    <t>698cc4729c161e0013a14756</t>
  </si>
  <si>
    <t>Miłosz Boguszewski</t>
  </si>
  <si>
    <t>Recaptableau1</t>
  </si>
  <si>
    <t>Recaptableau4</t>
  </si>
  <si>
    <t>Recaptableau2</t>
  </si>
  <si>
    <t>Total 2028</t>
  </si>
  <si>
    <t>Total 2029</t>
  </si>
  <si>
    <t>Total 2030</t>
  </si>
  <si>
    <t>Maury + Apollinaire</t>
  </si>
  <si>
    <t>69910eba2233a2115963798f</t>
  </si>
  <si>
    <t>Kent Doughty</t>
  </si>
  <si>
    <t>223 / 16 €
(322 / 444 €)</t>
  </si>
  <si>
    <t>256 / 11 €
(1 / 466 €)</t>
  </si>
  <si>
    <t>69937751b595385dfd16fb07</t>
  </si>
  <si>
    <t>Rachael Buchanan</t>
  </si>
  <si>
    <t>69958207e88edc187700f4b6</t>
  </si>
  <si>
    <t>Melissa Blum</t>
  </si>
  <si>
    <t>174 / 471 €
(266 / 311 €)</t>
  </si>
  <si>
    <t>18-02-26 19:30</t>
  </si>
  <si>
    <t xml:space="preserve"># Validation du paiement de la réservation  pour Maury du 12-02-2026 pour un montant de 292,13 €_x000D_
</t>
  </si>
  <si>
    <t>6997083d3c08e3edb88ce738</t>
  </si>
  <si>
    <t>Telmo Lopez Poignon</t>
  </si>
  <si>
    <t>174 / 455 €
(256 / 325 €)</t>
  </si>
  <si>
    <t>699a000ed3cc4e001d9db339</t>
  </si>
  <si>
    <t>CHUN HAN CHIEN</t>
  </si>
  <si>
    <t>Bearer eyJhbGciOiJIUzI1NiIsInR5cCI6IkpXVCJ9.eyJ0b2tlbklkIjoiNjk5YTBkOWVlMWViZTVlMGY2MWI1M2VkIiwidXNlcklkIjoiNjZkYWJmMjcxNDIzZTEwMDBjMGE1OTRiIiwiYWNjb3VudElkIjoiNjZkOWI0MWM0M2Q4NGM3ZDg3ZmI1MTMwIiwiaXNzIjoicHJvZHVjdGlvbi5ndWVzdHkuY29tIiwibmFtZSI6ImNocmlzdG9waGUudHJpY2F1ZEBnbWFpbC5jb20iLCJmdWxsTmFtZSI6IkNocmlzdG9waGUgJiBBdWRyZXkgVFJJQ0FVRCIsImRiIjoib3duZXJzIiwicm9sZSI6Im93bmVyIiwidXNlclJvbGVzIjpbeyJyb2xlSWQiOnsicGVybWlzc2lvbnMiOlsibGlzdGluZy52aWV3ZXIiXX19XSwicmVxdWVzdGVyIjoiT1dORVIiLCJyZXF1ZXN0ZXJJZCI6IjY2ZGFiZjI3MTQyM2UxMDAwYzBhNTk0YiIsImlhdCI6MTc3MTcwMzcxMCwiZXhwIjoxNzcyMzA4NTEwfQ.xTFtWqaphsGuHiLOoAp3N6eoeOzpE5ele4S9qMP1Y24</t>
  </si>
  <si>
    <t>(8 019 €) - 0%</t>
  </si>
  <si>
    <t>(8 019 €) - 13%</t>
  </si>
  <si>
    <t>4,91 (91)</t>
  </si>
  <si>
    <t>4,95 (37)</t>
  </si>
  <si>
    <t>4,89 (99)</t>
  </si>
  <si>
    <t>4,89 (38)</t>
  </si>
  <si>
    <t>9,13 (24)</t>
  </si>
  <si>
    <t>9,00 (15)</t>
  </si>
  <si>
    <t>699cf5834a65d947960e0930</t>
  </si>
  <si>
    <t>Jessica Weeman</t>
  </si>
  <si>
    <t>194 / 830 €
(305 / 327 €)</t>
  </si>
  <si>
    <t>24-02-26 07:41</t>
  </si>
  <si>
    <t xml:space="preserve"># La facture suivante n'a pas été affectée :  - 502,16_x000D_
Le montant ne correspond pas._x000D_
</t>
  </si>
  <si>
    <t>24-02-26 07:43</t>
  </si>
  <si>
    <t xml:space="preserve"># Validation du paiement de la réservation  pour Maury du 19-02-2026 pour un montant de 502,16 €_x000D_
</t>
  </si>
  <si>
    <t>24-02-26 07:46</t>
  </si>
  <si>
    <t>699f22c30fcbe2c7884d7f18</t>
  </si>
  <si>
    <t>Sergey Kopytov</t>
  </si>
  <si>
    <t>69a0b0c112509b8b8c0388b6</t>
  </si>
  <si>
    <t>Gianni Vido</t>
  </si>
  <si>
    <t>(2 920 €) - 73%</t>
  </si>
  <si>
    <t>(4 019 €) - 71%</t>
  </si>
  <si>
    <t>(5 325 €) - 63%</t>
  </si>
  <si>
    <t>(4 190 €) - 58%</t>
  </si>
  <si>
    <t>(7 243 €) - 10%</t>
  </si>
  <si>
    <t>(6 532 €) - 17%</t>
  </si>
  <si>
    <t>(8 090 €) - 16%</t>
  </si>
  <si>
    <t>(6 075 €) - 0%</t>
  </si>
  <si>
    <t>174 / 491 €
(286 / 297 €)</t>
  </si>
  <si>
    <t>(1 567 €) - 74%</t>
  </si>
  <si>
    <t>(2 920 €) - 60%</t>
  </si>
  <si>
    <t>(4 019 €) - 52%</t>
  </si>
  <si>
    <t>(5 325 €) - 33%</t>
  </si>
  <si>
    <t>(4 190 €) - 48%</t>
  </si>
  <si>
    <t>(6 532 €) - 27%</t>
  </si>
  <si>
    <t>(8 090 €) - 0%</t>
  </si>
  <si>
    <t>(55 465 €) - 41 %</t>
  </si>
  <si>
    <t>27-02-26 08:04</t>
  </si>
  <si>
    <t xml:space="preserve"># Validation du paiement de la réservation  pour Maury du 23-02-2026 pour un montant de 434,60 €_x000D_
</t>
  </si>
  <si>
    <t>Proj 27/02/2026</t>
  </si>
  <si>
    <t>N-1 27/02/2025</t>
  </si>
  <si>
    <t>N-2 27/02/2024</t>
  </si>
  <si>
    <t>eyJraWQiOiJwVXBLR0hRa0NuLTdqTmx3STBzdUJqZEE2ZFk2ZzRBc2ctOWEtUDIxbGVVIiwiYWxnIjoiUlMyNTYifQ.eyJ2ZXIiOjEsImp0aSI6IkFULjR2WlpQTTM4ZDcxRWdlenBqSlF1WkZ3SzkzUERqY2Fid1JzMEtVOTVCOE0iLCJpc3MiOiJodHRwczovL2xvZ2luLmd1ZXN0eS5jb20vb2F1dGgyL2F1czFwOHFyaDUzQ2NRVEk5NWQ3IiwiYXVkIjoiaHR0cHM6Ly9vcGVuLWFwaS5ndWVzdHkuY29tIiwiaWF0IjoxNzcyMTk2MTE5LCJleHAiOjE3NzIyODI1MTksImNpZCI6IjBvYXFmNTNuOG9UY0ROV0RZNWQ3Iiwic2NwIjpbIm9wZW4tYXBpIl0sInJlcXVlc3RlciI6IkVYVEVSTkFMIiwiYWNjb3VudElkIjoiNjZkOWI0MWM0M2Q4NGM3ZDg3ZmI1MTMwIiwic3ViIjoiMG9hcWY1M244b1RjRE5XRFk1ZDciLCJ1c2VyUm9sZXMiOlt7InJvbGVJZCI6eyJwZXJtaXNzaW9ucyI6WyJhZG1pbiJdfX1dLCJyb2xlIjoidXNlciIsImNsaWVudFR5cGUiOiJvcGVuYXBpIiwiaWFtIjoidjMiLCJhY2NvdW50TmFtZSI6IkhvYmUiLCJuYW1lIjoiTmV3Q29ubmV4aW9uIn0.RaF_SHda5zaoq0F-00icvlnpJhKlfSx5mJiZ_4SdWDZrJ6g-s0WknQX6K6nbeLqtIAg2sf4jNUuXMs9EQ_vBpMgyknAIoMS6Mp16bcDnKWuIIL0CniTqMbc4Pey_cc5QusSlslQr44rH-vh9GakfOY2jfAKQ-HC2IgOX7erUdUEyhk_ETU5S0YBGxpntRfh_hSZxhGMrTgCL-6BEd-5iFzGaF2tpNIKvaLyLCUWyW1hAON6iCbnbI1y4hK58hxJeHF1LlSHgOnqmrFlmxJwUpBU2SWenPv5jc9RzrfpcAdMgQfp5r3Uf2T8B3p9h68JBwU-blz8ezXV1T_oOwSxO0A</t>
  </si>
  <si>
    <t>69a18e85e0b317de2dfeb314</t>
  </si>
  <si>
    <t>Paweł Okoński</t>
  </si>
  <si>
    <t>183 / 0 €
(223 / 365 €)</t>
  </si>
  <si>
    <t>212 / 4 €
(1 / 490 €)</t>
  </si>
  <si>
    <t>(1 567 €) - 84%</t>
  </si>
  <si>
    <t>(55 465 €) - 45 %</t>
  </si>
  <si>
    <t>127 / 340 €
(194 / 272 €)</t>
  </si>
  <si>
    <t>145 / 373 €
(142 / 327 €)</t>
  </si>
  <si>
    <t xml:space="preserve">27/02/2026 15:05_x000D_
********** Réservations **********_x000D_
_x000D_
********** Reviews **********_x000D_
_x000D_
********** Paiements **********_x000D_
_x000D_
********** Prix **********_x000D_
</t>
  </si>
  <si>
    <t>Cancel_Date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</si>
</sst>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quot;€&quot;#,##0_);\(&quot;€&quot;#,##0\)"/>
    <numFmt numFmtId="165" formatCode="&quot;€&quot;#,##0.00_);\(&quot;€&quot;#,##0.00\)"/>
    <numFmt numFmtId="166" formatCode="_(* #,##0.00_);_(* \(#,##0.00\);_(* &quot;-&quot;??_);_(@_)"/>
    <numFmt numFmtId="167" formatCode="_(&quot;€&quot;* #,##0.00_);_(&quot;€&quot;* \(#,##0.00\);_(&quot;€&quot;* &quot;-&quot;??_);_(@_)"/>
    <numFmt numFmtId="168" formatCode="_-* #,##0\ &quot;€&quot;_-;\-* #,##0\ &quot;€&quot;_-;_-* &quot;-&quot;??\ &quot;€&quot;_-;_-@_-"/>
    <numFmt numFmtId="169" formatCode="[$-40C]mmmm\-yy;@"/>
    <numFmt numFmtId="170" formatCode="_-* #,##0_-;\-* #,##0_-;_-* &quot;-&quot;??_-;_-@_-"/>
    <numFmt numFmtId="171" formatCode="&quot;€&quot;* #\ ##0.00;&quot;€&quot;* \-#\ ##0.00"/>
    <numFmt numFmtId="172" formatCode="m/d/yyyy"/>
    <numFmt numFmtId="173" formatCode="_(* #,##0_);_(* \(#,##0\);_(* &quot;-&quot;??_);_(@_)"/>
    <numFmt numFmtId="174" formatCode="#,##0.00\ &quot;€&quot;"/>
    <numFmt numFmtId="175" formatCode="dd/mm/yyyy\ hh:mm;ss"/>
    <numFmt numFmtId="176" formatCode="dd/mm/yyyy\ hh:mm;@"/>
    <numFmt numFmtId="177" formatCode="#,##0_ ;\-#,##0\ "/>
    <numFmt numFmtId="178" formatCode="_(&quot;€&quot;* #,##0_);_(&quot;€&quot;* \(#,##0\);_(&quot;€&quot;* &quot;-&quot;??_);_(@_)"/>
    <numFmt numFmtId="179" formatCode="0.0%"/>
    <numFmt numFmtId="180" formatCode="_(* #,##0.0_);_(* \(#,##0.0\);_(* &quot;-&quot;??_);_(@_)"/>
    <numFmt numFmtId="181" formatCode="d/m/yyyy\ h:mm"/>
    <numFmt numFmtId="182" formatCode="_(&quot;€&quot;* #.##0\.00_);_(&quot;€&quot;* \(#.##0\.00\);_(&quot;€&quot;* &quot;-&quot;??_);_(@_)"/>
    <numFmt numFmtId="183" formatCode="dd/mm/yy;@"/>
    <numFmt numFmtId="184" formatCode="_(* #,##0.0000_);_(* \(#,##0.0000\);_(* &quot;-&quot;??_);_(@_)"/>
    <numFmt numFmtId="186" formatCode="dd/mm/yyyy"/>
  </numFmts>
  <fonts count="62">
    <font>
      <sz val="12"/>
      <color theme="1"/>
      <name val="Luciole"/>
      <family val="2"/>
    </font>
    <font>
      <sz val="12"/>
      <color theme="1"/>
      <name val="Luciole"/>
      <family val="2"/>
    </font>
    <font>
      <b/>
      <sz val="12"/>
      <color theme="1"/>
      <name val="Luciole"/>
      <family val="2"/>
    </font>
    <font>
      <sz val="10"/>
      <color theme="1"/>
      <name val="Luciole"/>
      <family val="2"/>
    </font>
    <font>
      <sz val="8"/>
      <color theme="1"/>
      <name val="Luciole"/>
      <family val="2"/>
    </font>
    <font>
      <sz val="16"/>
      <color theme="1"/>
      <name val="Luciole"/>
      <family val="2"/>
    </font>
    <font>
      <i/>
      <sz val="8"/>
      <color theme="1"/>
      <name val="Luciole"/>
      <family val="2"/>
    </font>
    <font>
      <sz val="16"/>
      <color theme="1"/>
      <name val="Wingdings"/>
      <charset val="2"/>
    </font>
    <font>
      <sz val="9"/>
      <color theme="1"/>
      <name val="Luciole"/>
      <family val="2"/>
    </font>
    <font>
      <u/>
      <sz val="12"/>
      <color theme="1"/>
      <name val="Luciole"/>
      <family val="2"/>
    </font>
    <font>
      <sz val="10"/>
      <color theme="2" tint="-0.499984740745262"/>
      <name val="Luciole"/>
      <family val="2"/>
    </font>
    <font>
      <sz val="12"/>
      <color theme="2" tint="-0.499984740745262"/>
      <name val="Luciole"/>
      <family val="2"/>
    </font>
    <font>
      <u/>
      <sz val="12"/>
      <color theme="10"/>
      <name val="Luciole"/>
      <family val="2"/>
    </font>
    <font>
      <sz val="10"/>
      <name val="Arial"/>
      <family val="2"/>
    </font>
    <font>
      <sz val="12"/>
      <color rgb="FFFFFFFF"/>
      <name val="Luciole"/>
      <family val="2"/>
    </font>
    <font>
      <sz val="8"/>
      <name val="Luciole"/>
      <family val="2"/>
    </font>
    <font>
      <sz val="11"/>
      <color theme="1"/>
      <name val="Luciole"/>
      <family val="2"/>
    </font>
    <font>
      <sz val="6"/>
      <color theme="1"/>
      <name val="Luciole"/>
      <family val="2"/>
    </font>
    <font>
      <b/>
      <sz val="9"/>
      <color theme="1"/>
      <name val="Luciole"/>
      <family val="2"/>
    </font>
    <font>
      <sz val="8"/>
      <color rgb="FFFFFFFF"/>
      <name val="Luciole"/>
      <family val="2"/>
    </font>
    <font>
      <b/>
      <i/>
      <sz val="8"/>
      <color theme="1"/>
      <name val="Luciole"/>
      <family val="2"/>
    </font>
    <font>
      <b/>
      <sz val="20"/>
      <color theme="1"/>
      <name val="Wingdings"/>
      <charset val="2"/>
    </font>
    <font>
      <sz val="9"/>
      <color rgb="FFFFFFFF"/>
      <name val="Luciole"/>
      <family val="2"/>
    </font>
    <font>
      <sz val="10"/>
      <color rgb="FFFFFFFF"/>
      <name val="Luciole"/>
      <family val="2"/>
    </font>
    <font>
      <b/>
      <sz val="9"/>
      <color rgb="FFFFFFFF"/>
      <name val="Luciole"/>
      <family val="2"/>
    </font>
    <font>
      <b/>
      <sz val="10"/>
      <color rgb="FFFFFFFF"/>
      <name val="Luciole"/>
      <family val="2"/>
    </font>
    <font>
      <sz val="16"/>
      <color rgb="FFFFFFFF"/>
      <name val="Luciole"/>
      <family val="2"/>
    </font>
    <font>
      <b/>
      <sz val="8"/>
      <color rgb="FFFFFFFF"/>
      <name val="Luciole"/>
      <family val="2"/>
    </font>
    <font>
      <i/>
      <sz val="8"/>
      <color rgb="FFFFFFFF"/>
      <name val="Luciole"/>
      <family val="2"/>
    </font>
    <font>
      <b/>
      <i/>
      <sz val="8"/>
      <color rgb="FFFFFFFF"/>
      <name val="Luciole"/>
      <family val="2"/>
    </font>
    <font>
      <sz val="11"/>
      <color rgb="FFFFFFFF"/>
      <name val="Luciole"/>
      <family val="2"/>
    </font>
    <font>
      <sz val="16"/>
      <color rgb="FFFFFFFF"/>
      <name val="Wingdings"/>
      <charset val="2"/>
    </font>
    <font>
      <sz val="6"/>
      <color rgb="FFFFFFFF"/>
      <name val="Luciole"/>
      <family val="2"/>
    </font>
    <font>
      <b/>
      <sz val="10"/>
      <color rgb="FFFFFFFF"/>
      <name val="Arial"/>
      <family val="2"/>
    </font>
    <font>
      <sz val="10"/>
      <color rgb="FFFFFFFF"/>
      <name val="Arial"/>
      <family val="2"/>
    </font>
    <font>
      <b/>
      <sz val="12"/>
      <color rgb="FFFFFFFF"/>
      <name val="Luciole"/>
      <family val="2"/>
    </font>
    <font>
      <b/>
      <sz val="20"/>
      <color rgb="FFFFFFFF"/>
      <name val="Wingdings"/>
      <charset val="2"/>
    </font>
    <font>
      <u/>
      <sz val="12"/>
      <color rgb="FFFFFFFF"/>
      <name val="Luciole"/>
      <family val="2"/>
    </font>
    <font>
      <sz val="14"/>
      <color rgb="FFFFFFFF"/>
      <name val="Segoe UI"/>
      <family val="2"/>
    </font>
    <font>
      <b/>
      <u/>
      <sz val="12"/>
      <color rgb="FFFFFFFF"/>
      <name val="Luciole"/>
      <family val="2"/>
    </font>
    <font>
      <sz val="18"/>
      <color theme="1"/>
      <name val="Luciole"/>
      <family val="2"/>
    </font>
    <font>
      <sz val="48"/>
      <color theme="1"/>
      <name val="Luciole"/>
      <family val="2"/>
    </font>
    <font>
      <sz val="20"/>
      <color rgb="FFFFFFFF"/>
      <name val="Wingdings"/>
      <charset val="2"/>
    </font>
    <font>
      <sz val="48"/>
      <color rgb="FFFF0000"/>
      <name val="Luciole"/>
      <family val="2"/>
    </font>
    <font>
      <sz val="26"/>
      <color rgb="FFFF0000"/>
      <name val="Luciole"/>
      <family val="2"/>
    </font>
    <font>
      <sz val="12"/>
      <color rgb="FFFF0000"/>
      <name val="Luciole"/>
      <family val="2"/>
    </font>
    <font>
      <sz val="12"/>
      <color rgb="FFFF0000"/>
      <name val="Wingdings 2"/>
      <family val="1"/>
      <charset val="2"/>
    </font>
    <font>
      <b/>
      <sz val="22"/>
      <color rgb="FFFF0000"/>
      <name val="Luciole"/>
      <family val="2"/>
    </font>
    <font>
      <sz val="24"/>
      <color rgb="FFFF0000"/>
      <name val="Uciole"/>
    </font>
    <font>
      <sz val="10"/>
      <color rgb="FFFF0000"/>
      <name val="Uciole"/>
    </font>
    <font>
      <b/>
      <sz val="24"/>
      <color rgb="FFFF0000"/>
      <name val="Uciole"/>
    </font>
    <font>
      <sz val="26"/>
      <color theme="1"/>
      <name val="Luciole"/>
      <family val="2"/>
    </font>
    <font>
      <sz val="36"/>
      <color theme="1"/>
      <name val="Luciole"/>
      <family val="2"/>
    </font>
    <font>
      <b/>
      <sz val="16"/>
      <color rgb="FFFFFFFF"/>
      <name val="Luciole"/>
      <family val="2"/>
    </font>
    <font>
      <b/>
      <sz val="16"/>
      <color theme="1"/>
      <name val="Luciole"/>
      <family val="2"/>
    </font>
    <font>
      <i/>
      <sz val="12"/>
      <color theme="1"/>
      <name val="Luciole"/>
      <family val="2"/>
    </font>
    <font>
      <b/>
      <sz val="12"/>
      <color theme="0"/>
      <name val="Luciole"/>
      <family val="2"/>
    </font>
    <font>
      <b/>
      <sz val="18"/>
      <color theme="1"/>
      <name val="Luciole"/>
      <family val="2"/>
    </font>
    <font>
      <sz val="5"/>
      <color rgb="FFFFFFFF"/>
      <name val="Consolas"/>
      <family val="3"/>
    </font>
    <font>
      <b/>
      <sz val="14"/>
      <color rgb="FFFFFFFF"/>
      <name val="Luciole"/>
      <family val="2"/>
    </font>
    <font>
      <b/>
      <sz val="18"/>
      <color rgb="FFFFFFFF"/>
      <name val="Luciole"/>
      <family val="2"/>
    </font>
    <font>
      <sz val="18"/>
      <color rgb="FFFFFFFF"/>
      <name val="Luciole"/>
      <family val="2"/>
    </font>
  </fonts>
  <fills count="8">
    <fill>
      <patternFill patternType="none"/>
    </fill>
    <fill>
      <patternFill patternType="gray125"/>
    </fill>
    <fill>
      <patternFill patternType="solid">
        <fgColor theme="0" tint="9.9978637043366805E-2"/>
        <bgColor indexed="64"/>
      </patternFill>
    </fill>
    <fill>
      <patternFill patternType="solid">
        <fgColor theme="0"/>
        <bgColor indexed="64"/>
      </patternFill>
    </fill>
    <fill>
      <patternFill patternType="solid">
        <fgColor rgb="FF000000"/>
        <bgColor indexed="64"/>
      </patternFill>
    </fill>
    <fill>
      <patternFill patternType="solid">
        <fgColor rgb="FF000000"/>
        <bgColor theme="0" tint="-0.14999847407452621"/>
      </patternFill>
    </fill>
    <fill>
      <patternFill patternType="solid">
        <fgColor rgb="FF000000"/>
        <bgColor theme="1"/>
      </patternFill>
    </fill>
    <fill>
      <patternFill patternType="solid">
        <fgColor rgb="FFFFFF00"/>
        <bgColor indexed="64"/>
      </patternFill>
    </fill>
  </fills>
  <borders count="14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rgb="FFFFFFFF"/>
      </top>
      <bottom/>
      <diagonal/>
    </border>
    <border>
      <left style="thin">
        <color rgb="FFFFFFFF"/>
      </left>
      <right/>
      <top style="thin">
        <color rgb="FFFFFFFF"/>
      </top>
      <bottom/>
      <diagonal/>
    </border>
    <border>
      <left style="thin">
        <color rgb="FFFFFFFF"/>
      </left>
      <right/>
      <top/>
      <bottom/>
      <diagonal/>
    </border>
    <border>
      <left style="thin">
        <color rgb="FFFFFFFF"/>
      </left>
      <right style="thin">
        <color rgb="FFFFFFFF"/>
      </right>
      <top style="medium">
        <color rgb="FFFFFFFF"/>
      </top>
      <bottom style="thin">
        <color rgb="FFFFFFFF"/>
      </bottom>
      <diagonal/>
    </border>
    <border>
      <left style="thin">
        <color rgb="FFFFFFFF"/>
      </left>
      <right/>
      <top style="medium">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rgb="FFFFFFFF"/>
      </left>
      <right style="medium">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medium">
        <color rgb="FFFFFFFF"/>
      </left>
      <right style="thin">
        <color rgb="FFFFFFFF"/>
      </right>
      <top style="medium">
        <color rgb="FFFFFFFF"/>
      </top>
      <bottom/>
      <diagonal/>
    </border>
    <border>
      <left style="thin">
        <color rgb="FFFFFFFF"/>
      </left>
      <right style="medium">
        <color rgb="FFFFFFFF"/>
      </right>
      <top style="medium">
        <color rgb="FFFFFFFF"/>
      </top>
      <bottom/>
      <diagonal/>
    </border>
    <border>
      <left style="medium">
        <color rgb="FFFFFFFF"/>
      </left>
      <right/>
      <top style="thin">
        <color rgb="FFFFFFFF"/>
      </top>
      <bottom style="medium">
        <color rgb="FFFFFFFF"/>
      </bottom>
      <diagonal/>
    </border>
    <border>
      <left style="thin">
        <color rgb="FFFFFFFF"/>
      </left>
      <right style="medium">
        <color rgb="FFFFFFFF"/>
      </right>
      <top style="thin">
        <color rgb="FFFFFFFF"/>
      </top>
      <bottom style="medium">
        <color rgb="FFFFFFFF"/>
      </bottom>
      <diagonal/>
    </border>
    <border>
      <left style="medium">
        <color rgb="FFFFFFFF"/>
      </left>
      <right/>
      <top style="medium">
        <color rgb="FFFFFFFF"/>
      </top>
      <bottom style="medium">
        <color rgb="FFFFFFFF"/>
      </bottom>
      <diagonal/>
    </border>
    <border>
      <left/>
      <right style="medium">
        <color rgb="FFFFFFFF"/>
      </right>
      <top/>
      <bottom/>
      <diagonal/>
    </border>
    <border>
      <left style="thin">
        <color rgb="FFFFFFFF"/>
      </left>
      <right style="thin">
        <color rgb="FFFFFFFF"/>
      </right>
      <top style="thin">
        <color rgb="FFFFFFFF"/>
      </top>
      <bottom/>
      <diagonal/>
    </border>
    <border>
      <left/>
      <right style="thin">
        <color rgb="FFFFFFFF"/>
      </right>
      <top/>
      <bottom style="thin">
        <color rgb="FFFFFFFF"/>
      </bottom>
      <diagonal/>
    </border>
    <border>
      <left style="thin">
        <color rgb="FFFFFFFF"/>
      </left>
      <right style="thin">
        <color rgb="FFFFFFFF"/>
      </right>
      <top/>
      <bottom style="thin">
        <color rgb="FFFFFFFF"/>
      </bottom>
      <diagonal/>
    </border>
    <border>
      <left style="thin">
        <color rgb="FFFFFFFF"/>
      </left>
      <right/>
      <top/>
      <bottom style="thin">
        <color rgb="FFFFFFFF"/>
      </bottom>
      <diagonal/>
    </border>
    <border>
      <left/>
      <right style="thin">
        <color rgb="FFFFFFFF"/>
      </right>
      <top style="thin">
        <color rgb="FFFFFFFF"/>
      </top>
      <bottom style="thin">
        <color rgb="FFFFFFFF"/>
      </bottom>
      <diagonal/>
    </border>
    <border>
      <left/>
      <right style="thin">
        <color rgb="FFFFFFFF"/>
      </right>
      <top style="thin">
        <color rgb="FFFFFFFF"/>
      </top>
      <bottom/>
      <diagonal/>
    </border>
    <border>
      <left/>
      <right/>
      <top style="medium">
        <color rgb="FFFFFFFF"/>
      </top>
      <bottom style="medium">
        <color rgb="FFFFFFFF"/>
      </bottom>
      <diagonal/>
    </border>
    <border>
      <left style="thin">
        <color rgb="FFFFFFFF"/>
      </left>
      <right style="thin">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rgb="FFFFFFFF"/>
      </left>
      <right style="thin">
        <color rgb="FFFFFFFF"/>
      </right>
      <top style="medium">
        <color rgb="FFFFFFFF"/>
      </top>
      <bottom/>
      <diagonal/>
    </border>
    <border>
      <left style="medium">
        <color rgb="FFFFFFFF"/>
      </left>
      <right style="thin">
        <color rgb="FFFFFFFF"/>
      </right>
      <top/>
      <bottom/>
      <diagonal/>
    </border>
    <border>
      <left style="thin">
        <color rgb="FFFFFFFF"/>
      </left>
      <right style="thin">
        <color rgb="FFFFFFFF"/>
      </right>
      <top/>
      <bottom/>
      <diagonal/>
    </border>
    <border>
      <left style="thin">
        <color rgb="FFFFFFFF"/>
      </left>
      <right style="medium">
        <color rgb="FFFFFFFF"/>
      </right>
      <top/>
      <bottom/>
      <diagonal/>
    </border>
    <border>
      <left style="medium">
        <color rgb="FFFFFFFF"/>
      </left>
      <right style="thin">
        <color rgb="FFFFFFFF"/>
      </right>
      <top/>
      <bottom style="thin">
        <color rgb="FFFFFFFF"/>
      </bottom>
      <diagonal/>
    </border>
    <border>
      <left style="thin">
        <color rgb="FFFFFFFF"/>
      </left>
      <right style="medium">
        <color rgb="FFFFFFFF"/>
      </right>
      <top/>
      <bottom style="thin">
        <color rgb="FFFFFFFF"/>
      </bottom>
      <diagonal/>
    </border>
    <border>
      <left style="medium">
        <color rgb="FFFFFFFF"/>
      </left>
      <right style="thin">
        <color rgb="FFFFFFFF"/>
      </right>
      <top style="thin">
        <color rgb="FFFFFFFF"/>
      </top>
      <bottom/>
      <diagonal/>
    </border>
    <border>
      <left style="thin">
        <color rgb="FFFFFFFF"/>
      </left>
      <right style="medium">
        <color rgb="FFFFFFFF"/>
      </right>
      <top style="thin">
        <color rgb="FFFFFFFF"/>
      </top>
      <bottom/>
      <diagonal/>
    </border>
    <border>
      <left style="medium">
        <color rgb="FFFFFFFF"/>
      </left>
      <right style="thin">
        <color rgb="FFFFFFFF"/>
      </right>
      <top/>
      <bottom style="medium">
        <color rgb="FFFFFFFF"/>
      </bottom>
      <diagonal/>
    </border>
    <border>
      <left style="thin">
        <color rgb="FFFFFFFF"/>
      </left>
      <right style="thin">
        <color rgb="FFFFFFFF"/>
      </right>
      <top/>
      <bottom style="medium">
        <color rgb="FFFFFFFF"/>
      </bottom>
      <diagonal/>
    </border>
    <border>
      <left style="thin">
        <color rgb="FFFFFFFF"/>
      </left>
      <right style="medium">
        <color rgb="FFFFFFFF"/>
      </right>
      <top/>
      <bottom style="medium">
        <color rgb="FFFFFFFF"/>
      </bottom>
      <diagonal/>
    </border>
    <border>
      <left/>
      <right/>
      <top style="medium">
        <color rgb="FFFFFFFF"/>
      </top>
      <bottom/>
      <diagonal/>
    </border>
    <border>
      <left style="thin">
        <color rgb="FFFFFFFF"/>
      </left>
      <right style="double">
        <color rgb="FFFFFFFF"/>
      </right>
      <top style="medium">
        <color rgb="FFFFFFFF"/>
      </top>
      <bottom/>
      <diagonal/>
    </border>
    <border>
      <left style="thin">
        <color rgb="FFFFFFFF"/>
      </left>
      <right style="double">
        <color rgb="FFFFFFFF"/>
      </right>
      <top style="medium">
        <color rgb="FFFFFFFF"/>
      </top>
      <bottom style="medium">
        <color rgb="FFFFFFFF"/>
      </bottom>
      <diagonal/>
    </border>
    <border>
      <left style="thin">
        <color rgb="FFFFFFFF"/>
      </left>
      <right style="double">
        <color rgb="FFFFFFFF"/>
      </right>
      <top style="thin">
        <color rgb="FFFFFFFF"/>
      </top>
      <bottom style="medium">
        <color rgb="FFFFFFFF"/>
      </bottom>
      <diagonal/>
    </border>
    <border>
      <left/>
      <right style="thin">
        <color rgb="FFFFFFFF"/>
      </right>
      <top/>
      <bottom/>
      <diagonal/>
    </border>
    <border>
      <left style="medium">
        <color rgb="FFFFFFFF"/>
      </left>
      <right style="medium">
        <color rgb="FFFFFFFF"/>
      </right>
      <top style="medium">
        <color rgb="FFFFFFFF"/>
      </top>
      <bottom style="medium">
        <color rgb="FFFFFFFF"/>
      </bottom>
      <diagonal/>
    </border>
    <border>
      <left style="medium">
        <color rgb="FFFFFFFF"/>
      </left>
      <right/>
      <top/>
      <bottom/>
      <diagonal/>
    </border>
    <border>
      <left style="medium">
        <color rgb="FFFFFFFF"/>
      </left>
      <right style="double">
        <color rgb="FFFFFFFF"/>
      </right>
      <top style="medium">
        <color rgb="FFFFFFFF"/>
      </top>
      <bottom/>
      <diagonal/>
    </border>
    <border>
      <left style="medium">
        <color rgb="FFFFFFFF"/>
      </left>
      <right/>
      <top style="thin">
        <color rgb="FFFFFFFF"/>
      </top>
      <bottom/>
      <diagonal/>
    </border>
    <border>
      <left style="thin">
        <color rgb="FFFFFFFF"/>
      </left>
      <right style="double">
        <color rgb="FFFFFFFF"/>
      </right>
      <top style="thin">
        <color rgb="FFFFFFFF"/>
      </top>
      <bottom/>
      <diagonal/>
    </border>
    <border>
      <left style="medium">
        <color rgb="FFFFFFFF"/>
      </left>
      <right style="double">
        <color rgb="FFFFFFFF"/>
      </right>
      <top style="thin">
        <color rgb="FFFFFFFF"/>
      </top>
      <bottom/>
      <diagonal/>
    </border>
    <border>
      <left style="thin">
        <color rgb="FFFFFFFF"/>
      </left>
      <right style="double">
        <color rgb="FFFFFFFF"/>
      </right>
      <top/>
      <bottom/>
      <diagonal/>
    </border>
    <border>
      <left/>
      <right/>
      <top style="thin">
        <color rgb="FFFFFFFF"/>
      </top>
      <bottom style="medium">
        <color rgb="FFFFFFFF"/>
      </bottom>
      <diagonal/>
    </border>
    <border>
      <left style="medium">
        <color rgb="FFFFFFFF"/>
      </left>
      <right style="double">
        <color rgb="FFFFFFFF"/>
      </right>
      <top style="thin">
        <color rgb="FFFFFFFF"/>
      </top>
      <bottom style="medium">
        <color rgb="FFFFFFFF"/>
      </bottom>
      <diagonal/>
    </border>
    <border>
      <left/>
      <right style="medium">
        <color rgb="FFFFFFFF"/>
      </right>
      <top/>
      <bottom style="medium">
        <color rgb="FFFFFFFF"/>
      </bottom>
      <diagonal/>
    </border>
    <border>
      <left style="medium">
        <color rgb="FFFFFFFF"/>
      </left>
      <right style="double">
        <color rgb="FFFFFFFF"/>
      </right>
      <top style="medium">
        <color rgb="FFFFFFFF"/>
      </top>
      <bottom style="medium">
        <color rgb="FFFFFFFF"/>
      </bottom>
      <diagonal/>
    </border>
    <border>
      <left style="double">
        <color rgb="FFFFFFFF"/>
      </left>
      <right style="double">
        <color rgb="FFFFFFFF"/>
      </right>
      <top style="medium">
        <color rgb="FFFFFFFF"/>
      </top>
      <bottom style="medium">
        <color rgb="FFFFFFFF"/>
      </bottom>
      <diagonal/>
    </border>
    <border>
      <left style="medium">
        <color rgb="FFFFFFFF"/>
      </left>
      <right style="double">
        <color rgb="FFFFFFFF"/>
      </right>
      <top/>
      <bottom/>
      <diagonal/>
    </border>
    <border>
      <left style="medium">
        <color rgb="FFFFFFFF"/>
      </left>
      <right style="medium">
        <color rgb="FFFFFFFF"/>
      </right>
      <top/>
      <bottom style="thin">
        <color rgb="FFFFFFFF"/>
      </bottom>
      <diagonal/>
    </border>
    <border>
      <left style="medium">
        <color rgb="FFFFFFFF"/>
      </left>
      <right style="medium">
        <color rgb="FFFFFFFF"/>
      </right>
      <top style="medium">
        <color rgb="FFFFFFFF"/>
      </top>
      <bottom style="thin">
        <color rgb="FFFFFFFF"/>
      </bottom>
      <diagonal/>
    </border>
    <border>
      <left style="medium">
        <color rgb="FFFFFFFF"/>
      </left>
      <right style="medium">
        <color rgb="FFFFFFFF"/>
      </right>
      <top style="medium">
        <color rgb="FFFFFFFF"/>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style="dashed">
        <color indexed="64"/>
      </left>
      <right/>
      <top style="thin">
        <color indexed="64"/>
      </top>
      <bottom style="thin">
        <color indexed="64"/>
      </bottom>
      <diagonal/>
    </border>
    <border>
      <left style="dashed">
        <color indexed="64"/>
      </left>
      <right/>
      <top/>
      <bottom style="thin">
        <color indexed="64"/>
      </bottom>
      <diagonal/>
    </border>
    <border>
      <left style="dashed">
        <color indexed="64"/>
      </left>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diagonal/>
    </border>
    <border>
      <left style="thin">
        <color indexed="64"/>
      </left>
      <right style="thin">
        <color rgb="FFFFFFFF"/>
      </right>
      <top style="thin">
        <color indexed="64"/>
      </top>
      <bottom style="thin">
        <color indexed="64"/>
      </bottom>
      <diagonal/>
    </border>
    <border>
      <left style="thin">
        <color rgb="FFFFFFFF"/>
      </left>
      <right style="thin">
        <color rgb="FFFFFFFF"/>
      </right>
      <top style="thin">
        <color indexed="64"/>
      </top>
      <bottom style="thin">
        <color indexed="64"/>
      </bottom>
      <diagonal/>
    </border>
    <border>
      <left style="thin">
        <color indexed="64"/>
      </left>
      <right style="thin">
        <color rgb="FFFFFFFF"/>
      </right>
      <top style="thin">
        <color rgb="FFFFFFFF"/>
      </top>
      <bottom/>
      <diagonal/>
    </border>
    <border>
      <left style="thin">
        <color rgb="FFFFFFFF"/>
      </left>
      <right style="thin">
        <color rgb="FFFFFFFF"/>
      </right>
      <top/>
      <bottom style="thin">
        <color indexed="64"/>
      </bottom>
      <diagonal/>
    </border>
    <border>
      <left style="thin">
        <color rgb="FFFFFFFF"/>
      </left>
      <right/>
      <top/>
      <bottom style="thin">
        <color indexed="64"/>
      </bottom>
      <diagonal/>
    </border>
    <border>
      <left style="dashed">
        <color indexed="64"/>
      </left>
      <right style="thin">
        <color rgb="FFFFFFFF"/>
      </right>
      <top/>
      <bottom style="thin">
        <color indexed="64"/>
      </bottom>
      <diagonal/>
    </border>
    <border>
      <left style="dashed">
        <color indexed="64"/>
      </left>
      <right style="thin">
        <color rgb="FFFFFFFF"/>
      </right>
      <top/>
      <bottom/>
      <diagonal/>
    </border>
    <border>
      <left style="dashed">
        <color indexed="64"/>
      </left>
      <right style="medium">
        <color rgb="FFFFFFFF"/>
      </right>
      <top/>
      <bottom style="thin">
        <color indexed="64"/>
      </bottom>
      <diagonal/>
    </border>
    <border>
      <left style="dashed">
        <color indexed="64"/>
      </left>
      <right style="thin">
        <color indexed="64"/>
      </right>
      <top style="thin">
        <color indexed="64"/>
      </top>
      <bottom style="thin">
        <color indexed="64"/>
      </bottom>
      <diagonal/>
    </border>
    <border>
      <left style="dashed">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dashed">
        <color indexed="64"/>
      </left>
      <right style="thin">
        <color indexed="64"/>
      </right>
      <top style="thin">
        <color indexed="64"/>
      </top>
      <bottom/>
      <diagonal/>
    </border>
    <border>
      <left style="dashed">
        <color indexed="64"/>
      </left>
      <right style="thin">
        <color indexed="64"/>
      </right>
      <top/>
      <bottom/>
      <diagonal/>
    </border>
    <border>
      <left style="dashed">
        <color indexed="64"/>
      </left>
      <right/>
      <top style="thin">
        <color indexed="64"/>
      </top>
      <bottom/>
      <diagonal/>
    </border>
    <border>
      <left style="thin">
        <color indexed="64"/>
      </left>
      <right style="thin">
        <color rgb="FFFFFFFF"/>
      </right>
      <top style="thin">
        <color rgb="FFFFFFFF"/>
      </top>
      <bottom style="thin">
        <color rgb="FFFFFFFF"/>
      </bottom>
      <diagonal/>
    </border>
    <border>
      <left style="thin">
        <color indexed="64"/>
      </left>
      <right/>
      <top style="thin">
        <color rgb="FFFFFFFF"/>
      </top>
      <bottom style="thin">
        <color rgb="FFFFFFFF"/>
      </bottom>
      <diagonal/>
    </border>
    <border>
      <left/>
      <right style="thin">
        <color rgb="FFFFFFFF"/>
      </right>
      <top/>
      <bottom style="thin">
        <color indexed="64"/>
      </bottom>
      <diagonal/>
    </border>
    <border>
      <left style="dashed">
        <color indexed="64"/>
      </left>
      <right style="dashed">
        <color indexed="64"/>
      </right>
      <top/>
      <bottom/>
      <diagonal/>
    </border>
    <border>
      <left style="thin">
        <color rgb="FFFFFFFF"/>
      </left>
      <right style="dashed">
        <color indexed="64"/>
      </right>
      <top/>
      <bottom/>
      <diagonal/>
    </border>
    <border>
      <left style="thin">
        <color indexed="64"/>
      </left>
      <right style="thin">
        <color rgb="FFFFFFFF"/>
      </right>
      <top/>
      <bottom/>
      <diagonal/>
    </border>
    <border>
      <left/>
      <right style="double">
        <color rgb="FFFFFFFF"/>
      </right>
      <top/>
      <bottom/>
      <diagonal/>
    </border>
    <border>
      <left/>
      <right style="double">
        <color rgb="FFFFFFFF"/>
      </right>
      <top style="thin">
        <color rgb="FFFFFFFF"/>
      </top>
      <bottom/>
      <diagonal/>
    </border>
    <border>
      <left/>
      <right/>
      <top style="thin">
        <color rgb="FFFFFFFF"/>
      </top>
      <bottom style="medium">
        <color indexed="64"/>
      </bottom>
      <diagonal/>
    </border>
    <border>
      <left style="thin">
        <color rgb="FFFFFFFF"/>
      </left>
      <right style="double">
        <color rgb="FFFFFFFF"/>
      </right>
      <top/>
      <bottom style="thin">
        <color indexed="64"/>
      </bottom>
      <diagonal/>
    </border>
    <border>
      <left style="dashed">
        <color indexed="64"/>
      </left>
      <right style="double">
        <color rgb="FFFFFFFF"/>
      </right>
      <top/>
      <bottom style="thin">
        <color indexed="64"/>
      </bottom>
      <diagonal/>
    </border>
    <border>
      <left style="medium">
        <color indexed="64"/>
      </left>
      <right style="thin">
        <color indexed="64"/>
      </right>
      <top/>
      <bottom style="thin">
        <color indexed="64"/>
      </bottom>
      <diagonal/>
    </border>
    <border>
      <left style="dashed">
        <color indexed="64"/>
      </left>
      <right style="medium">
        <color indexed="64"/>
      </right>
      <top/>
      <bottom/>
      <diagonal/>
    </border>
    <border>
      <left style="thin">
        <color rgb="FFFFFFFF"/>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double">
        <color rgb="FFFFFFFF"/>
      </right>
      <top style="thin">
        <color indexed="64"/>
      </top>
      <bottom/>
      <diagonal/>
    </border>
    <border>
      <left style="double">
        <color rgb="FFFFFFFF"/>
      </left>
      <right style="thin">
        <color rgb="FFFFFFFF"/>
      </right>
      <top style="thin">
        <color indexed="64"/>
      </top>
      <bottom/>
      <diagonal/>
    </border>
    <border>
      <left style="thin">
        <color rgb="FFFFFFFF"/>
      </left>
      <right/>
      <top style="thin">
        <color indexed="64"/>
      </top>
      <bottom/>
      <diagonal/>
    </border>
    <border>
      <left style="medium">
        <color rgb="FFFFFFFF"/>
      </left>
      <right/>
      <top style="thin">
        <color indexed="64"/>
      </top>
      <bottom/>
      <diagonal/>
    </border>
    <border>
      <left style="thin">
        <color indexed="64"/>
      </left>
      <right style="thin">
        <color rgb="FFFFFFFF"/>
      </right>
      <top style="thin">
        <color indexed="64"/>
      </top>
      <bottom/>
      <diagonal/>
    </border>
    <border>
      <left style="thin">
        <color rgb="FFFFFFFF"/>
      </left>
      <right style="thin">
        <color rgb="FFFFFFFF"/>
      </right>
      <top style="thin">
        <color indexed="64"/>
      </top>
      <bottom/>
      <diagonal/>
    </border>
    <border>
      <left style="thin">
        <color rgb="FFFFFFFF"/>
      </left>
      <right style="thin">
        <color indexed="64"/>
      </right>
      <top style="thin">
        <color indexed="64"/>
      </top>
      <bottom/>
      <diagonal/>
    </border>
    <border>
      <left style="thin">
        <color indexed="64"/>
      </left>
      <right style="thin">
        <color rgb="FFFFFFFF"/>
      </right>
      <top/>
      <bottom style="thin">
        <color indexed="64"/>
      </bottom>
      <diagonal/>
    </border>
    <border>
      <left style="thin">
        <color rgb="FFFFFFFF"/>
      </left>
      <right style="thin">
        <color indexed="64"/>
      </right>
      <top/>
      <bottom style="thin">
        <color indexed="64"/>
      </bottom>
      <diagonal/>
    </border>
  </borders>
  <cellStyleXfs count="6">
    <xf numFmtId="0" fontId="0" fillId="0" borderId="0"/>
    <xf numFmtId="167"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xf numFmtId="0" fontId="12" fillId="0" borderId="0" applyNumberFormat="0" applyFill="0" applyBorder="0" applyAlignment="0" applyProtection="0"/>
    <xf numFmtId="0" fontId="13" fillId="0" borderId="0"/>
  </cellStyleXfs>
  <cellXfs count="1357">
    <xf numFmtId="0" fontId="0" fillId="0" borderId="0" xfId="0"/>
    <xf numFmtId="14" fontId="0" fillId="0" borderId="0" xfId="0" applyNumberFormat="1"/>
    <xf numFmtId="167" fontId="0" fillId="0" borderId="0" xfId="1" applyFont="1"/>
    <xf numFmtId="170" fontId="0" fillId="0" borderId="0" xfId="3" applyNumberFormat="1" applyFont="1"/>
    <xf numFmtId="0" fontId="3" fillId="0" borderId="0" xfId="0" applyFont="1" applyAlignment="1">
      <alignment horizontal="center"/>
    </xf>
    <xf numFmtId="0" fontId="3" fillId="0" borderId="0" xfId="0" applyFont="1"/>
    <xf numFmtId="0" fontId="4" fillId="0" borderId="0" xfId="0" applyFont="1"/>
    <xf numFmtId="0" fontId="0" fillId="0" borderId="13" xfId="0" applyBorder="1"/>
    <xf numFmtId="0" fontId="0" fillId="0" borderId="0" xfId="0" applyAlignment="1">
      <alignment shrinkToFit="1"/>
    </xf>
    <xf numFmtId="3" fontId="0" fillId="0" borderId="0" xfId="0" applyNumberFormat="1"/>
    <xf numFmtId="0" fontId="2" fillId="0" borderId="0" xfId="0" applyFont="1"/>
    <xf numFmtId="49" fontId="0" fillId="0" borderId="0" xfId="0" applyNumberFormat="1" applyAlignment="1">
      <alignment shrinkToFit="1"/>
    </xf>
    <xf numFmtId="0" fontId="9" fillId="0" borderId="0" xfId="0" applyFont="1"/>
    <xf numFmtId="170" fontId="0" fillId="0" borderId="0" xfId="3" applyNumberFormat="1" applyFont="1" applyAlignment="1">
      <alignment horizontal="center"/>
    </xf>
    <xf numFmtId="0" fontId="4" fillId="0" borderId="0" xfId="0" applyFont="1" applyAlignment="1">
      <alignment horizontal="right"/>
    </xf>
    <xf numFmtId="170" fontId="17" fillId="0" borderId="0" xfId="3" applyNumberFormat="1" applyFont="1" applyBorder="1" applyAlignment="1">
      <alignment horizontal="center" vertical="center"/>
    </xf>
    <xf numFmtId="0" fontId="16" fillId="0" borderId="0" xfId="0" applyFont="1" applyAlignment="1">
      <alignment horizontal="center"/>
    </xf>
    <xf numFmtId="170" fontId="7" fillId="0" borderId="0" xfId="3" applyNumberFormat="1" applyFont="1" applyBorder="1" applyAlignment="1">
      <alignment horizontal="center" vertical="center"/>
    </xf>
    <xf numFmtId="0" fontId="17" fillId="0" borderId="0" xfId="0" applyFont="1"/>
    <xf numFmtId="170" fontId="7" fillId="0" borderId="0" xfId="3" applyNumberFormat="1" applyFont="1" applyAlignment="1">
      <alignment horizontal="center" vertical="center"/>
    </xf>
    <xf numFmtId="171" fontId="8" fillId="0" borderId="0" xfId="1" applyNumberFormat="1" applyFont="1"/>
    <xf numFmtId="171" fontId="0" fillId="0" borderId="0" xfId="1" applyNumberFormat="1" applyFont="1"/>
    <xf numFmtId="0" fontId="8" fillId="0" borderId="0" xfId="0" applyFont="1" applyAlignment="1">
      <alignment shrinkToFit="1"/>
    </xf>
    <xf numFmtId="0" fontId="18" fillId="0" borderId="0" xfId="0" applyFont="1" applyAlignment="1">
      <alignment shrinkToFit="1"/>
    </xf>
    <xf numFmtId="168" fontId="8" fillId="0" borderId="0" xfId="1" applyNumberFormat="1" applyFont="1" applyAlignment="1">
      <alignment shrinkToFit="1"/>
    </xf>
    <xf numFmtId="167" fontId="4" fillId="0" borderId="0" xfId="1" applyFont="1"/>
    <xf numFmtId="0" fontId="6" fillId="0" borderId="0" xfId="0" applyFont="1"/>
    <xf numFmtId="9" fontId="4" fillId="0" borderId="0" xfId="2" applyFont="1"/>
    <xf numFmtId="0" fontId="20" fillId="0" borderId="0" xfId="0" applyFont="1"/>
    <xf numFmtId="167" fontId="6" fillId="0" borderId="0" xfId="1" applyFont="1"/>
    <xf numFmtId="167" fontId="6" fillId="0" borderId="0" xfId="1" applyFont="1" applyAlignment="1">
      <alignment shrinkToFit="1"/>
    </xf>
    <xf numFmtId="170" fontId="17" fillId="0" borderId="0" xfId="3" applyNumberFormat="1" applyFont="1" applyBorder="1" applyAlignment="1">
      <alignment horizontal="center" vertical="center" shrinkToFit="1"/>
    </xf>
    <xf numFmtId="173" fontId="0" fillId="0" borderId="0" xfId="3" applyNumberFormat="1" applyFont="1"/>
    <xf numFmtId="0" fontId="21" fillId="0" borderId="0" xfId="0" applyFont="1" applyAlignment="1">
      <alignment horizontal="center" vertical="center"/>
    </xf>
    <xf numFmtId="0" fontId="3" fillId="3" borderId="0" xfId="0" applyFont="1" applyFill="1" applyAlignment="1">
      <alignment vertical="center"/>
    </xf>
    <xf numFmtId="0" fontId="3" fillId="3" borderId="0" xfId="0" applyFont="1" applyFill="1" applyAlignment="1">
      <alignment vertical="center" shrinkToFit="1"/>
    </xf>
    <xf numFmtId="170" fontId="3" fillId="3" borderId="0" xfId="3" applyNumberFormat="1" applyFont="1" applyFill="1" applyAlignment="1">
      <alignment vertical="center"/>
    </xf>
    <xf numFmtId="0" fontId="14" fillId="4" borderId="0" xfId="0" applyFont="1" applyFill="1" applyAlignment="1">
      <alignment vertical="center"/>
    </xf>
    <xf numFmtId="0" fontId="23" fillId="4" borderId="0" xfId="0" applyFont="1" applyFill="1" applyAlignment="1">
      <alignment vertical="center"/>
    </xf>
    <xf numFmtId="0" fontId="23" fillId="4" borderId="0" xfId="0" applyFont="1" applyFill="1" applyAlignment="1">
      <alignment vertical="center" shrinkToFit="1"/>
    </xf>
    <xf numFmtId="170" fontId="23" fillId="4" borderId="0" xfId="3" applyNumberFormat="1" applyFont="1" applyFill="1" applyAlignment="1">
      <alignment vertical="center"/>
    </xf>
    <xf numFmtId="0" fontId="23" fillId="4" borderId="12" xfId="0" applyFont="1" applyFill="1" applyBorder="1" applyAlignment="1">
      <alignment vertical="center"/>
    </xf>
    <xf numFmtId="0" fontId="22" fillId="4" borderId="0" xfId="0" applyFont="1" applyFill="1" applyAlignment="1">
      <alignment horizontal="center" vertical="center" shrinkToFit="1"/>
    </xf>
    <xf numFmtId="0" fontId="23" fillId="4" borderId="13" xfId="0" applyFont="1" applyFill="1" applyBorder="1" applyAlignment="1">
      <alignment vertical="center"/>
    </xf>
    <xf numFmtId="0" fontId="25" fillId="4" borderId="0" xfId="0" applyFont="1" applyFill="1" applyAlignment="1">
      <alignment vertical="center"/>
    </xf>
    <xf numFmtId="167" fontId="23" fillId="4" borderId="0" xfId="1" applyFont="1" applyFill="1" applyBorder="1" applyAlignment="1">
      <alignment vertical="center"/>
    </xf>
    <xf numFmtId="167" fontId="23" fillId="4" borderId="0" xfId="1" applyFont="1" applyFill="1" applyAlignment="1">
      <alignment vertical="center"/>
    </xf>
    <xf numFmtId="0" fontId="23" fillId="4" borderId="0" xfId="0" applyFont="1" applyFill="1" applyAlignment="1">
      <alignment horizontal="center"/>
    </xf>
    <xf numFmtId="0" fontId="19" fillId="4" borderId="0" xfId="0" applyFont="1" applyFill="1"/>
    <xf numFmtId="9" fontId="19" fillId="4" borderId="0" xfId="2" applyFont="1" applyFill="1"/>
    <xf numFmtId="171" fontId="19" fillId="4" borderId="0" xfId="1" applyNumberFormat="1" applyFont="1" applyFill="1"/>
    <xf numFmtId="0" fontId="29" fillId="4" borderId="0" xfId="0" applyFont="1" applyFill="1"/>
    <xf numFmtId="0" fontId="28" fillId="4" borderId="0" xfId="0" applyFont="1" applyFill="1"/>
    <xf numFmtId="0" fontId="19" fillId="4" borderId="0" xfId="0" applyFont="1" applyFill="1" applyAlignment="1">
      <alignment horizontal="right"/>
    </xf>
    <xf numFmtId="171" fontId="28" fillId="4" borderId="0" xfId="1" applyNumberFormat="1" applyFont="1" applyFill="1"/>
    <xf numFmtId="171" fontId="28" fillId="4" borderId="0" xfId="1" applyNumberFormat="1" applyFont="1" applyFill="1" applyAlignment="1">
      <alignment shrinkToFit="1"/>
    </xf>
    <xf numFmtId="0" fontId="22" fillId="4" borderId="0" xfId="0" applyFont="1" applyFill="1" applyAlignment="1">
      <alignment shrinkToFit="1"/>
    </xf>
    <xf numFmtId="0" fontId="24" fillId="4" borderId="0" xfId="0" applyFont="1" applyFill="1" applyAlignment="1">
      <alignment shrinkToFit="1"/>
    </xf>
    <xf numFmtId="171" fontId="24" fillId="5" borderId="0" xfId="1" applyNumberFormat="1" applyFont="1" applyFill="1" applyBorder="1" applyAlignment="1">
      <alignment shrinkToFit="1"/>
    </xf>
    <xf numFmtId="171" fontId="22" fillId="5" borderId="0" xfId="1" applyNumberFormat="1" applyFont="1" applyFill="1" applyBorder="1" applyAlignment="1">
      <alignment shrinkToFit="1"/>
    </xf>
    <xf numFmtId="171" fontId="22" fillId="4" borderId="0" xfId="0" applyNumberFormat="1" applyFont="1" applyFill="1" applyAlignment="1">
      <alignment shrinkToFit="1"/>
    </xf>
    <xf numFmtId="171" fontId="22" fillId="4" borderId="0" xfId="1" applyNumberFormat="1" applyFont="1" applyFill="1" applyBorder="1" applyAlignment="1">
      <alignment shrinkToFit="1"/>
    </xf>
    <xf numFmtId="168" fontId="22" fillId="4" borderId="0" xfId="1" applyNumberFormat="1" applyFont="1" applyFill="1" applyAlignment="1">
      <alignment shrinkToFit="1"/>
    </xf>
    <xf numFmtId="0" fontId="14" fillId="4" borderId="0" xfId="0" applyFont="1" applyFill="1"/>
    <xf numFmtId="171" fontId="23" fillId="4" borderId="0" xfId="1" applyNumberFormat="1" applyFont="1" applyFill="1"/>
    <xf numFmtId="171" fontId="22" fillId="4" borderId="0" xfId="1" applyNumberFormat="1" applyFont="1" applyFill="1"/>
    <xf numFmtId="170" fontId="31" fillId="4" borderId="0" xfId="3" applyNumberFormat="1" applyFont="1" applyFill="1" applyBorder="1" applyAlignment="1">
      <alignment horizontal="center" vertical="center"/>
    </xf>
    <xf numFmtId="170" fontId="32" fillId="4" borderId="0" xfId="3" applyNumberFormat="1" applyFont="1" applyFill="1" applyBorder="1" applyAlignment="1">
      <alignment horizontal="center" vertical="center" shrinkToFit="1"/>
    </xf>
    <xf numFmtId="0" fontId="34" fillId="4" borderId="0" xfId="5" applyFont="1" applyFill="1"/>
    <xf numFmtId="0" fontId="34" fillId="4" borderId="0" xfId="5" applyFont="1" applyFill="1" applyAlignment="1">
      <alignment wrapText="1"/>
    </xf>
    <xf numFmtId="167" fontId="14" fillId="4" borderId="0" xfId="1" applyFont="1" applyFill="1"/>
    <xf numFmtId="0" fontId="14" fillId="4" borderId="0" xfId="0" applyFont="1" applyFill="1" applyAlignment="1">
      <alignment shrinkToFit="1"/>
    </xf>
    <xf numFmtId="167" fontId="14" fillId="6" borderId="0" xfId="1" applyFont="1" applyFill="1" applyBorder="1" applyAlignment="1">
      <alignment horizontal="center"/>
    </xf>
    <xf numFmtId="167" fontId="14" fillId="4" borderId="0" xfId="1" applyFont="1" applyFill="1" applyAlignment="1">
      <alignment horizontal="right"/>
    </xf>
    <xf numFmtId="49" fontId="14" fillId="4" borderId="0" xfId="0" applyNumberFormat="1" applyFont="1" applyFill="1" applyAlignment="1">
      <alignment shrinkToFit="1"/>
    </xf>
    <xf numFmtId="3" fontId="14" fillId="4" borderId="0" xfId="0" applyNumberFormat="1" applyFont="1" applyFill="1"/>
    <xf numFmtId="170" fontId="14" fillId="4" borderId="0" xfId="1" applyNumberFormat="1" applyFont="1" applyFill="1" applyBorder="1"/>
    <xf numFmtId="170" fontId="14" fillId="4" borderId="0" xfId="3" applyNumberFormat="1" applyFont="1" applyFill="1" applyBorder="1"/>
    <xf numFmtId="167" fontId="14" fillId="4" borderId="0" xfId="1" applyFont="1" applyFill="1" applyBorder="1"/>
    <xf numFmtId="49" fontId="14" fillId="4" borderId="0" xfId="1" quotePrefix="1" applyNumberFormat="1" applyFont="1" applyFill="1" applyBorder="1" applyAlignment="1">
      <alignment shrinkToFit="1"/>
    </xf>
    <xf numFmtId="3" fontId="14" fillId="4" borderId="0" xfId="1" applyNumberFormat="1" applyFont="1" applyFill="1" applyBorder="1"/>
    <xf numFmtId="171" fontId="14" fillId="4" borderId="0" xfId="1" applyNumberFormat="1" applyFont="1" applyFill="1" applyBorder="1"/>
    <xf numFmtId="167" fontId="14" fillId="4" borderId="0" xfId="1" applyFont="1" applyFill="1" applyBorder="1" applyAlignment="1">
      <alignment shrinkToFit="1"/>
    </xf>
    <xf numFmtId="0" fontId="37" fillId="4" borderId="0" xfId="0" applyFont="1" applyFill="1"/>
    <xf numFmtId="171" fontId="14" fillId="4" borderId="0" xfId="1" applyNumberFormat="1" applyFont="1" applyFill="1"/>
    <xf numFmtId="0" fontId="23" fillId="4" borderId="0" xfId="0" applyFont="1" applyFill="1"/>
    <xf numFmtId="10" fontId="14" fillId="4" borderId="0" xfId="0" applyNumberFormat="1" applyFont="1" applyFill="1"/>
    <xf numFmtId="167" fontId="23" fillId="4" borderId="21" xfId="1" applyFont="1" applyFill="1" applyBorder="1" applyAlignment="1">
      <alignment vertical="center"/>
    </xf>
    <xf numFmtId="171" fontId="23" fillId="4" borderId="21" xfId="0" applyNumberFormat="1" applyFont="1" applyFill="1" applyBorder="1" applyAlignment="1">
      <alignment vertical="center"/>
    </xf>
    <xf numFmtId="0" fontId="14" fillId="4" borderId="31" xfId="0" applyFont="1" applyFill="1" applyBorder="1" applyAlignment="1">
      <alignment vertical="center"/>
    </xf>
    <xf numFmtId="167" fontId="23" fillId="4" borderId="21" xfId="0" applyNumberFormat="1" applyFont="1" applyFill="1" applyBorder="1" applyAlignment="1">
      <alignment vertical="center"/>
    </xf>
    <xf numFmtId="0" fontId="23" fillId="4" borderId="28" xfId="0" applyFont="1" applyFill="1" applyBorder="1" applyAlignment="1">
      <alignment horizontal="left"/>
    </xf>
    <xf numFmtId="0" fontId="23" fillId="4" borderId="36" xfId="0" applyFont="1" applyFill="1" applyBorder="1" applyAlignment="1">
      <alignment horizontal="center"/>
    </xf>
    <xf numFmtId="0" fontId="23" fillId="4" borderId="37" xfId="0" applyFont="1" applyFill="1" applyBorder="1" applyAlignment="1">
      <alignment horizontal="center"/>
    </xf>
    <xf numFmtId="0" fontId="23" fillId="4" borderId="38" xfId="0" applyFont="1" applyFill="1" applyBorder="1" applyAlignment="1">
      <alignment horizontal="right"/>
    </xf>
    <xf numFmtId="0" fontId="27" fillId="4" borderId="39" xfId="0" applyFont="1" applyFill="1" applyBorder="1"/>
    <xf numFmtId="171" fontId="27" fillId="4" borderId="39" xfId="1" applyNumberFormat="1" applyFont="1" applyFill="1" applyBorder="1"/>
    <xf numFmtId="171" fontId="27" fillId="4" borderId="25" xfId="1" applyNumberFormat="1" applyFont="1" applyFill="1" applyBorder="1" applyAlignment="1">
      <alignment horizontal="right"/>
    </xf>
    <xf numFmtId="9" fontId="19" fillId="4" borderId="32" xfId="2" applyFont="1" applyFill="1" applyBorder="1"/>
    <xf numFmtId="9" fontId="28" fillId="4" borderId="32" xfId="2" applyFont="1" applyFill="1" applyBorder="1"/>
    <xf numFmtId="9" fontId="28" fillId="4" borderId="44" xfId="2" applyFont="1" applyFill="1" applyBorder="1" applyAlignment="1">
      <alignment horizontal="right"/>
    </xf>
    <xf numFmtId="0" fontId="19" fillId="4" borderId="30" xfId="0" applyFont="1" applyFill="1" applyBorder="1"/>
    <xf numFmtId="171" fontId="27" fillId="4" borderId="30" xfId="1" applyNumberFormat="1" applyFont="1" applyFill="1" applyBorder="1"/>
    <xf numFmtId="171" fontId="27" fillId="4" borderId="46" xfId="1" applyNumberFormat="1" applyFont="1" applyFill="1" applyBorder="1" applyAlignment="1">
      <alignment horizontal="right"/>
    </xf>
    <xf numFmtId="167" fontId="28" fillId="4" borderId="41" xfId="1" applyFont="1" applyFill="1" applyBorder="1"/>
    <xf numFmtId="171" fontId="28" fillId="4" borderId="41" xfId="1" applyNumberFormat="1" applyFont="1" applyFill="1" applyBorder="1"/>
    <xf numFmtId="171" fontId="29" fillId="4" borderId="42" xfId="1" applyNumberFormat="1" applyFont="1" applyFill="1" applyBorder="1" applyAlignment="1">
      <alignment horizontal="right"/>
    </xf>
    <xf numFmtId="9" fontId="28" fillId="4" borderId="32" xfId="2" applyFont="1" applyFill="1" applyBorder="1" applyAlignment="1">
      <alignment horizontal="right"/>
    </xf>
    <xf numFmtId="0" fontId="29" fillId="4" borderId="41" xfId="0" applyFont="1" applyFill="1" applyBorder="1"/>
    <xf numFmtId="171" fontId="29" fillId="4" borderId="41" xfId="1" applyNumberFormat="1" applyFont="1" applyFill="1" applyBorder="1"/>
    <xf numFmtId="0" fontId="28" fillId="4" borderId="41" xfId="0" applyFont="1" applyFill="1" applyBorder="1"/>
    <xf numFmtId="9" fontId="19" fillId="4" borderId="48" xfId="2" applyFont="1" applyFill="1" applyBorder="1"/>
    <xf numFmtId="9" fontId="28" fillId="4" borderId="48" xfId="2" applyFont="1" applyFill="1" applyBorder="1" applyAlignment="1">
      <alignment horizontal="right"/>
    </xf>
    <xf numFmtId="9" fontId="28" fillId="4" borderId="49" xfId="2" applyFont="1" applyFill="1" applyBorder="1" applyAlignment="1">
      <alignment horizontal="right"/>
    </xf>
    <xf numFmtId="0" fontId="19" fillId="4" borderId="32" xfId="0" applyFont="1" applyFill="1" applyBorder="1"/>
    <xf numFmtId="0" fontId="19" fillId="4" borderId="48" xfId="0" applyFont="1" applyFill="1" applyBorder="1"/>
    <xf numFmtId="171" fontId="28" fillId="4" borderId="32" xfId="2" applyNumberFormat="1" applyFont="1" applyFill="1" applyBorder="1"/>
    <xf numFmtId="171" fontId="28" fillId="4" borderId="44" xfId="2" applyNumberFormat="1" applyFont="1" applyFill="1" applyBorder="1" applyAlignment="1">
      <alignment horizontal="right"/>
    </xf>
    <xf numFmtId="167" fontId="29" fillId="4" borderId="41" xfId="1" applyFont="1" applyFill="1" applyBorder="1" applyAlignment="1">
      <alignment shrinkToFit="1"/>
    </xf>
    <xf numFmtId="171" fontId="29" fillId="4" borderId="41" xfId="1" applyNumberFormat="1" applyFont="1" applyFill="1" applyBorder="1" applyAlignment="1">
      <alignment shrinkToFit="1"/>
    </xf>
    <xf numFmtId="171" fontId="29" fillId="4" borderId="42" xfId="1" applyNumberFormat="1" applyFont="1" applyFill="1" applyBorder="1" applyAlignment="1">
      <alignment horizontal="right" shrinkToFit="1"/>
    </xf>
    <xf numFmtId="171" fontId="27" fillId="4" borderId="30" xfId="1" applyNumberFormat="1" applyFont="1" applyFill="1" applyBorder="1" applyAlignment="1">
      <alignment horizontal="right"/>
    </xf>
    <xf numFmtId="171" fontId="29" fillId="4" borderId="41" xfId="1" applyNumberFormat="1" applyFont="1" applyFill="1" applyBorder="1" applyAlignment="1">
      <alignment horizontal="right"/>
    </xf>
    <xf numFmtId="167" fontId="29" fillId="4" borderId="41" xfId="1" applyFont="1" applyFill="1" applyBorder="1"/>
    <xf numFmtId="171" fontId="24" fillId="5" borderId="56" xfId="0" quotePrefix="1" applyNumberFormat="1" applyFont="1" applyFill="1" applyBorder="1" applyAlignment="1">
      <alignment shrinkToFit="1"/>
    </xf>
    <xf numFmtId="171" fontId="24" fillId="5" borderId="36" xfId="1" applyNumberFormat="1" applyFont="1" applyFill="1" applyBorder="1" applyAlignment="1">
      <alignment shrinkToFit="1"/>
    </xf>
    <xf numFmtId="171" fontId="22" fillId="5" borderId="36" xfId="1" applyNumberFormat="1" applyFont="1" applyFill="1" applyBorder="1" applyAlignment="1">
      <alignment shrinkToFit="1"/>
    </xf>
    <xf numFmtId="171" fontId="22" fillId="4" borderId="38" xfId="0" applyNumberFormat="1" applyFont="1" applyFill="1" applyBorder="1" applyAlignment="1">
      <alignment shrinkToFit="1"/>
    </xf>
    <xf numFmtId="171" fontId="22" fillId="5" borderId="51" xfId="1" applyNumberFormat="1" applyFont="1" applyFill="1" applyBorder="1" applyAlignment="1">
      <alignment shrinkToFit="1"/>
    </xf>
    <xf numFmtId="171" fontId="22" fillId="4" borderId="58" xfId="1" applyNumberFormat="1" applyFont="1" applyFill="1" applyBorder="1" applyAlignment="1">
      <alignment shrinkToFit="1"/>
    </xf>
    <xf numFmtId="171" fontId="22" fillId="4" borderId="59" xfId="1" applyNumberFormat="1" applyFont="1" applyFill="1" applyBorder="1" applyAlignment="1">
      <alignment shrinkToFit="1"/>
    </xf>
    <xf numFmtId="171" fontId="22" fillId="4" borderId="16" xfId="1" applyNumberFormat="1" applyFont="1" applyFill="1" applyBorder="1" applyAlignment="1">
      <alignment shrinkToFit="1"/>
    </xf>
    <xf numFmtId="171" fontId="22" fillId="4" borderId="60" xfId="1" applyNumberFormat="1" applyFont="1" applyFill="1" applyBorder="1" applyAlignment="1">
      <alignment shrinkToFit="1"/>
    </xf>
    <xf numFmtId="171" fontId="24" fillId="4" borderId="22" xfId="1" applyNumberFormat="1" applyFont="1" applyFill="1" applyBorder="1" applyAlignment="1">
      <alignment shrinkToFit="1"/>
    </xf>
    <xf numFmtId="0" fontId="22" fillId="4" borderId="29" xfId="0" applyFont="1" applyFill="1" applyBorder="1" applyAlignment="1">
      <alignment shrinkToFit="1"/>
    </xf>
    <xf numFmtId="14" fontId="22" fillId="5" borderId="58" xfId="0" applyNumberFormat="1" applyFont="1" applyFill="1" applyBorder="1" applyAlignment="1">
      <alignment shrinkToFit="1"/>
    </xf>
    <xf numFmtId="171" fontId="22" fillId="5" borderId="58" xfId="1" applyNumberFormat="1" applyFont="1" applyFill="1" applyBorder="1" applyAlignment="1">
      <alignment shrinkToFit="1"/>
    </xf>
    <xf numFmtId="171" fontId="22" fillId="5" borderId="59" xfId="1" applyNumberFormat="1" applyFont="1" applyFill="1" applyBorder="1" applyAlignment="1">
      <alignment shrinkToFit="1"/>
    </xf>
    <xf numFmtId="171" fontId="22" fillId="5" borderId="16" xfId="1" applyNumberFormat="1" applyFont="1" applyFill="1" applyBorder="1" applyAlignment="1">
      <alignment shrinkToFit="1"/>
    </xf>
    <xf numFmtId="171" fontId="22" fillId="5" borderId="60" xfId="1" applyNumberFormat="1" applyFont="1" applyFill="1" applyBorder="1" applyAlignment="1">
      <alignment shrinkToFit="1"/>
    </xf>
    <xf numFmtId="14" fontId="22" fillId="4" borderId="58" xfId="0" applyNumberFormat="1" applyFont="1" applyFill="1" applyBorder="1" applyAlignment="1">
      <alignment shrinkToFit="1"/>
    </xf>
    <xf numFmtId="171" fontId="22" fillId="4" borderId="61" xfId="1" applyNumberFormat="1" applyFont="1" applyFill="1" applyBorder="1" applyAlignment="1">
      <alignment shrinkToFit="1"/>
    </xf>
    <xf numFmtId="14" fontId="22" fillId="5" borderId="26" xfId="0" applyNumberFormat="1" applyFont="1" applyFill="1" applyBorder="1" applyAlignment="1">
      <alignment shrinkToFit="1"/>
    </xf>
    <xf numFmtId="171" fontId="22" fillId="5" borderId="26" xfId="1" applyNumberFormat="1" applyFont="1" applyFill="1" applyBorder="1" applyAlignment="1">
      <alignment shrinkToFit="1"/>
    </xf>
    <xf numFmtId="171" fontId="22" fillId="5" borderId="53" xfId="1" applyNumberFormat="1" applyFont="1" applyFill="1" applyBorder="1" applyAlignment="1">
      <alignment shrinkToFit="1"/>
    </xf>
    <xf numFmtId="171" fontId="22" fillId="5" borderId="62" xfId="1" applyNumberFormat="1" applyFont="1" applyFill="1" applyBorder="1" applyAlignment="1">
      <alignment shrinkToFit="1"/>
    </xf>
    <xf numFmtId="171" fontId="22" fillId="5" borderId="63" xfId="1" applyNumberFormat="1" applyFont="1" applyFill="1" applyBorder="1" applyAlignment="1">
      <alignment shrinkToFit="1"/>
    </xf>
    <xf numFmtId="171" fontId="24" fillId="5" borderId="26" xfId="1" applyNumberFormat="1" applyFont="1" applyFill="1" applyBorder="1" applyAlignment="1">
      <alignment shrinkToFit="1"/>
    </xf>
    <xf numFmtId="171" fontId="24" fillId="5" borderId="27" xfId="1" applyNumberFormat="1" applyFont="1" applyFill="1" applyBorder="1" applyAlignment="1">
      <alignment shrinkToFit="1"/>
    </xf>
    <xf numFmtId="171" fontId="22" fillId="4" borderId="64" xfId="0" applyNumberFormat="1" applyFont="1" applyFill="1" applyBorder="1" applyAlignment="1">
      <alignment shrinkToFit="1"/>
    </xf>
    <xf numFmtId="169" fontId="24" fillId="5" borderId="28" xfId="0" applyNumberFormat="1" applyFont="1" applyFill="1" applyBorder="1" applyAlignment="1">
      <alignment shrinkToFit="1"/>
    </xf>
    <xf numFmtId="171" fontId="24" fillId="5" borderId="28" xfId="1" applyNumberFormat="1" applyFont="1" applyFill="1" applyBorder="1" applyAlignment="1">
      <alignment shrinkToFit="1"/>
    </xf>
    <xf numFmtId="171" fontId="24" fillId="5" borderId="52" xfId="1" applyNumberFormat="1" applyFont="1" applyFill="1" applyBorder="1" applyAlignment="1">
      <alignment shrinkToFit="1"/>
    </xf>
    <xf numFmtId="171" fontId="22" fillId="4" borderId="36" xfId="1" applyNumberFormat="1" applyFont="1" applyFill="1" applyBorder="1" applyAlignment="1">
      <alignment shrinkToFit="1"/>
    </xf>
    <xf numFmtId="171" fontId="22" fillId="4" borderId="52" xfId="1" applyNumberFormat="1" applyFont="1" applyFill="1" applyBorder="1" applyAlignment="1">
      <alignment shrinkToFit="1"/>
    </xf>
    <xf numFmtId="171" fontId="24" fillId="5" borderId="65" xfId="1" applyNumberFormat="1" applyFont="1" applyFill="1" applyBorder="1" applyAlignment="1">
      <alignment shrinkToFit="1"/>
    </xf>
    <xf numFmtId="171" fontId="22" fillId="5" borderId="28" xfId="1" applyNumberFormat="1" applyFont="1" applyFill="1" applyBorder="1" applyAlignment="1">
      <alignment shrinkToFit="1"/>
    </xf>
    <xf numFmtId="171" fontId="24" fillId="5" borderId="66" xfId="1" applyNumberFormat="1" applyFont="1" applyFill="1" applyBorder="1" applyAlignment="1">
      <alignment shrinkToFit="1"/>
    </xf>
    <xf numFmtId="171" fontId="24" fillId="5" borderId="38" xfId="1" applyNumberFormat="1" applyFont="1" applyFill="1" applyBorder="1" applyAlignment="1">
      <alignment shrinkToFit="1"/>
    </xf>
    <xf numFmtId="171" fontId="22" fillId="4" borderId="55" xfId="0" applyNumberFormat="1" applyFont="1" applyFill="1" applyBorder="1" applyAlignment="1">
      <alignment shrinkToFit="1"/>
    </xf>
    <xf numFmtId="14" fontId="22" fillId="4" borderId="56" xfId="0" applyNumberFormat="1" applyFont="1" applyFill="1" applyBorder="1" applyAlignment="1">
      <alignment shrinkToFit="1"/>
    </xf>
    <xf numFmtId="171" fontId="22" fillId="4" borderId="56" xfId="1" applyNumberFormat="1" applyFont="1" applyFill="1" applyBorder="1" applyAlignment="1">
      <alignment shrinkToFit="1"/>
    </xf>
    <xf numFmtId="171" fontId="22" fillId="4" borderId="32" xfId="1" applyNumberFormat="1" applyFont="1" applyFill="1" applyBorder="1" applyAlignment="1">
      <alignment shrinkToFit="1"/>
    </xf>
    <xf numFmtId="171" fontId="22" fillId="5" borderId="61" xfId="1" applyNumberFormat="1" applyFont="1" applyFill="1" applyBorder="1" applyAlignment="1">
      <alignment shrinkToFit="1"/>
    </xf>
    <xf numFmtId="171" fontId="22" fillId="4" borderId="67" xfId="1" applyNumberFormat="1" applyFont="1" applyFill="1" applyBorder="1" applyAlignment="1">
      <alignment shrinkToFit="1"/>
    </xf>
    <xf numFmtId="171" fontId="22" fillId="4" borderId="33" xfId="1" applyNumberFormat="1" applyFont="1" applyFill="1" applyBorder="1" applyAlignment="1">
      <alignment shrinkToFit="1"/>
    </xf>
    <xf numFmtId="171" fontId="22" fillId="4" borderId="68" xfId="0" applyNumberFormat="1" applyFont="1" applyFill="1" applyBorder="1" applyAlignment="1">
      <alignment shrinkToFit="1"/>
    </xf>
    <xf numFmtId="171" fontId="22" fillId="4" borderId="21" xfId="1" applyNumberFormat="1" applyFont="1" applyFill="1" applyBorder="1" applyAlignment="1">
      <alignment shrinkToFit="1"/>
    </xf>
    <xf numFmtId="171" fontId="22" fillId="5" borderId="23" xfId="1" applyNumberFormat="1" applyFont="1" applyFill="1" applyBorder="1" applyAlignment="1">
      <alignment shrinkToFit="1"/>
    </xf>
    <xf numFmtId="171" fontId="22" fillId="4" borderId="69" xfId="0" applyNumberFormat="1" applyFont="1" applyFill="1" applyBorder="1" applyAlignment="1">
      <alignment shrinkToFit="1"/>
    </xf>
    <xf numFmtId="171" fontId="22" fillId="4" borderId="23" xfId="1" applyNumberFormat="1" applyFont="1" applyFill="1" applyBorder="1" applyAlignment="1">
      <alignment shrinkToFit="1"/>
    </xf>
    <xf numFmtId="171" fontId="22" fillId="5" borderId="67" xfId="1" applyNumberFormat="1" applyFont="1" applyFill="1" applyBorder="1" applyAlignment="1">
      <alignment shrinkToFit="1"/>
    </xf>
    <xf numFmtId="171" fontId="22" fillId="4" borderId="17" xfId="1" applyNumberFormat="1" applyFont="1" applyFill="1" applyBorder="1" applyAlignment="1">
      <alignment shrinkToFit="1"/>
    </xf>
    <xf numFmtId="171" fontId="22" fillId="4" borderId="70" xfId="0" applyNumberFormat="1" applyFont="1" applyFill="1" applyBorder="1" applyAlignment="1">
      <alignment shrinkToFit="1"/>
    </xf>
    <xf numFmtId="14" fontId="22" fillId="4" borderId="21" xfId="0" applyNumberFormat="1" applyFont="1" applyFill="1" applyBorder="1" applyAlignment="1">
      <alignment shrinkToFit="1"/>
    </xf>
    <xf numFmtId="171" fontId="22" fillId="5" borderId="21" xfId="1" applyNumberFormat="1" applyFont="1" applyFill="1" applyBorder="1" applyAlignment="1">
      <alignment shrinkToFit="1"/>
    </xf>
    <xf numFmtId="171" fontId="22" fillId="4" borderId="21" xfId="0" applyNumberFormat="1" applyFont="1" applyFill="1" applyBorder="1" applyAlignment="1">
      <alignment shrinkToFit="1"/>
    </xf>
    <xf numFmtId="169" fontId="24" fillId="5" borderId="21" xfId="0" applyNumberFormat="1" applyFont="1" applyFill="1" applyBorder="1" applyAlignment="1">
      <alignment shrinkToFit="1"/>
    </xf>
    <xf numFmtId="171" fontId="24" fillId="5" borderId="21" xfId="1" applyNumberFormat="1" applyFont="1" applyFill="1" applyBorder="1" applyAlignment="1">
      <alignment shrinkToFit="1"/>
    </xf>
    <xf numFmtId="171" fontId="22" fillId="4" borderId="50" xfId="1" applyNumberFormat="1" applyFont="1" applyFill="1" applyBorder="1" applyAlignment="1">
      <alignment shrinkToFit="1"/>
    </xf>
    <xf numFmtId="171" fontId="22" fillId="4" borderId="19" xfId="1" applyNumberFormat="1" applyFont="1" applyFill="1" applyBorder="1" applyAlignment="1">
      <alignment shrinkToFit="1"/>
    </xf>
    <xf numFmtId="171" fontId="22" fillId="4" borderId="51" xfId="1" applyNumberFormat="1" applyFont="1" applyFill="1" applyBorder="1" applyAlignment="1">
      <alignment shrinkToFit="1"/>
    </xf>
    <xf numFmtId="171" fontId="22" fillId="4" borderId="57" xfId="1" applyNumberFormat="1" applyFont="1" applyFill="1" applyBorder="1" applyAlignment="1">
      <alignment shrinkToFit="1"/>
    </xf>
    <xf numFmtId="171" fontId="22" fillId="4" borderId="20" xfId="1" applyNumberFormat="1" applyFont="1" applyFill="1" applyBorder="1" applyAlignment="1">
      <alignment shrinkToFit="1"/>
    </xf>
    <xf numFmtId="171" fontId="24" fillId="5" borderId="53" xfId="1" applyNumberFormat="1" applyFont="1" applyFill="1" applyBorder="1" applyAlignment="1">
      <alignment shrinkToFit="1"/>
    </xf>
    <xf numFmtId="169" fontId="24" fillId="5" borderId="26" xfId="0" applyNumberFormat="1" applyFont="1" applyFill="1" applyBorder="1" applyAlignment="1">
      <alignment shrinkToFit="1"/>
    </xf>
    <xf numFmtId="0" fontId="14" fillId="4" borderId="21" xfId="0" applyFont="1" applyFill="1" applyBorder="1"/>
    <xf numFmtId="167" fontId="14" fillId="4" borderId="21" xfId="1" applyFont="1" applyFill="1" applyBorder="1" applyAlignment="1">
      <alignment horizontal="center"/>
    </xf>
    <xf numFmtId="171" fontId="14" fillId="4" borderId="21" xfId="1" applyNumberFormat="1" applyFont="1" applyFill="1" applyBorder="1" applyAlignment="1">
      <alignment horizontal="center"/>
    </xf>
    <xf numFmtId="171" fontId="22" fillId="4" borderId="21" xfId="1" applyNumberFormat="1" applyFont="1" applyFill="1" applyBorder="1"/>
    <xf numFmtId="167" fontId="14" fillId="4" borderId="21" xfId="1" applyFont="1" applyFill="1" applyBorder="1"/>
    <xf numFmtId="0" fontId="14" fillId="4" borderId="21" xfId="0" applyFont="1" applyFill="1" applyBorder="1" applyAlignment="1">
      <alignment shrinkToFit="1"/>
    </xf>
    <xf numFmtId="0" fontId="14" fillId="4" borderId="30" xfId="0" applyFont="1" applyFill="1" applyBorder="1"/>
    <xf numFmtId="167" fontId="14" fillId="4" borderId="30" xfId="1" applyFont="1" applyFill="1" applyBorder="1"/>
    <xf numFmtId="170" fontId="14" fillId="4" borderId="30" xfId="3" applyNumberFormat="1" applyFont="1" applyFill="1" applyBorder="1" applyAlignment="1">
      <alignment horizontal="center"/>
    </xf>
    <xf numFmtId="167" fontId="14" fillId="4" borderId="34" xfId="1" applyFont="1" applyFill="1" applyBorder="1" applyAlignment="1">
      <alignment horizontal="center"/>
    </xf>
    <xf numFmtId="167" fontId="14" fillId="4" borderId="23" xfId="1" applyFont="1" applyFill="1" applyBorder="1" applyAlignment="1">
      <alignment horizontal="center"/>
    </xf>
    <xf numFmtId="167" fontId="36" fillId="4" borderId="21" xfId="1" applyFont="1" applyFill="1" applyBorder="1" applyAlignment="1">
      <alignment horizontal="center" vertical="center"/>
    </xf>
    <xf numFmtId="170" fontId="14" fillId="4" borderId="35" xfId="3" applyNumberFormat="1" applyFont="1" applyFill="1" applyBorder="1" applyAlignment="1">
      <alignment horizontal="center"/>
    </xf>
    <xf numFmtId="167" fontId="14" fillId="6" borderId="41" xfId="1" applyFont="1" applyFill="1" applyBorder="1" applyAlignment="1">
      <alignment horizontal="center"/>
    </xf>
    <xf numFmtId="49" fontId="14" fillId="6" borderId="41" xfId="1" applyNumberFormat="1" applyFont="1" applyFill="1" applyBorder="1" applyAlignment="1">
      <alignment horizontal="center" shrinkToFit="1"/>
    </xf>
    <xf numFmtId="14" fontId="14" fillId="6" borderId="41" xfId="1" applyNumberFormat="1" applyFont="1" applyFill="1" applyBorder="1" applyAlignment="1">
      <alignment horizontal="center"/>
    </xf>
    <xf numFmtId="167" fontId="14" fillId="6" borderId="21" xfId="1" applyFont="1" applyFill="1" applyBorder="1" applyAlignment="1">
      <alignment horizontal="center" shrinkToFit="1"/>
    </xf>
    <xf numFmtId="3" fontId="14" fillId="6" borderId="41" xfId="1" applyNumberFormat="1" applyFont="1" applyFill="1" applyBorder="1" applyAlignment="1">
      <alignment horizontal="center"/>
    </xf>
    <xf numFmtId="167" fontId="14" fillId="6" borderId="41" xfId="1" applyFont="1" applyFill="1" applyBorder="1" applyAlignment="1">
      <alignment horizontal="center" shrinkToFit="1"/>
    </xf>
    <xf numFmtId="170" fontId="14" fillId="6" borderId="41" xfId="3" applyNumberFormat="1" applyFont="1" applyFill="1" applyBorder="1" applyAlignment="1">
      <alignment horizontal="center"/>
    </xf>
    <xf numFmtId="170" fontId="14" fillId="6" borderId="18" xfId="1" applyNumberFormat="1" applyFont="1" applyFill="1" applyBorder="1" applyAlignment="1">
      <alignment horizontal="center"/>
    </xf>
    <xf numFmtId="167" fontId="14" fillId="6" borderId="21" xfId="1" applyFont="1" applyFill="1" applyBorder="1" applyAlignment="1">
      <alignment horizontal="center"/>
    </xf>
    <xf numFmtId="171" fontId="14" fillId="4" borderId="23" xfId="1" applyNumberFormat="1" applyFont="1" applyFill="1" applyBorder="1" applyAlignment="1">
      <alignment horizontal="center"/>
    </xf>
    <xf numFmtId="171" fontId="36" fillId="4" borderId="21" xfId="1" applyNumberFormat="1" applyFont="1" applyFill="1" applyBorder="1" applyAlignment="1">
      <alignment horizontal="center" vertical="center"/>
    </xf>
    <xf numFmtId="171" fontId="14" fillId="6" borderId="41" xfId="1" applyNumberFormat="1" applyFont="1" applyFill="1" applyBorder="1" applyAlignment="1">
      <alignment horizontal="center"/>
    </xf>
    <xf numFmtId="170" fontId="14" fillId="4" borderId="21" xfId="1" applyNumberFormat="1" applyFont="1" applyFill="1" applyBorder="1"/>
    <xf numFmtId="14" fontId="14" fillId="4" borderId="21" xfId="1" applyNumberFormat="1" applyFont="1" applyFill="1" applyBorder="1"/>
    <xf numFmtId="165" fontId="14" fillId="4" borderId="21" xfId="1" applyNumberFormat="1" applyFont="1" applyFill="1" applyBorder="1" applyAlignment="1">
      <alignment horizontal="center"/>
    </xf>
    <xf numFmtId="171" fontId="14" fillId="4" borderId="21" xfId="1" applyNumberFormat="1" applyFont="1" applyFill="1" applyBorder="1"/>
    <xf numFmtId="167" fontId="14" fillId="4" borderId="34" xfId="1" applyFont="1" applyFill="1" applyBorder="1"/>
    <xf numFmtId="170" fontId="14" fillId="4" borderId="30" xfId="3" applyNumberFormat="1" applyFont="1" applyFill="1" applyBorder="1"/>
    <xf numFmtId="171" fontId="14" fillId="4" borderId="23" xfId="1" applyNumberFormat="1" applyFont="1" applyFill="1" applyBorder="1"/>
    <xf numFmtId="167" fontId="14" fillId="4" borderId="41" xfId="1" applyFont="1" applyFill="1" applyBorder="1"/>
    <xf numFmtId="49" fontId="14" fillId="4" borderId="41" xfId="1" applyNumberFormat="1" applyFont="1" applyFill="1" applyBorder="1" applyAlignment="1">
      <alignment shrinkToFit="1"/>
    </xf>
    <xf numFmtId="14" fontId="14" fillId="4" borderId="41" xfId="1" applyNumberFormat="1" applyFont="1" applyFill="1" applyBorder="1"/>
    <xf numFmtId="167" fontId="14" fillId="4" borderId="21" xfId="1" applyFont="1" applyFill="1" applyBorder="1" applyAlignment="1">
      <alignment shrinkToFit="1"/>
    </xf>
    <xf numFmtId="3" fontId="14" fillId="4" borderId="41" xfId="1" applyNumberFormat="1" applyFont="1" applyFill="1" applyBorder="1"/>
    <xf numFmtId="171" fontId="14" fillId="4" borderId="41" xfId="1" applyNumberFormat="1" applyFont="1" applyFill="1" applyBorder="1"/>
    <xf numFmtId="171" fontId="14" fillId="4" borderId="41" xfId="1" applyNumberFormat="1" applyFont="1" applyFill="1" applyBorder="1" applyAlignment="1">
      <alignment shrinkToFit="1"/>
    </xf>
    <xf numFmtId="170" fontId="14" fillId="4" borderId="41" xfId="3" applyNumberFormat="1" applyFont="1" applyFill="1" applyBorder="1"/>
    <xf numFmtId="170" fontId="14" fillId="4" borderId="18" xfId="1" applyNumberFormat="1" applyFont="1" applyFill="1" applyBorder="1"/>
    <xf numFmtId="167" fontId="14" fillId="4" borderId="41" xfId="1" applyFont="1" applyFill="1" applyBorder="1" applyAlignment="1">
      <alignment shrinkToFit="1"/>
    </xf>
    <xf numFmtId="167" fontId="14" fillId="4" borderId="23" xfId="1" applyFont="1" applyFill="1" applyBorder="1"/>
    <xf numFmtId="165" fontId="14" fillId="4" borderId="21" xfId="1" applyNumberFormat="1" applyFont="1" applyFill="1" applyBorder="1"/>
    <xf numFmtId="172" fontId="14" fillId="4" borderId="41" xfId="1" applyNumberFormat="1" applyFont="1" applyFill="1" applyBorder="1"/>
    <xf numFmtId="49" fontId="14" fillId="4" borderId="41" xfId="1" quotePrefix="1" applyNumberFormat="1" applyFont="1" applyFill="1" applyBorder="1" applyAlignment="1">
      <alignment shrinkToFit="1"/>
    </xf>
    <xf numFmtId="14" fontId="14" fillId="4" borderId="21" xfId="1" applyNumberFormat="1" applyFont="1" applyFill="1" applyBorder="1" applyAlignment="1">
      <alignment shrinkToFit="1"/>
    </xf>
    <xf numFmtId="171" fontId="14" fillId="4" borderId="21" xfId="1" applyNumberFormat="1" applyFont="1" applyFill="1" applyBorder="1" applyAlignment="1">
      <alignment shrinkToFit="1"/>
    </xf>
    <xf numFmtId="49" fontId="14" fillId="4" borderId="21" xfId="1" quotePrefix="1" applyNumberFormat="1" applyFont="1" applyFill="1" applyBorder="1" applyAlignment="1">
      <alignment shrinkToFit="1"/>
    </xf>
    <xf numFmtId="3" fontId="14" fillId="4" borderId="21" xfId="1" applyNumberFormat="1" applyFont="1" applyFill="1" applyBorder="1"/>
    <xf numFmtId="170" fontId="14" fillId="4" borderId="21" xfId="3" applyNumberFormat="1" applyFont="1" applyFill="1" applyBorder="1"/>
    <xf numFmtId="170" fontId="14" fillId="4" borderId="23" xfId="1" applyNumberFormat="1" applyFont="1" applyFill="1" applyBorder="1"/>
    <xf numFmtId="49" fontId="14" fillId="6" borderId="21" xfId="1" applyNumberFormat="1" applyFont="1" applyFill="1" applyBorder="1" applyAlignment="1">
      <alignment horizontal="center" shrinkToFit="1"/>
    </xf>
    <xf numFmtId="14" fontId="14" fillId="6" borderId="21" xfId="1" applyNumberFormat="1" applyFont="1" applyFill="1" applyBorder="1" applyAlignment="1">
      <alignment horizontal="center"/>
    </xf>
    <xf numFmtId="3" fontId="14" fillId="6" borderId="21" xfId="1" applyNumberFormat="1" applyFont="1" applyFill="1" applyBorder="1" applyAlignment="1">
      <alignment horizontal="center"/>
    </xf>
    <xf numFmtId="170" fontId="14" fillId="6" borderId="21" xfId="3" applyNumberFormat="1" applyFont="1" applyFill="1" applyBorder="1" applyAlignment="1">
      <alignment horizontal="center"/>
    </xf>
    <xf numFmtId="170" fontId="14" fillId="6" borderId="23" xfId="1" applyNumberFormat="1" applyFont="1" applyFill="1" applyBorder="1" applyAlignment="1">
      <alignment horizontal="center"/>
    </xf>
    <xf numFmtId="170" fontId="14" fillId="4" borderId="21" xfId="3" applyNumberFormat="1" applyFont="1" applyFill="1" applyBorder="1" applyAlignment="1">
      <alignment horizontal="center"/>
    </xf>
    <xf numFmtId="49" fontId="14" fillId="4" borderId="21" xfId="1" applyNumberFormat="1" applyFont="1" applyFill="1" applyBorder="1" applyAlignment="1">
      <alignment shrinkToFit="1"/>
    </xf>
    <xf numFmtId="14" fontId="14" fillId="4" borderId="21" xfId="1" applyNumberFormat="1" applyFont="1" applyFill="1" applyBorder="1" applyAlignment="1">
      <alignment horizontal="right"/>
    </xf>
    <xf numFmtId="167" fontId="14" fillId="4" borderId="21" xfId="1" applyFont="1" applyFill="1" applyBorder="1" applyAlignment="1">
      <alignment horizontal="right"/>
    </xf>
    <xf numFmtId="170" fontId="14" fillId="4" borderId="21" xfId="1" applyNumberFormat="1" applyFont="1" applyFill="1" applyBorder="1" applyAlignment="1">
      <alignment horizontal="right"/>
    </xf>
    <xf numFmtId="167" fontId="14" fillId="4" borderId="54" xfId="1" applyFont="1" applyFill="1" applyBorder="1"/>
    <xf numFmtId="171" fontId="14" fillId="4" borderId="18" xfId="1" applyNumberFormat="1" applyFont="1" applyFill="1" applyBorder="1"/>
    <xf numFmtId="167" fontId="36" fillId="4" borderId="41" xfId="1" applyFont="1" applyFill="1" applyBorder="1" applyAlignment="1">
      <alignment horizontal="center" vertical="center"/>
    </xf>
    <xf numFmtId="170" fontId="14" fillId="4" borderId="41" xfId="3" applyNumberFormat="1" applyFont="1" applyFill="1" applyBorder="1" applyAlignment="1">
      <alignment horizontal="center"/>
    </xf>
    <xf numFmtId="167" fontId="14" fillId="4" borderId="32" xfId="1" applyFont="1" applyFill="1" applyBorder="1"/>
    <xf numFmtId="49" fontId="14" fillId="4" borderId="32" xfId="1" applyNumberFormat="1" applyFont="1" applyFill="1" applyBorder="1" applyAlignment="1">
      <alignment shrinkToFit="1"/>
    </xf>
    <xf numFmtId="14" fontId="14" fillId="4" borderId="32" xfId="1" applyNumberFormat="1" applyFont="1" applyFill="1" applyBorder="1"/>
    <xf numFmtId="3" fontId="14" fillId="4" borderId="32" xfId="1" applyNumberFormat="1" applyFont="1" applyFill="1" applyBorder="1"/>
    <xf numFmtId="171" fontId="14" fillId="4" borderId="32" xfId="1" applyNumberFormat="1" applyFont="1" applyFill="1" applyBorder="1"/>
    <xf numFmtId="171" fontId="14" fillId="4" borderId="32" xfId="1" applyNumberFormat="1" applyFont="1" applyFill="1" applyBorder="1" applyAlignment="1">
      <alignment shrinkToFit="1"/>
    </xf>
    <xf numFmtId="170" fontId="14" fillId="4" borderId="32" xfId="3" applyNumberFormat="1" applyFont="1" applyFill="1" applyBorder="1"/>
    <xf numFmtId="167" fontId="14" fillId="4" borderId="32" xfId="1" applyFont="1" applyFill="1" applyBorder="1" applyAlignment="1">
      <alignment shrinkToFit="1"/>
    </xf>
    <xf numFmtId="167" fontId="14" fillId="4" borderId="31" xfId="1" applyFont="1" applyFill="1" applyBorder="1"/>
    <xf numFmtId="171" fontId="14" fillId="4" borderId="33" xfId="1" applyNumberFormat="1" applyFont="1" applyFill="1" applyBorder="1"/>
    <xf numFmtId="167" fontId="36" fillId="4" borderId="32" xfId="1" applyFont="1" applyFill="1" applyBorder="1" applyAlignment="1">
      <alignment horizontal="center" vertical="center"/>
    </xf>
    <xf numFmtId="170" fontId="14" fillId="4" borderId="32" xfId="3" applyNumberFormat="1" applyFont="1" applyFill="1" applyBorder="1" applyAlignment="1">
      <alignment horizontal="center"/>
    </xf>
    <xf numFmtId="171" fontId="14" fillId="4" borderId="30" xfId="1" applyNumberFormat="1" applyFont="1" applyFill="1" applyBorder="1"/>
    <xf numFmtId="171" fontId="14" fillId="4" borderId="17" xfId="1" applyNumberFormat="1" applyFont="1" applyFill="1" applyBorder="1"/>
    <xf numFmtId="167" fontId="36" fillId="4" borderId="30" xfId="1" applyFont="1" applyFill="1" applyBorder="1" applyAlignment="1">
      <alignment horizontal="center" vertical="center"/>
    </xf>
    <xf numFmtId="49" fontId="14" fillId="4" borderId="30" xfId="1" quotePrefix="1" applyNumberFormat="1" applyFont="1" applyFill="1" applyBorder="1" applyAlignment="1">
      <alignment shrinkToFit="1"/>
    </xf>
    <xf numFmtId="14" fontId="14" fillId="4" borderId="30" xfId="1" applyNumberFormat="1" applyFont="1" applyFill="1" applyBorder="1" applyAlignment="1">
      <alignment shrinkToFit="1"/>
    </xf>
    <xf numFmtId="3" fontId="14" fillId="4" borderId="30" xfId="1" applyNumberFormat="1" applyFont="1" applyFill="1" applyBorder="1"/>
    <xf numFmtId="167" fontId="14" fillId="4" borderId="30" xfId="1" applyFont="1" applyFill="1" applyBorder="1" applyAlignment="1">
      <alignment shrinkToFit="1"/>
    </xf>
    <xf numFmtId="49" fontId="14" fillId="4" borderId="32" xfId="1" quotePrefix="1" applyNumberFormat="1" applyFont="1" applyFill="1" applyBorder="1" applyAlignment="1">
      <alignment shrinkToFit="1"/>
    </xf>
    <xf numFmtId="14" fontId="14" fillId="4" borderId="32" xfId="1" applyNumberFormat="1" applyFont="1" applyFill="1" applyBorder="1" applyAlignment="1">
      <alignment shrinkToFit="1"/>
    </xf>
    <xf numFmtId="14" fontId="14" fillId="4" borderId="41" xfId="1" applyNumberFormat="1" applyFont="1" applyFill="1" applyBorder="1" applyAlignment="1">
      <alignment shrinkToFit="1"/>
    </xf>
    <xf numFmtId="167" fontId="14" fillId="4" borderId="21" xfId="1" quotePrefix="1" applyFont="1" applyFill="1" applyBorder="1"/>
    <xf numFmtId="167" fontId="14" fillId="4" borderId="21" xfId="1" applyFont="1" applyFill="1" applyBorder="1" applyAlignment="1">
      <alignment horizontal="left"/>
    </xf>
    <xf numFmtId="170" fontId="14" fillId="4" borderId="21" xfId="3" applyNumberFormat="1" applyFont="1" applyFill="1" applyBorder="1" applyAlignment="1">
      <alignment horizontal="right"/>
    </xf>
    <xf numFmtId="171" fontId="14" fillId="4" borderId="21" xfId="1" applyNumberFormat="1" applyFont="1" applyFill="1" applyBorder="1" applyAlignment="1">
      <alignment horizontal="right"/>
    </xf>
    <xf numFmtId="167" fontId="14" fillId="6" borderId="21" xfId="1" applyFont="1" applyFill="1" applyBorder="1" applyAlignment="1">
      <alignment horizontal="right"/>
    </xf>
    <xf numFmtId="49" fontId="14" fillId="6" borderId="21" xfId="1" applyNumberFormat="1" applyFont="1" applyFill="1" applyBorder="1" applyAlignment="1">
      <alignment horizontal="right" shrinkToFit="1"/>
    </xf>
    <xf numFmtId="14" fontId="14" fillId="6" borderId="21" xfId="1" applyNumberFormat="1" applyFont="1" applyFill="1" applyBorder="1" applyAlignment="1">
      <alignment horizontal="right"/>
    </xf>
    <xf numFmtId="167" fontId="14" fillId="6" borderId="21" xfId="1" applyFont="1" applyFill="1" applyBorder="1" applyAlignment="1">
      <alignment horizontal="right" shrinkToFit="1"/>
    </xf>
    <xf numFmtId="3" fontId="14" fillId="6" borderId="21" xfId="1" applyNumberFormat="1" applyFont="1" applyFill="1" applyBorder="1" applyAlignment="1">
      <alignment horizontal="right"/>
    </xf>
    <xf numFmtId="171" fontId="14" fillId="6" borderId="21" xfId="1" applyNumberFormat="1" applyFont="1" applyFill="1" applyBorder="1" applyAlignment="1">
      <alignment horizontal="right"/>
    </xf>
    <xf numFmtId="170" fontId="14" fillId="6" borderId="21" xfId="3" applyNumberFormat="1" applyFont="1" applyFill="1" applyBorder="1" applyAlignment="1">
      <alignment horizontal="right"/>
    </xf>
    <xf numFmtId="170" fontId="14" fillId="6" borderId="23" xfId="1" applyNumberFormat="1" applyFont="1" applyFill="1" applyBorder="1" applyAlignment="1">
      <alignment horizontal="right"/>
    </xf>
    <xf numFmtId="0" fontId="37" fillId="4" borderId="21" xfId="0" applyFont="1" applyFill="1" applyBorder="1"/>
    <xf numFmtId="0" fontId="37" fillId="4" borderId="33" xfId="0" applyFont="1" applyFill="1" applyBorder="1"/>
    <xf numFmtId="0" fontId="37" fillId="4" borderId="34" xfId="0" applyFont="1" applyFill="1" applyBorder="1"/>
    <xf numFmtId="0" fontId="14" fillId="4" borderId="32" xfId="0" applyFont="1" applyFill="1" applyBorder="1"/>
    <xf numFmtId="10" fontId="14" fillId="4" borderId="21" xfId="0" quotePrefix="1" applyNumberFormat="1" applyFont="1" applyFill="1" applyBorder="1" applyAlignment="1">
      <alignment shrinkToFit="1"/>
    </xf>
    <xf numFmtId="0" fontId="14" fillId="5" borderId="21" xfId="0" applyFont="1" applyFill="1" applyBorder="1" applyAlignment="1">
      <alignment shrinkToFit="1"/>
    </xf>
    <xf numFmtId="0" fontId="22" fillId="4" borderId="21" xfId="0" applyFont="1" applyFill="1" applyBorder="1"/>
    <xf numFmtId="0" fontId="23" fillId="4" borderId="21" xfId="0" applyFont="1" applyFill="1" applyBorder="1"/>
    <xf numFmtId="0" fontId="14" fillId="4" borderId="41" xfId="0" applyFont="1" applyFill="1" applyBorder="1"/>
    <xf numFmtId="0" fontId="37" fillId="4" borderId="41" xfId="4" applyFont="1" applyFill="1" applyBorder="1"/>
    <xf numFmtId="171" fontId="23" fillId="4" borderId="12" xfId="0" applyNumberFormat="1" applyFont="1" applyFill="1" applyBorder="1" applyAlignment="1">
      <alignment vertical="center"/>
    </xf>
    <xf numFmtId="167" fontId="23" fillId="4" borderId="12" xfId="1" applyFont="1" applyFill="1" applyBorder="1" applyAlignment="1">
      <alignment vertical="center"/>
    </xf>
    <xf numFmtId="0" fontId="14" fillId="4" borderId="13" xfId="0" applyFont="1" applyFill="1" applyBorder="1"/>
    <xf numFmtId="0" fontId="14" fillId="4" borderId="12" xfId="0" applyFont="1" applyFill="1" applyBorder="1"/>
    <xf numFmtId="167" fontId="14" fillId="4" borderId="12" xfId="1" applyFont="1" applyFill="1" applyBorder="1"/>
    <xf numFmtId="0" fontId="14" fillId="4" borderId="12" xfId="0" applyFont="1" applyFill="1" applyBorder="1" applyAlignment="1">
      <alignment shrinkToFit="1"/>
    </xf>
    <xf numFmtId="0" fontId="14" fillId="4" borderId="74" xfId="0" applyFont="1" applyFill="1" applyBorder="1"/>
    <xf numFmtId="0" fontId="14" fillId="4" borderId="72" xfId="0" applyFont="1" applyFill="1" applyBorder="1"/>
    <xf numFmtId="0" fontId="14" fillId="4" borderId="76" xfId="0" applyFont="1" applyFill="1" applyBorder="1"/>
    <xf numFmtId="167" fontId="14" fillId="4" borderId="76" xfId="1" applyFont="1" applyFill="1" applyBorder="1"/>
    <xf numFmtId="0" fontId="14" fillId="4" borderId="76" xfId="0" applyFont="1" applyFill="1" applyBorder="1" applyAlignment="1">
      <alignment shrinkToFit="1"/>
    </xf>
    <xf numFmtId="0" fontId="14" fillId="4" borderId="71" xfId="0" applyFont="1" applyFill="1" applyBorder="1"/>
    <xf numFmtId="14" fontId="14" fillId="4" borderId="12" xfId="0" applyNumberFormat="1" applyFont="1" applyFill="1" applyBorder="1"/>
    <xf numFmtId="14" fontId="14" fillId="4" borderId="76" xfId="0" applyNumberFormat="1" applyFont="1" applyFill="1" applyBorder="1"/>
    <xf numFmtId="167" fontId="14" fillId="4" borderId="12" xfId="1" applyFont="1" applyFill="1" applyBorder="1" applyAlignment="1">
      <alignment horizontal="center"/>
    </xf>
    <xf numFmtId="0" fontId="14" fillId="4" borderId="12" xfId="0" quotePrefix="1" applyFont="1" applyFill="1" applyBorder="1" applyAlignment="1">
      <alignment shrinkToFit="1"/>
    </xf>
    <xf numFmtId="14" fontId="14" fillId="4" borderId="12" xfId="0" applyNumberFormat="1" applyFont="1" applyFill="1" applyBorder="1" applyAlignment="1">
      <alignment shrinkToFit="1"/>
    </xf>
    <xf numFmtId="0" fontId="14" fillId="4" borderId="76" xfId="0" quotePrefix="1" applyFont="1" applyFill="1" applyBorder="1" applyAlignment="1">
      <alignment shrinkToFit="1"/>
    </xf>
    <xf numFmtId="14" fontId="14" fillId="4" borderId="76" xfId="0" applyNumberFormat="1" applyFont="1" applyFill="1" applyBorder="1" applyAlignment="1">
      <alignment shrinkToFit="1"/>
    </xf>
    <xf numFmtId="167" fontId="14" fillId="4" borderId="13" xfId="1" applyFont="1" applyFill="1" applyBorder="1"/>
    <xf numFmtId="170" fontId="14" fillId="4" borderId="76" xfId="3" applyNumberFormat="1" applyFont="1" applyFill="1" applyBorder="1"/>
    <xf numFmtId="167" fontId="14" fillId="4" borderId="74" xfId="1" applyFont="1" applyFill="1" applyBorder="1"/>
    <xf numFmtId="165" fontId="14" fillId="4" borderId="74" xfId="1" applyNumberFormat="1" applyFont="1" applyFill="1" applyBorder="1"/>
    <xf numFmtId="167" fontId="36" fillId="4" borderId="12" xfId="1" applyFont="1" applyFill="1" applyBorder="1" applyAlignment="1">
      <alignment horizontal="center" vertical="center"/>
    </xf>
    <xf numFmtId="170" fontId="14" fillId="4" borderId="72" xfId="3" applyNumberFormat="1" applyFont="1" applyFill="1" applyBorder="1" applyAlignment="1">
      <alignment horizontal="center"/>
    </xf>
    <xf numFmtId="167" fontId="14" fillId="4" borderId="12" xfId="1" applyFont="1" applyFill="1" applyBorder="1" applyAlignment="1">
      <alignment shrinkToFit="1"/>
    </xf>
    <xf numFmtId="170" fontId="14" fillId="4" borderId="12" xfId="1" applyNumberFormat="1" applyFont="1" applyFill="1" applyBorder="1"/>
    <xf numFmtId="167" fontId="14" fillId="4" borderId="13" xfId="1" applyFont="1" applyFill="1" applyBorder="1" applyAlignment="1">
      <alignment horizontal="center"/>
    </xf>
    <xf numFmtId="170" fontId="14" fillId="4" borderId="76" xfId="3" applyNumberFormat="1" applyFont="1" applyFill="1" applyBorder="1" applyAlignment="1">
      <alignment horizontal="center"/>
    </xf>
    <xf numFmtId="167" fontId="14" fillId="4" borderId="74" xfId="1" applyFont="1" applyFill="1" applyBorder="1" applyAlignment="1">
      <alignment horizontal="center"/>
    </xf>
    <xf numFmtId="165" fontId="14" fillId="4" borderId="74" xfId="1" applyNumberFormat="1" applyFont="1" applyFill="1" applyBorder="1" applyAlignment="1">
      <alignment horizontal="center"/>
    </xf>
    <xf numFmtId="167" fontId="14" fillId="6" borderId="12" xfId="1" applyFont="1" applyFill="1" applyBorder="1" applyAlignment="1">
      <alignment horizontal="center" shrinkToFit="1"/>
    </xf>
    <xf numFmtId="170" fontId="14" fillId="6" borderId="12" xfId="1" applyNumberFormat="1" applyFont="1" applyFill="1" applyBorder="1" applyAlignment="1">
      <alignment horizontal="center"/>
    </xf>
    <xf numFmtId="167" fontId="14" fillId="4" borderId="21" xfId="1" applyFont="1" applyFill="1" applyBorder="1" applyAlignment="1">
      <alignment wrapText="1" shrinkToFit="1"/>
    </xf>
    <xf numFmtId="167" fontId="14" fillId="6" borderId="12" xfId="1" applyFont="1" applyFill="1" applyBorder="1" applyAlignment="1">
      <alignment horizontal="center" wrapText="1" shrinkToFit="1"/>
    </xf>
    <xf numFmtId="167" fontId="14" fillId="4" borderId="34" xfId="1" applyFont="1" applyFill="1" applyBorder="1" applyAlignment="1">
      <alignment horizontal="left"/>
    </xf>
    <xf numFmtId="14" fontId="0" fillId="0" borderId="0" xfId="3" applyNumberFormat="1" applyFont="1" applyAlignment="1">
      <alignment horizontal="right"/>
    </xf>
    <xf numFmtId="14" fontId="14" fillId="4" borderId="12" xfId="1" applyNumberFormat="1" applyFont="1" applyFill="1" applyBorder="1"/>
    <xf numFmtId="171" fontId="14" fillId="4" borderId="12" xfId="1" applyNumberFormat="1" applyFont="1" applyFill="1" applyBorder="1" applyAlignment="1">
      <alignment horizontal="center"/>
    </xf>
    <xf numFmtId="171" fontId="14" fillId="4" borderId="74" xfId="1" applyNumberFormat="1" applyFont="1" applyFill="1" applyBorder="1" applyAlignment="1">
      <alignment horizontal="center"/>
    </xf>
    <xf numFmtId="0" fontId="0" fillId="0" borderId="0" xfId="0" applyAlignment="1">
      <alignment horizontal="center"/>
    </xf>
    <xf numFmtId="167" fontId="42" fillId="4" borderId="12" xfId="1" applyFont="1" applyFill="1" applyBorder="1" applyAlignment="1">
      <alignment horizontal="center" vertical="center"/>
    </xf>
    <xf numFmtId="167" fontId="42" fillId="4" borderId="21" xfId="1" applyFont="1" applyFill="1" applyBorder="1" applyAlignment="1">
      <alignment horizontal="center" vertical="center"/>
    </xf>
    <xf numFmtId="171" fontId="42" fillId="4" borderId="21" xfId="1" applyNumberFormat="1" applyFont="1" applyFill="1" applyBorder="1" applyAlignment="1">
      <alignment horizontal="center" vertical="center"/>
    </xf>
    <xf numFmtId="171" fontId="42" fillId="4" borderId="12" xfId="1" applyNumberFormat="1" applyFont="1" applyFill="1" applyBorder="1" applyAlignment="1">
      <alignment horizontal="center" vertical="center"/>
    </xf>
    <xf numFmtId="0" fontId="2" fillId="3" borderId="0" xfId="0" applyFont="1" applyFill="1" applyAlignment="1">
      <alignment horizontal="center"/>
    </xf>
    <xf numFmtId="0" fontId="2" fillId="3" borderId="0" xfId="0" applyFont="1" applyFill="1"/>
    <xf numFmtId="0" fontId="2" fillId="3" borderId="83" xfId="0" applyFont="1" applyFill="1" applyBorder="1" applyAlignment="1">
      <alignment horizontal="center"/>
    </xf>
    <xf numFmtId="167" fontId="2" fillId="3" borderId="4" xfId="1" applyFont="1" applyFill="1" applyBorder="1" applyAlignment="1">
      <alignment horizontal="center"/>
    </xf>
    <xf numFmtId="173" fontId="2" fillId="3" borderId="81" xfId="3" applyNumberFormat="1" applyFont="1" applyFill="1" applyBorder="1" applyAlignment="1">
      <alignment horizontal="center"/>
    </xf>
    <xf numFmtId="167" fontId="2" fillId="3" borderId="6" xfId="1" applyFont="1" applyFill="1" applyBorder="1" applyAlignment="1">
      <alignment horizontal="center"/>
    </xf>
    <xf numFmtId="167" fontId="2" fillId="3" borderId="0" xfId="1" applyFont="1" applyFill="1" applyBorder="1" applyAlignment="1">
      <alignment horizontal="center"/>
    </xf>
    <xf numFmtId="167" fontId="2" fillId="3" borderId="9" xfId="1" applyFont="1" applyFill="1" applyBorder="1" applyAlignment="1">
      <alignment horizontal="center"/>
    </xf>
    <xf numFmtId="173" fontId="2" fillId="3" borderId="82" xfId="3" applyNumberFormat="1" applyFont="1" applyFill="1" applyBorder="1" applyAlignment="1">
      <alignment horizontal="center"/>
    </xf>
    <xf numFmtId="167" fontId="2" fillId="3" borderId="11" xfId="1" applyFont="1" applyFill="1" applyBorder="1" applyAlignment="1">
      <alignment horizontal="center"/>
    </xf>
    <xf numFmtId="9" fontId="2" fillId="3" borderId="8" xfId="2" applyFont="1" applyFill="1" applyBorder="1" applyAlignment="1">
      <alignment horizontal="center"/>
    </xf>
    <xf numFmtId="167" fontId="0" fillId="3" borderId="85" xfId="1" applyFont="1" applyFill="1" applyBorder="1"/>
    <xf numFmtId="173" fontId="0" fillId="3" borderId="85" xfId="3" applyNumberFormat="1" applyFont="1" applyFill="1" applyBorder="1"/>
    <xf numFmtId="167" fontId="0" fillId="3" borderId="94" xfId="1" applyFont="1" applyFill="1" applyBorder="1"/>
    <xf numFmtId="167" fontId="0" fillId="3" borderId="75" xfId="1" applyFont="1" applyFill="1" applyBorder="1"/>
    <xf numFmtId="173" fontId="0" fillId="3" borderId="75" xfId="3" applyNumberFormat="1" applyFont="1" applyFill="1" applyBorder="1"/>
    <xf numFmtId="167" fontId="0" fillId="3" borderId="73" xfId="1" applyFont="1" applyFill="1" applyBorder="1"/>
    <xf numFmtId="9" fontId="0" fillId="3" borderId="91" xfId="2" applyFont="1" applyFill="1" applyBorder="1"/>
    <xf numFmtId="167" fontId="0" fillId="3" borderId="12" xfId="1" applyFont="1" applyFill="1" applyBorder="1"/>
    <xf numFmtId="173" fontId="0" fillId="3" borderId="12" xfId="3" applyNumberFormat="1" applyFont="1" applyFill="1" applyBorder="1"/>
    <xf numFmtId="167" fontId="0" fillId="3" borderId="74" xfId="1" applyFont="1" applyFill="1" applyBorder="1"/>
    <xf numFmtId="9" fontId="0" fillId="3" borderId="92" xfId="2" applyFont="1" applyFill="1" applyBorder="1"/>
    <xf numFmtId="167" fontId="0" fillId="3" borderId="76" xfId="1" applyFont="1" applyFill="1" applyBorder="1"/>
    <xf numFmtId="173" fontId="0" fillId="3" borderId="76" xfId="3" applyNumberFormat="1" applyFont="1" applyFill="1" applyBorder="1"/>
    <xf numFmtId="167" fontId="0" fillId="3" borderId="71" xfId="1" applyFont="1" applyFill="1" applyBorder="1"/>
    <xf numFmtId="9" fontId="0" fillId="3" borderId="93" xfId="2" applyFont="1" applyFill="1" applyBorder="1"/>
    <xf numFmtId="0" fontId="2" fillId="3" borderId="88" xfId="0" applyFont="1" applyFill="1" applyBorder="1"/>
    <xf numFmtId="167" fontId="2" fillId="3" borderId="89" xfId="1" applyFont="1" applyFill="1" applyBorder="1"/>
    <xf numFmtId="173" fontId="2" fillId="3" borderId="89" xfId="3" applyNumberFormat="1" applyFont="1" applyFill="1" applyBorder="1"/>
    <xf numFmtId="167" fontId="2" fillId="3" borderId="94" xfId="1" applyFont="1" applyFill="1" applyBorder="1"/>
    <xf numFmtId="167" fontId="2" fillId="3" borderId="90" xfId="1" applyFont="1" applyFill="1" applyBorder="1"/>
    <xf numFmtId="9" fontId="2" fillId="3" borderId="80" xfId="2" applyFont="1" applyFill="1" applyBorder="1"/>
    <xf numFmtId="167" fontId="0" fillId="3" borderId="0" xfId="1" applyFont="1" applyFill="1"/>
    <xf numFmtId="173" fontId="0" fillId="3" borderId="0" xfId="3" applyNumberFormat="1" applyFont="1" applyFill="1"/>
    <xf numFmtId="167" fontId="0" fillId="3" borderId="0" xfId="1" applyFont="1" applyFill="1" applyBorder="1"/>
    <xf numFmtId="9" fontId="0" fillId="3" borderId="0" xfId="2" applyFont="1" applyFill="1"/>
    <xf numFmtId="0" fontId="0" fillId="3" borderId="0" xfId="0" applyFill="1"/>
    <xf numFmtId="0" fontId="0" fillId="3" borderId="84" xfId="0" applyFill="1" applyBorder="1"/>
    <xf numFmtId="0" fontId="0" fillId="3" borderId="86" xfId="0" applyFill="1" applyBorder="1"/>
    <xf numFmtId="0" fontId="0" fillId="3" borderId="87" xfId="0" applyFill="1" applyBorder="1"/>
    <xf numFmtId="0" fontId="45" fillId="7" borderId="0" xfId="0" applyFont="1" applyFill="1"/>
    <xf numFmtId="0" fontId="45" fillId="7" borderId="0" xfId="0" applyFont="1" applyFill="1" applyAlignment="1">
      <alignment vertical="center"/>
    </xf>
    <xf numFmtId="14" fontId="45" fillId="7" borderId="12" xfId="0" applyNumberFormat="1" applyFont="1" applyFill="1" applyBorder="1" applyAlignment="1">
      <alignment vertical="top"/>
    </xf>
    <xf numFmtId="0" fontId="45" fillId="7" borderId="12" xfId="0" applyFont="1" applyFill="1" applyBorder="1" applyAlignment="1">
      <alignment vertical="top"/>
    </xf>
    <xf numFmtId="0" fontId="45" fillId="7" borderId="12" xfId="0" quotePrefix="1" applyFont="1" applyFill="1" applyBorder="1" applyAlignment="1">
      <alignment vertical="top" wrapText="1"/>
    </xf>
    <xf numFmtId="0" fontId="45" fillId="7" borderId="12" xfId="0" applyFont="1" applyFill="1" applyBorder="1" applyAlignment="1">
      <alignment vertical="top" wrapText="1"/>
    </xf>
    <xf numFmtId="14" fontId="45" fillId="7" borderId="0" xfId="0" applyNumberFormat="1" applyFont="1" applyFill="1"/>
    <xf numFmtId="0" fontId="45" fillId="7" borderId="0" xfId="0" applyFont="1" applyFill="1" applyAlignment="1">
      <alignment wrapText="1"/>
    </xf>
    <xf numFmtId="0" fontId="48" fillId="7" borderId="0" xfId="0" applyFont="1" applyFill="1" applyAlignment="1">
      <alignment horizontal="center" vertical="center"/>
    </xf>
    <xf numFmtId="0" fontId="45" fillId="7" borderId="74" xfId="0" applyFont="1" applyFill="1" applyBorder="1" applyAlignment="1">
      <alignment vertical="center"/>
    </xf>
    <xf numFmtId="14" fontId="34" fillId="4" borderId="0" xfId="5" applyNumberFormat="1" applyFont="1" applyFill="1"/>
    <xf numFmtId="167" fontId="14" fillId="4" borderId="12" xfId="1" applyFont="1" applyFill="1" applyBorder="1" applyAlignment="1">
      <alignment horizontal="right"/>
    </xf>
    <xf numFmtId="167" fontId="0" fillId="0" borderId="0" xfId="1" applyFont="1" applyAlignment="1">
      <alignment horizontal="right"/>
    </xf>
    <xf numFmtId="167" fontId="14" fillId="6" borderId="12" xfId="1" applyFont="1" applyFill="1" applyBorder="1" applyAlignment="1">
      <alignment horizontal="center"/>
    </xf>
    <xf numFmtId="167" fontId="14" fillId="4" borderId="12" xfId="1" applyFont="1" applyFill="1" applyBorder="1" applyAlignment="1">
      <alignment wrapText="1" shrinkToFit="1"/>
    </xf>
    <xf numFmtId="0" fontId="48" fillId="7" borderId="12" xfId="0" applyFont="1" applyFill="1" applyBorder="1" applyAlignment="1">
      <alignment horizontal="center" vertical="center"/>
    </xf>
    <xf numFmtId="0" fontId="50" fillId="7" borderId="12" xfId="0" applyFont="1" applyFill="1" applyBorder="1" applyAlignment="1">
      <alignment horizontal="center" vertical="center"/>
    </xf>
    <xf numFmtId="14" fontId="23" fillId="4" borderId="12" xfId="0" applyNumberFormat="1" applyFont="1" applyFill="1" applyBorder="1" applyAlignment="1">
      <alignment horizontal="right" vertical="center"/>
    </xf>
    <xf numFmtId="14" fontId="23" fillId="4" borderId="21" xfId="0" applyNumberFormat="1" applyFont="1" applyFill="1" applyBorder="1" applyAlignment="1">
      <alignment horizontal="right" vertical="center"/>
    </xf>
    <xf numFmtId="174" fontId="23" fillId="4" borderId="12" xfId="0" applyNumberFormat="1" applyFont="1" applyFill="1" applyBorder="1" applyAlignment="1">
      <alignment horizontal="right" vertical="center" shrinkToFit="1"/>
    </xf>
    <xf numFmtId="174" fontId="25" fillId="4" borderId="12" xfId="0" applyNumberFormat="1" applyFont="1" applyFill="1" applyBorder="1" applyAlignment="1">
      <alignment horizontal="right" vertical="center"/>
    </xf>
    <xf numFmtId="167" fontId="23" fillId="4" borderId="12" xfId="0" applyNumberFormat="1" applyFont="1" applyFill="1" applyBorder="1" applyAlignment="1">
      <alignment horizontal="right" vertical="center"/>
    </xf>
    <xf numFmtId="167" fontId="25" fillId="4" borderId="0" xfId="1" applyFont="1" applyFill="1" applyBorder="1" applyAlignment="1">
      <alignment horizontal="right" vertical="center"/>
    </xf>
    <xf numFmtId="0" fontId="3" fillId="3" borderId="73" xfId="0" applyFont="1" applyFill="1" applyBorder="1" applyAlignment="1">
      <alignment vertical="center"/>
    </xf>
    <xf numFmtId="176" fontId="45" fillId="7" borderId="12" xfId="0" applyNumberFormat="1" applyFont="1" applyFill="1" applyBorder="1" applyAlignment="1">
      <alignment vertical="top"/>
    </xf>
    <xf numFmtId="176" fontId="45" fillId="7" borderId="12" xfId="0" applyNumberFormat="1" applyFont="1" applyFill="1" applyBorder="1" applyAlignment="1">
      <alignment horizontal="right" vertical="top"/>
    </xf>
    <xf numFmtId="0" fontId="25" fillId="4" borderId="0" xfId="0" applyFont="1" applyFill="1" applyAlignment="1">
      <alignment horizontal="right" vertical="center"/>
    </xf>
    <xf numFmtId="167" fontId="25" fillId="4" borderId="0" xfId="0" applyNumberFormat="1" applyFont="1" applyFill="1" applyAlignment="1">
      <alignment vertical="center"/>
    </xf>
    <xf numFmtId="167" fontId="22" fillId="4" borderId="16" xfId="1" applyFont="1" applyFill="1" applyBorder="1" applyAlignment="1">
      <alignment shrinkToFit="1"/>
    </xf>
    <xf numFmtId="167" fontId="14" fillId="6" borderId="21" xfId="1" applyFont="1" applyFill="1" applyBorder="1" applyAlignment="1">
      <alignment horizontal="center" wrapText="1" shrinkToFit="1"/>
    </xf>
    <xf numFmtId="14" fontId="22" fillId="4" borderId="23" xfId="0" applyNumberFormat="1" applyFont="1" applyFill="1" applyBorder="1" applyAlignment="1">
      <alignment shrinkToFit="1"/>
    </xf>
    <xf numFmtId="171" fontId="22" fillId="4" borderId="34" xfId="1" applyNumberFormat="1" applyFont="1" applyFill="1" applyBorder="1" applyAlignment="1">
      <alignment shrinkToFit="1"/>
    </xf>
    <xf numFmtId="171" fontId="24" fillId="5" borderId="50" xfId="1" applyNumberFormat="1" applyFont="1" applyFill="1" applyBorder="1" applyAlignment="1">
      <alignment shrinkToFit="1"/>
    </xf>
    <xf numFmtId="171" fontId="22" fillId="4" borderId="12" xfId="1" applyNumberFormat="1" applyFont="1" applyFill="1" applyBorder="1" applyAlignment="1">
      <alignment shrinkToFit="1"/>
    </xf>
    <xf numFmtId="171" fontId="22" fillId="5" borderId="12" xfId="1" applyNumberFormat="1" applyFont="1" applyFill="1" applyBorder="1" applyAlignment="1">
      <alignment shrinkToFit="1"/>
    </xf>
    <xf numFmtId="14" fontId="0" fillId="3" borderId="0" xfId="1" applyNumberFormat="1" applyFont="1" applyFill="1" applyAlignment="1">
      <alignment vertical="center"/>
    </xf>
    <xf numFmtId="14" fontId="14" fillId="4" borderId="0" xfId="1" applyNumberFormat="1" applyFont="1" applyFill="1" applyAlignment="1">
      <alignment vertical="center"/>
    </xf>
    <xf numFmtId="14" fontId="14" fillId="4" borderId="75" xfId="1" applyNumberFormat="1" applyFont="1" applyFill="1" applyBorder="1" applyAlignment="1">
      <alignment vertical="center"/>
    </xf>
    <xf numFmtId="14" fontId="3" fillId="3" borderId="0" xfId="0" applyNumberFormat="1" applyFont="1" applyFill="1" applyAlignment="1">
      <alignment vertical="center"/>
    </xf>
    <xf numFmtId="14" fontId="23" fillId="4" borderId="0" xfId="0" applyNumberFormat="1" applyFont="1" applyFill="1" applyAlignment="1">
      <alignment vertical="center"/>
    </xf>
    <xf numFmtId="14" fontId="14" fillId="4" borderId="14" xfId="0" applyNumberFormat="1" applyFont="1" applyFill="1" applyBorder="1" applyAlignment="1">
      <alignment vertical="center"/>
    </xf>
    <xf numFmtId="14" fontId="14" fillId="4" borderId="0" xfId="0" applyNumberFormat="1" applyFont="1" applyFill="1" applyAlignment="1">
      <alignment vertical="center"/>
    </xf>
    <xf numFmtId="14" fontId="0" fillId="3" borderId="0" xfId="0" applyNumberFormat="1" applyFill="1" applyAlignment="1">
      <alignment vertical="center"/>
    </xf>
    <xf numFmtId="0" fontId="22" fillId="4" borderId="0" xfId="0" applyFont="1" applyFill="1" applyAlignment="1">
      <alignment horizontal="right" vertical="center"/>
    </xf>
    <xf numFmtId="177" fontId="14" fillId="6" borderId="12" xfId="3" applyNumberFormat="1" applyFont="1" applyFill="1" applyBorder="1"/>
    <xf numFmtId="14" fontId="1" fillId="0" borderId="0" xfId="3" applyNumberFormat="1" applyFont="1"/>
    <xf numFmtId="177" fontId="1" fillId="0" borderId="0" xfId="3" applyNumberFormat="1" applyFont="1"/>
    <xf numFmtId="167" fontId="1" fillId="0" borderId="0" xfId="1" applyFont="1"/>
    <xf numFmtId="1" fontId="1" fillId="0" borderId="0" xfId="3" applyNumberFormat="1" applyFont="1"/>
    <xf numFmtId="1" fontId="0" fillId="0" borderId="0" xfId="0" applyNumberFormat="1"/>
    <xf numFmtId="167" fontId="1" fillId="0" borderId="0" xfId="1" applyFont="1" applyAlignment="1">
      <alignment horizontal="right"/>
    </xf>
    <xf numFmtId="0" fontId="23" fillId="4" borderId="14" xfId="0" applyFont="1" applyFill="1" applyBorder="1" applyAlignment="1">
      <alignment vertical="center"/>
    </xf>
    <xf numFmtId="14" fontId="23" fillId="4" borderId="75" xfId="0" applyNumberFormat="1" applyFont="1" applyFill="1" applyBorder="1" applyAlignment="1">
      <alignment vertical="center" shrinkToFit="1"/>
    </xf>
    <xf numFmtId="14" fontId="23" fillId="4" borderId="12" xfId="0" applyNumberFormat="1" applyFont="1" applyFill="1" applyBorder="1" applyAlignment="1">
      <alignment vertical="center" shrinkToFit="1"/>
    </xf>
    <xf numFmtId="172" fontId="3" fillId="3" borderId="74" xfId="0" applyNumberFormat="1" applyFont="1" applyFill="1" applyBorder="1" applyAlignment="1">
      <alignment vertical="center" shrinkToFit="1"/>
    </xf>
    <xf numFmtId="1" fontId="14" fillId="4" borderId="12" xfId="3" applyNumberFormat="1" applyFont="1" applyFill="1" applyBorder="1"/>
    <xf numFmtId="1" fontId="14" fillId="4" borderId="74" xfId="0" applyNumberFormat="1" applyFont="1" applyFill="1" applyBorder="1"/>
    <xf numFmtId="177" fontId="14" fillId="6" borderId="75" xfId="3" applyNumberFormat="1" applyFont="1" applyFill="1" applyBorder="1"/>
    <xf numFmtId="172" fontId="14" fillId="4" borderId="13" xfId="0" applyNumberFormat="1" applyFont="1" applyFill="1" applyBorder="1"/>
    <xf numFmtId="167" fontId="35" fillId="4" borderId="74" xfId="1" applyFont="1" applyFill="1" applyBorder="1"/>
    <xf numFmtId="172" fontId="14" fillId="4" borderId="14" xfId="0" applyNumberFormat="1" applyFont="1" applyFill="1" applyBorder="1" applyAlignment="1">
      <alignment horizontal="center"/>
    </xf>
    <xf numFmtId="167" fontId="14" fillId="4" borderId="75" xfId="1" applyFont="1" applyFill="1" applyBorder="1" applyAlignment="1">
      <alignment horizontal="center"/>
    </xf>
    <xf numFmtId="167" fontId="35" fillId="4" borderId="73" xfId="1" applyFont="1" applyFill="1" applyBorder="1" applyAlignment="1">
      <alignment horizontal="center"/>
    </xf>
    <xf numFmtId="172" fontId="14" fillId="4" borderId="72" xfId="0" applyNumberFormat="1" applyFont="1" applyFill="1" applyBorder="1"/>
    <xf numFmtId="167" fontId="35" fillId="4" borderId="71" xfId="1" applyFont="1" applyFill="1" applyBorder="1"/>
    <xf numFmtId="167" fontId="14" fillId="4" borderId="75" xfId="1" applyFont="1" applyFill="1" applyBorder="1"/>
    <xf numFmtId="22" fontId="0" fillId="0" borderId="0" xfId="0" applyNumberFormat="1"/>
    <xf numFmtId="167" fontId="14" fillId="4" borderId="41" xfId="1" applyFont="1" applyFill="1" applyBorder="1" applyAlignment="1">
      <alignment horizontal="right"/>
    </xf>
    <xf numFmtId="167" fontId="14" fillId="4" borderId="32" xfId="1" applyFont="1" applyFill="1" applyBorder="1" applyAlignment="1">
      <alignment horizontal="right"/>
    </xf>
    <xf numFmtId="167" fontId="14" fillId="4" borderId="30" xfId="1" applyFont="1" applyFill="1" applyBorder="1" applyAlignment="1">
      <alignment horizontal="right"/>
    </xf>
    <xf numFmtId="0" fontId="19" fillId="4" borderId="41" xfId="0" applyFont="1" applyFill="1" applyBorder="1" applyAlignment="1">
      <alignment vertical="top"/>
    </xf>
    <xf numFmtId="171" fontId="19" fillId="4" borderId="41" xfId="1" applyNumberFormat="1" applyFont="1" applyFill="1" applyBorder="1" applyAlignment="1">
      <alignment horizontal="right" vertical="top"/>
    </xf>
    <xf numFmtId="0" fontId="19" fillId="4" borderId="0" xfId="0" applyFont="1" applyFill="1" applyAlignment="1">
      <alignment vertical="top"/>
    </xf>
    <xf numFmtId="0" fontId="4" fillId="0" borderId="0" xfId="0" applyFont="1" applyAlignment="1">
      <alignment vertical="top"/>
    </xf>
    <xf numFmtId="171" fontId="19" fillId="4" borderId="42" xfId="1" applyNumberFormat="1" applyFont="1" applyFill="1" applyBorder="1" applyAlignment="1">
      <alignment horizontal="right" vertical="top"/>
    </xf>
    <xf numFmtId="13" fontId="19" fillId="4" borderId="41" xfId="1" applyNumberFormat="1" applyFont="1" applyFill="1" applyBorder="1" applyAlignment="1">
      <alignment horizontal="right" vertical="top" wrapText="1"/>
    </xf>
    <xf numFmtId="165" fontId="19" fillId="4" borderId="41" xfId="1" applyNumberFormat="1" applyFont="1" applyFill="1" applyBorder="1" applyAlignment="1">
      <alignment horizontal="right" vertical="top" wrapText="1"/>
    </xf>
    <xf numFmtId="171" fontId="19" fillId="4" borderId="41" xfId="1" applyNumberFormat="1" applyFont="1" applyFill="1" applyBorder="1" applyAlignment="1">
      <alignment horizontal="right" vertical="top" wrapText="1"/>
    </xf>
    <xf numFmtId="167" fontId="19" fillId="4" borderId="42" xfId="1" applyFont="1" applyFill="1" applyBorder="1" applyAlignment="1">
      <alignment horizontal="right" vertical="top" wrapText="1"/>
    </xf>
    <xf numFmtId="171" fontId="19" fillId="4" borderId="42" xfId="1" applyNumberFormat="1" applyFont="1" applyFill="1" applyBorder="1" applyAlignment="1">
      <alignment horizontal="right" vertical="top" wrapText="1"/>
    </xf>
    <xf numFmtId="0" fontId="19" fillId="4" borderId="41" xfId="0" applyFont="1" applyFill="1" applyBorder="1" applyAlignment="1">
      <alignment vertical="top" wrapText="1"/>
    </xf>
    <xf numFmtId="171" fontId="19" fillId="4" borderId="41" xfId="1" applyNumberFormat="1" applyFont="1" applyFill="1" applyBorder="1" applyAlignment="1">
      <alignment vertical="top"/>
    </xf>
    <xf numFmtId="167" fontId="19" fillId="4" borderId="41" xfId="1" applyFont="1" applyFill="1" applyBorder="1" applyAlignment="1">
      <alignment horizontal="right" vertical="top"/>
    </xf>
    <xf numFmtId="167" fontId="19" fillId="4" borderId="41" xfId="1" applyFont="1" applyFill="1" applyBorder="1" applyAlignment="1">
      <alignment horizontal="right" vertical="top" wrapText="1"/>
    </xf>
    <xf numFmtId="173" fontId="1" fillId="0" borderId="0" xfId="3" applyNumberFormat="1" applyFont="1"/>
    <xf numFmtId="180" fontId="1" fillId="0" borderId="0" xfId="3" applyNumberFormat="1" applyFont="1"/>
    <xf numFmtId="173" fontId="0" fillId="0" borderId="12" xfId="3" applyNumberFormat="1" applyFont="1" applyBorder="1" applyAlignment="1">
      <alignment horizontal="center"/>
    </xf>
    <xf numFmtId="179" fontId="1" fillId="0" borderId="0" xfId="2" applyNumberFormat="1" applyFont="1"/>
    <xf numFmtId="10" fontId="1" fillId="0" borderId="0" xfId="2" applyNumberFormat="1" applyFont="1"/>
    <xf numFmtId="10" fontId="0" fillId="0" borderId="13" xfId="2" applyNumberFormat="1" applyFont="1" applyBorder="1" applyAlignment="1">
      <alignment horizontal="center"/>
    </xf>
    <xf numFmtId="179" fontId="0" fillId="0" borderId="12" xfId="2" applyNumberFormat="1" applyFont="1" applyBorder="1" applyAlignment="1">
      <alignment horizontal="center"/>
    </xf>
    <xf numFmtId="10" fontId="0" fillId="0" borderId="12" xfId="2" quotePrefix="1" applyNumberFormat="1" applyFont="1" applyBorder="1" applyAlignment="1">
      <alignment horizontal="center"/>
    </xf>
    <xf numFmtId="10" fontId="2" fillId="0" borderId="0" xfId="2" applyNumberFormat="1" applyFont="1"/>
    <xf numFmtId="172" fontId="22" fillId="4" borderId="13" xfId="0" applyNumberFormat="1" applyFont="1" applyFill="1" applyBorder="1" applyAlignment="1">
      <alignment vertical="center"/>
    </xf>
    <xf numFmtId="178" fontId="23" fillId="4" borderId="71" xfId="1" applyNumberFormat="1" applyFont="1" applyFill="1" applyBorder="1" applyAlignment="1">
      <alignment vertical="center"/>
    </xf>
    <xf numFmtId="178" fontId="14" fillId="4" borderId="71" xfId="1" applyNumberFormat="1" applyFont="1" applyFill="1" applyBorder="1" applyAlignment="1">
      <alignment vertical="center"/>
    </xf>
    <xf numFmtId="164" fontId="35" fillId="4" borderId="71" xfId="1" applyNumberFormat="1" applyFont="1" applyFill="1" applyBorder="1" applyAlignment="1">
      <alignment vertical="center"/>
    </xf>
    <xf numFmtId="181" fontId="23" fillId="4" borderId="12" xfId="1" applyNumberFormat="1" applyFont="1" applyFill="1" applyBorder="1" applyAlignment="1">
      <alignment vertical="center"/>
    </xf>
    <xf numFmtId="0" fontId="0" fillId="0" borderId="78" xfId="0" applyBorder="1"/>
    <xf numFmtId="0" fontId="0" fillId="0" borderId="15" xfId="0" applyBorder="1"/>
    <xf numFmtId="0" fontId="0" fillId="0" borderId="97" xfId="0" applyBorder="1"/>
    <xf numFmtId="0" fontId="14" fillId="4" borderId="80" xfId="0" applyFont="1" applyFill="1" applyBorder="1"/>
    <xf numFmtId="171" fontId="14" fillId="4" borderId="81" xfId="1" applyNumberFormat="1" applyFont="1" applyFill="1" applyBorder="1"/>
    <xf numFmtId="171" fontId="14" fillId="4" borderId="83" xfId="1" applyNumberFormat="1" applyFont="1" applyFill="1" applyBorder="1"/>
    <xf numFmtId="171" fontId="14" fillId="4" borderId="82" xfId="1" applyNumberFormat="1" applyFont="1" applyFill="1" applyBorder="1"/>
    <xf numFmtId="173" fontId="0" fillId="0" borderId="74" xfId="3" applyNumberFormat="1" applyFont="1" applyBorder="1" applyAlignment="1">
      <alignment horizontal="center"/>
    </xf>
    <xf numFmtId="0" fontId="4" fillId="0" borderId="15" xfId="0" applyFont="1" applyBorder="1" applyAlignment="1">
      <alignment vertical="top"/>
    </xf>
    <xf numFmtId="9" fontId="19" fillId="4" borderId="0" xfId="2" applyFont="1" applyFill="1" applyBorder="1"/>
    <xf numFmtId="9" fontId="4" fillId="0" borderId="0" xfId="2" applyFont="1" applyBorder="1"/>
    <xf numFmtId="9" fontId="4" fillId="0" borderId="15" xfId="2" applyFont="1" applyBorder="1"/>
    <xf numFmtId="0" fontId="4" fillId="0" borderId="15" xfId="0" applyFont="1" applyBorder="1"/>
    <xf numFmtId="0" fontId="19" fillId="4" borderId="97" xfId="0" applyFont="1" applyFill="1" applyBorder="1" applyAlignment="1">
      <alignment vertical="top"/>
    </xf>
    <xf numFmtId="9" fontId="19" fillId="4" borderId="97" xfId="2" applyFont="1" applyFill="1" applyBorder="1"/>
    <xf numFmtId="0" fontId="19" fillId="4" borderId="97" xfId="0" applyFont="1" applyFill="1" applyBorder="1"/>
    <xf numFmtId="0" fontId="4" fillId="0" borderId="97" xfId="0" applyFont="1" applyBorder="1" applyAlignment="1">
      <alignment vertical="top"/>
    </xf>
    <xf numFmtId="9" fontId="4" fillId="0" borderId="97" xfId="2" applyFont="1" applyBorder="1"/>
    <xf numFmtId="0" fontId="4" fillId="0" borderId="97" xfId="0" applyFont="1" applyBorder="1"/>
    <xf numFmtId="0" fontId="4" fillId="0" borderId="78" xfId="0" applyFont="1" applyBorder="1" applyAlignment="1">
      <alignment vertical="top"/>
    </xf>
    <xf numFmtId="9" fontId="4" fillId="0" borderId="78" xfId="2" applyFont="1" applyBorder="1"/>
    <xf numFmtId="0" fontId="4" fillId="0" borderId="78" xfId="0" applyFont="1" applyBorder="1"/>
    <xf numFmtId="0" fontId="18" fillId="0" borderId="15" xfId="0" applyFont="1" applyBorder="1" applyAlignment="1">
      <alignment shrinkToFit="1"/>
    </xf>
    <xf numFmtId="10" fontId="24" fillId="4" borderId="0" xfId="2" applyNumberFormat="1" applyFont="1" applyFill="1" applyBorder="1" applyAlignment="1">
      <alignment shrinkToFit="1"/>
    </xf>
    <xf numFmtId="0" fontId="22" fillId="4" borderId="108" xfId="0" applyFont="1" applyFill="1" applyBorder="1" applyAlignment="1">
      <alignment shrinkToFit="1"/>
    </xf>
    <xf numFmtId="0" fontId="18" fillId="0" borderId="97" xfId="0" applyFont="1" applyBorder="1" applyAlignment="1">
      <alignment shrinkToFit="1"/>
    </xf>
    <xf numFmtId="0" fontId="18" fillId="0" borderId="78" xfId="0" applyFont="1" applyBorder="1" applyAlignment="1">
      <alignment shrinkToFit="1"/>
    </xf>
    <xf numFmtId="0" fontId="14" fillId="4" borderId="14" xfId="0" applyFont="1" applyFill="1" applyBorder="1"/>
    <xf numFmtId="0" fontId="14" fillId="4" borderId="75" xfId="0" applyFont="1" applyFill="1" applyBorder="1"/>
    <xf numFmtId="167" fontId="14" fillId="4" borderId="75" xfId="1" applyFont="1" applyFill="1" applyBorder="1" applyAlignment="1">
      <alignment horizontal="right"/>
    </xf>
    <xf numFmtId="0" fontId="14" fillId="4" borderId="75" xfId="0" applyFont="1" applyFill="1" applyBorder="1" applyAlignment="1">
      <alignment shrinkToFit="1"/>
    </xf>
    <xf numFmtId="1" fontId="14" fillId="4" borderId="75" xfId="3" applyNumberFormat="1" applyFont="1" applyFill="1" applyBorder="1"/>
    <xf numFmtId="1" fontId="14" fillId="4" borderId="73" xfId="0" applyNumberFormat="1" applyFont="1" applyFill="1" applyBorder="1"/>
    <xf numFmtId="177" fontId="14" fillId="6" borderId="76" xfId="3" applyNumberFormat="1" applyFont="1" applyFill="1" applyBorder="1"/>
    <xf numFmtId="167" fontId="14" fillId="4" borderId="76" xfId="1" applyFont="1" applyFill="1" applyBorder="1" applyAlignment="1">
      <alignment horizontal="right"/>
    </xf>
    <xf numFmtId="1" fontId="14" fillId="4" borderId="76" xfId="3" applyNumberFormat="1" applyFont="1" applyFill="1" applyBorder="1"/>
    <xf numFmtId="1" fontId="14" fillId="4" borderId="71" xfId="0" applyNumberFormat="1" applyFont="1" applyFill="1" applyBorder="1"/>
    <xf numFmtId="14" fontId="14" fillId="4" borderId="75" xfId="3" applyNumberFormat="1" applyFont="1" applyFill="1" applyBorder="1"/>
    <xf numFmtId="14" fontId="14" fillId="4" borderId="12" xfId="3" applyNumberFormat="1" applyFont="1" applyFill="1" applyBorder="1"/>
    <xf numFmtId="14" fontId="14" fillId="4" borderId="76" xfId="3" applyNumberFormat="1" applyFont="1" applyFill="1" applyBorder="1"/>
    <xf numFmtId="182" fontId="14" fillId="4" borderId="12" xfId="3" applyNumberFormat="1" applyFont="1" applyFill="1" applyBorder="1"/>
    <xf numFmtId="182" fontId="14" fillId="4" borderId="75" xfId="3" applyNumberFormat="1" applyFont="1" applyFill="1" applyBorder="1"/>
    <xf numFmtId="182" fontId="14" fillId="4" borderId="76" xfId="3" applyNumberFormat="1" applyFont="1" applyFill="1" applyBorder="1"/>
    <xf numFmtId="167" fontId="14" fillId="4" borderId="12" xfId="1" applyFont="1" applyFill="1" applyBorder="1" applyAlignment="1">
      <alignment horizontal="left"/>
    </xf>
    <xf numFmtId="167" fontId="14" fillId="4" borderId="13" xfId="1" applyFont="1" applyFill="1" applyBorder="1" applyAlignment="1">
      <alignment horizontal="left"/>
    </xf>
    <xf numFmtId="165" fontId="14" fillId="4" borderId="23" xfId="1" applyNumberFormat="1" applyFont="1" applyFill="1" applyBorder="1"/>
    <xf numFmtId="167" fontId="14" fillId="4" borderId="0" xfId="1" applyFont="1" applyFill="1" applyBorder="1" applyAlignment="1">
      <alignment horizontal="center"/>
    </xf>
    <xf numFmtId="167" fontId="14" fillId="4" borderId="12" xfId="0" applyNumberFormat="1" applyFont="1" applyFill="1" applyBorder="1"/>
    <xf numFmtId="167" fontId="14" fillId="4" borderId="13" xfId="0" applyNumberFormat="1" applyFont="1" applyFill="1" applyBorder="1"/>
    <xf numFmtId="14" fontId="14" fillId="4" borderId="12" xfId="0" applyNumberFormat="1" applyFont="1" applyFill="1" applyBorder="1" applyAlignment="1">
      <alignment horizontal="right"/>
    </xf>
    <xf numFmtId="167" fontId="14" fillId="4" borderId="12" xfId="0" applyNumberFormat="1" applyFont="1" applyFill="1" applyBorder="1" applyAlignment="1">
      <alignment horizontal="right"/>
    </xf>
    <xf numFmtId="167" fontId="14" fillId="4" borderId="74" xfId="0" applyNumberFormat="1" applyFont="1" applyFill="1" applyBorder="1"/>
    <xf numFmtId="165" fontId="14" fillId="4" borderId="74" xfId="0" applyNumberFormat="1" applyFont="1" applyFill="1" applyBorder="1"/>
    <xf numFmtId="167" fontId="36" fillId="4" borderId="12" xfId="0" applyNumberFormat="1" applyFont="1" applyFill="1" applyBorder="1" applyAlignment="1">
      <alignment horizontal="center" vertical="center"/>
    </xf>
    <xf numFmtId="170" fontId="14" fillId="4" borderId="72" xfId="0" applyNumberFormat="1" applyFont="1" applyFill="1" applyBorder="1" applyAlignment="1">
      <alignment horizontal="center"/>
    </xf>
    <xf numFmtId="167" fontId="14" fillId="4" borderId="0" xfId="0" applyNumberFormat="1" applyFont="1" applyFill="1"/>
    <xf numFmtId="172" fontId="14" fillId="4" borderId="0" xfId="0" applyNumberFormat="1" applyFont="1" applyFill="1"/>
    <xf numFmtId="167" fontId="14" fillId="4" borderId="12" xfId="0" applyNumberFormat="1" applyFont="1" applyFill="1" applyBorder="1" applyAlignment="1">
      <alignment shrinkToFit="1"/>
    </xf>
    <xf numFmtId="167" fontId="14" fillId="4" borderId="0" xfId="0" applyNumberFormat="1" applyFont="1" applyFill="1" applyAlignment="1">
      <alignment shrinkToFit="1"/>
    </xf>
    <xf numFmtId="170" fontId="14" fillId="4" borderId="0" xfId="0" applyNumberFormat="1" applyFont="1" applyFill="1"/>
    <xf numFmtId="170" fontId="14" fillId="4" borderId="12" xfId="0" applyNumberFormat="1" applyFont="1" applyFill="1" applyBorder="1"/>
    <xf numFmtId="170" fontId="14" fillId="4" borderId="12" xfId="1" applyNumberFormat="1" applyFont="1" applyFill="1" applyBorder="1" applyAlignment="1">
      <alignment horizontal="center"/>
    </xf>
    <xf numFmtId="11" fontId="14" fillId="4" borderId="12" xfId="0" applyNumberFormat="1" applyFont="1" applyFill="1" applyBorder="1" applyAlignment="1">
      <alignment shrinkToFit="1"/>
    </xf>
    <xf numFmtId="167" fontId="14" fillId="4" borderId="109" xfId="1" applyFont="1" applyFill="1" applyBorder="1" applyAlignment="1">
      <alignment horizontal="center"/>
    </xf>
    <xf numFmtId="167" fontId="14" fillId="6" borderId="18" xfId="1" applyFont="1" applyFill="1" applyBorder="1" applyAlignment="1">
      <alignment horizontal="center"/>
    </xf>
    <xf numFmtId="49" fontId="14" fillId="6" borderId="107" xfId="1" applyNumberFormat="1" applyFont="1" applyFill="1" applyBorder="1" applyAlignment="1">
      <alignment horizontal="center" shrinkToFit="1"/>
    </xf>
    <xf numFmtId="170" fontId="14" fillId="6" borderId="18" xfId="3" applyNumberFormat="1" applyFont="1" applyFill="1" applyBorder="1" applyAlignment="1">
      <alignment horizontal="center"/>
    </xf>
    <xf numFmtId="170" fontId="14" fillId="6" borderId="107" xfId="3" applyNumberFormat="1" applyFont="1" applyFill="1" applyBorder="1" applyAlignment="1">
      <alignment horizontal="center"/>
    </xf>
    <xf numFmtId="167" fontId="14" fillId="6" borderId="74" xfId="1" applyFont="1" applyFill="1" applyBorder="1" applyAlignment="1">
      <alignment horizontal="center"/>
    </xf>
    <xf numFmtId="167" fontId="14" fillId="6" borderId="97" xfId="1" applyFont="1" applyFill="1" applyBorder="1" applyAlignment="1">
      <alignment horizontal="center"/>
    </xf>
    <xf numFmtId="167" fontId="14" fillId="4" borderId="76" xfId="1" applyFont="1" applyFill="1" applyBorder="1" applyAlignment="1">
      <alignment horizontal="center"/>
    </xf>
    <xf numFmtId="170" fontId="14" fillId="4" borderId="12" xfId="3" applyNumberFormat="1" applyFont="1" applyFill="1" applyBorder="1" applyAlignment="1">
      <alignment horizontal="center"/>
    </xf>
    <xf numFmtId="170" fontId="14" fillId="4" borderId="13" xfId="3" applyNumberFormat="1" applyFont="1" applyFill="1" applyBorder="1" applyAlignment="1">
      <alignment horizontal="center"/>
    </xf>
    <xf numFmtId="167" fontId="14" fillId="6" borderId="105" xfId="1" applyFont="1" applyFill="1" applyBorder="1" applyAlignment="1">
      <alignment horizontal="center"/>
    </xf>
    <xf numFmtId="49" fontId="14" fillId="6" borderId="106" xfId="1" applyNumberFormat="1" applyFont="1" applyFill="1" applyBorder="1" applyAlignment="1">
      <alignment horizontal="center" shrinkToFit="1"/>
    </xf>
    <xf numFmtId="14" fontId="14" fillId="6" borderId="104" xfId="1" applyNumberFormat="1" applyFont="1" applyFill="1" applyBorder="1" applyAlignment="1">
      <alignment horizontal="center"/>
    </xf>
    <xf numFmtId="3" fontId="14" fillId="6" borderId="104" xfId="1" applyNumberFormat="1" applyFont="1" applyFill="1" applyBorder="1" applyAlignment="1">
      <alignment horizontal="center"/>
    </xf>
    <xf numFmtId="167" fontId="14" fillId="6" borderId="104" xfId="1" applyFont="1" applyFill="1" applyBorder="1" applyAlignment="1">
      <alignment horizontal="center"/>
    </xf>
    <xf numFmtId="167" fontId="14" fillId="6" borderId="104" xfId="1" applyFont="1" applyFill="1" applyBorder="1" applyAlignment="1">
      <alignment horizontal="center" shrinkToFit="1"/>
    </xf>
    <xf numFmtId="170" fontId="14" fillId="6" borderId="105" xfId="3" applyNumberFormat="1" applyFont="1" applyFill="1" applyBorder="1" applyAlignment="1">
      <alignment horizontal="center"/>
    </xf>
    <xf numFmtId="170" fontId="14" fillId="6" borderId="106" xfId="3" applyNumberFormat="1" applyFont="1" applyFill="1" applyBorder="1" applyAlignment="1">
      <alignment horizontal="center"/>
    </xf>
    <xf numFmtId="170" fontId="14" fillId="6" borderId="104" xfId="3" applyNumberFormat="1" applyFont="1" applyFill="1" applyBorder="1" applyAlignment="1">
      <alignment horizontal="center"/>
    </xf>
    <xf numFmtId="170" fontId="14" fillId="6" borderId="105" xfId="1" applyNumberFormat="1" applyFont="1" applyFill="1" applyBorder="1" applyAlignment="1">
      <alignment horizontal="center"/>
    </xf>
    <xf numFmtId="167" fontId="14" fillId="6" borderId="96" xfId="1" applyFont="1" applyFill="1" applyBorder="1" applyAlignment="1">
      <alignment horizontal="center"/>
    </xf>
    <xf numFmtId="167" fontId="14" fillId="4" borderId="14" xfId="1" applyFont="1" applyFill="1" applyBorder="1" applyAlignment="1">
      <alignment horizontal="center"/>
    </xf>
    <xf numFmtId="167" fontId="21" fillId="4" borderId="12" xfId="1" applyFont="1" applyFill="1" applyBorder="1" applyAlignment="1">
      <alignment horizontal="center" vertical="center"/>
    </xf>
    <xf numFmtId="171" fontId="14" fillId="6" borderId="41" xfId="1" applyNumberFormat="1" applyFont="1" applyFill="1" applyBorder="1" applyAlignment="1">
      <alignment horizontal="center" shrinkToFit="1"/>
    </xf>
    <xf numFmtId="170" fontId="14" fillId="4" borderId="77" xfId="3" applyNumberFormat="1" applyFont="1" applyFill="1" applyBorder="1" applyAlignment="1">
      <alignment horizontal="center"/>
    </xf>
    <xf numFmtId="14" fontId="14" fillId="4" borderId="41" xfId="1" applyNumberFormat="1" applyFont="1" applyFill="1" applyBorder="1" applyAlignment="1">
      <alignment horizontal="center"/>
    </xf>
    <xf numFmtId="3" fontId="14" fillId="4" borderId="41" xfId="1" applyNumberFormat="1" applyFont="1" applyFill="1" applyBorder="1" applyAlignment="1">
      <alignment horizontal="center"/>
    </xf>
    <xf numFmtId="167" fontId="14" fillId="4" borderId="41" xfId="1" applyFont="1" applyFill="1" applyBorder="1" applyAlignment="1">
      <alignment horizontal="center"/>
    </xf>
    <xf numFmtId="170" fontId="14" fillId="4" borderId="18" xfId="1" applyNumberFormat="1" applyFont="1" applyFill="1" applyBorder="1" applyAlignment="1">
      <alignment horizontal="center"/>
    </xf>
    <xf numFmtId="167" fontId="14" fillId="4" borderId="110" xfId="1" applyFont="1" applyFill="1" applyBorder="1" applyAlignment="1">
      <alignment horizontal="center"/>
    </xf>
    <xf numFmtId="0" fontId="26" fillId="4" borderId="75" xfId="0" applyFont="1" applyFill="1" applyBorder="1" applyAlignment="1">
      <alignment horizontal="center"/>
    </xf>
    <xf numFmtId="0" fontId="26" fillId="4" borderId="12" xfId="0" applyFont="1" applyFill="1" applyBorder="1" applyAlignment="1">
      <alignment horizontal="center"/>
    </xf>
    <xf numFmtId="0" fontId="26" fillId="4" borderId="76" xfId="0" applyFont="1" applyFill="1" applyBorder="1" applyAlignment="1">
      <alignment horizontal="center"/>
    </xf>
    <xf numFmtId="0" fontId="5" fillId="0" borderId="0" xfId="0" applyFont="1" applyAlignment="1">
      <alignment horizontal="center"/>
    </xf>
    <xf numFmtId="49" fontId="14" fillId="6" borderId="12" xfId="1" applyNumberFormat="1" applyFont="1" applyFill="1" applyBorder="1" applyAlignment="1">
      <alignment horizontal="center" shrinkToFit="1"/>
    </xf>
    <xf numFmtId="49" fontId="14" fillId="4" borderId="12" xfId="1" applyNumberFormat="1" applyFont="1" applyFill="1" applyBorder="1" applyAlignment="1">
      <alignment horizontal="center" shrinkToFit="1"/>
    </xf>
    <xf numFmtId="49" fontId="14" fillId="6" borderId="12" xfId="1" quotePrefix="1" applyNumberFormat="1" applyFont="1" applyFill="1" applyBorder="1" applyAlignment="1">
      <alignment horizontal="left" shrinkToFit="1"/>
    </xf>
    <xf numFmtId="49" fontId="14" fillId="6" borderId="21" xfId="1" quotePrefix="1" applyNumberFormat="1" applyFont="1" applyFill="1" applyBorder="1" applyAlignment="1">
      <alignment horizontal="left" shrinkToFit="1"/>
    </xf>
    <xf numFmtId="49" fontId="14" fillId="4" borderId="12" xfId="1" applyNumberFormat="1" applyFont="1" applyFill="1" applyBorder="1" applyAlignment="1">
      <alignment shrinkToFit="1"/>
    </xf>
    <xf numFmtId="49" fontId="14" fillId="4" borderId="21" xfId="0" applyNumberFormat="1" applyFont="1" applyFill="1" applyBorder="1" applyAlignment="1">
      <alignment shrinkToFit="1"/>
    </xf>
    <xf numFmtId="49" fontId="14" fillId="4" borderId="30" xfId="1" applyNumberFormat="1" applyFont="1" applyFill="1" applyBorder="1" applyAlignment="1">
      <alignment shrinkToFit="1"/>
    </xf>
    <xf numFmtId="49" fontId="14" fillId="4" borderId="12" xfId="0" applyNumberFormat="1" applyFont="1" applyFill="1" applyBorder="1" applyAlignment="1">
      <alignment shrinkToFit="1"/>
    </xf>
    <xf numFmtId="14" fontId="35" fillId="4" borderId="14" xfId="0" applyNumberFormat="1" applyFont="1" applyFill="1" applyBorder="1" applyAlignment="1">
      <alignment vertical="center"/>
    </xf>
    <xf numFmtId="14" fontId="35" fillId="4" borderId="75" xfId="1" applyNumberFormat="1" applyFont="1" applyFill="1" applyBorder="1" applyAlignment="1">
      <alignment horizontal="right" vertical="center"/>
    </xf>
    <xf numFmtId="0" fontId="3" fillId="3" borderId="12" xfId="0" applyFont="1" applyFill="1" applyBorder="1" applyAlignment="1">
      <alignment vertical="center" shrinkToFit="1"/>
    </xf>
    <xf numFmtId="0" fontId="3" fillId="3" borderId="73" xfId="0" applyFont="1" applyFill="1" applyBorder="1" applyAlignment="1">
      <alignment vertical="center" shrinkToFit="1"/>
    </xf>
    <xf numFmtId="14" fontId="23" fillId="4" borderId="0" xfId="0" applyNumberFormat="1" applyFont="1" applyFill="1" applyAlignment="1">
      <alignment vertical="center" shrinkToFit="1"/>
    </xf>
    <xf numFmtId="171" fontId="14" fillId="4" borderId="12" xfId="1" applyNumberFormat="1" applyFont="1" applyFill="1" applyBorder="1"/>
    <xf numFmtId="171" fontId="14" fillId="4" borderId="74" xfId="1" applyNumberFormat="1" applyFont="1" applyFill="1" applyBorder="1"/>
    <xf numFmtId="165" fontId="14" fillId="4" borderId="23" xfId="1" applyNumberFormat="1" applyFont="1" applyFill="1" applyBorder="1" applyAlignment="1">
      <alignment horizontal="center"/>
    </xf>
    <xf numFmtId="49" fontId="14" fillId="4" borderId="41" xfId="1" applyNumberFormat="1" applyFont="1" applyFill="1" applyBorder="1" applyAlignment="1">
      <alignment horizontal="right" shrinkToFit="1"/>
    </xf>
    <xf numFmtId="170" fontId="14" fillId="6" borderId="21" xfId="1" applyNumberFormat="1" applyFont="1" applyFill="1" applyBorder="1" applyAlignment="1">
      <alignment horizontal="center"/>
    </xf>
    <xf numFmtId="171" fontId="22" fillId="4" borderId="0" xfId="1" applyNumberFormat="1" applyFont="1" applyFill="1" applyBorder="1" applyAlignment="1">
      <alignment vertical="center"/>
    </xf>
    <xf numFmtId="174" fontId="25" fillId="4" borderId="0" xfId="0" applyNumberFormat="1" applyFont="1" applyFill="1" applyAlignment="1">
      <alignment horizontal="right" vertical="center"/>
    </xf>
    <xf numFmtId="0" fontId="8" fillId="3" borderId="0" xfId="0" applyFont="1" applyFill="1" applyAlignment="1">
      <alignment vertical="center"/>
    </xf>
    <xf numFmtId="0" fontId="8" fillId="3" borderId="15" xfId="0" applyFont="1" applyFill="1" applyBorder="1" applyAlignment="1">
      <alignment vertical="center"/>
    </xf>
    <xf numFmtId="0" fontId="8" fillId="3" borderId="97" xfId="0" applyFont="1" applyFill="1" applyBorder="1" applyAlignment="1">
      <alignment vertical="center"/>
    </xf>
    <xf numFmtId="0" fontId="8" fillId="3" borderId="78" xfId="0" applyFont="1" applyFill="1" applyBorder="1" applyAlignment="1">
      <alignment vertical="center"/>
    </xf>
    <xf numFmtId="183" fontId="0" fillId="0" borderId="77" xfId="0" applyNumberFormat="1" applyBorder="1" applyAlignment="1">
      <alignment horizontal="center"/>
    </xf>
    <xf numFmtId="183" fontId="0" fillId="0" borderId="0" xfId="0" applyNumberFormat="1"/>
    <xf numFmtId="167" fontId="14" fillId="4" borderId="94" xfId="1" applyFont="1" applyFill="1" applyBorder="1" applyAlignment="1">
      <alignment horizontal="center"/>
    </xf>
    <xf numFmtId="0" fontId="0" fillId="3" borderId="15" xfId="0" applyFill="1" applyBorder="1"/>
    <xf numFmtId="9" fontId="0" fillId="3" borderId="111" xfId="2" applyFont="1" applyFill="1" applyBorder="1"/>
    <xf numFmtId="0" fontId="0" fillId="3" borderId="97" xfId="0" applyFill="1" applyBorder="1"/>
    <xf numFmtId="0" fontId="0" fillId="3" borderId="78" xfId="0" applyFill="1" applyBorder="1"/>
    <xf numFmtId="167" fontId="14" fillId="4" borderId="18" xfId="1" applyFont="1" applyFill="1" applyBorder="1" applyAlignment="1">
      <alignment horizontal="center"/>
    </xf>
    <xf numFmtId="170" fontId="14" fillId="4" borderId="18" xfId="3" applyNumberFormat="1" applyFont="1" applyFill="1" applyBorder="1" applyAlignment="1">
      <alignment horizontal="center"/>
    </xf>
    <xf numFmtId="49" fontId="14" fillId="4" borderId="107" xfId="1" applyNumberFormat="1" applyFont="1" applyFill="1" applyBorder="1" applyAlignment="1">
      <alignment shrinkToFit="1"/>
    </xf>
    <xf numFmtId="170" fontId="14" fillId="4" borderId="107" xfId="3" applyNumberFormat="1" applyFont="1" applyFill="1" applyBorder="1" applyAlignment="1">
      <alignment horizontal="center"/>
    </xf>
    <xf numFmtId="167" fontId="14" fillId="4" borderId="97" xfId="1" applyFont="1" applyFill="1" applyBorder="1" applyAlignment="1">
      <alignment horizontal="center"/>
    </xf>
    <xf numFmtId="0" fontId="0" fillId="0" borderId="113" xfId="0" applyBorder="1"/>
    <xf numFmtId="0" fontId="0" fillId="0" borderId="12" xfId="0" applyBorder="1"/>
    <xf numFmtId="0" fontId="0" fillId="0" borderId="94" xfId="0" applyBorder="1"/>
    <xf numFmtId="0" fontId="8" fillId="3" borderId="113" xfId="0" applyFont="1" applyFill="1" applyBorder="1" applyAlignment="1">
      <alignment vertical="center"/>
    </xf>
    <xf numFmtId="0" fontId="8" fillId="3" borderId="94" xfId="0" applyFont="1" applyFill="1" applyBorder="1" applyAlignment="1">
      <alignment vertical="center"/>
    </xf>
    <xf numFmtId="167" fontId="14" fillId="4" borderId="105" xfId="1" applyFont="1" applyFill="1" applyBorder="1" applyAlignment="1">
      <alignment horizontal="center"/>
    </xf>
    <xf numFmtId="49" fontId="14" fillId="4" borderId="106" xfId="1" applyNumberFormat="1" applyFont="1" applyFill="1" applyBorder="1" applyAlignment="1">
      <alignment shrinkToFit="1"/>
    </xf>
    <xf numFmtId="14" fontId="14" fillId="4" borderId="104" xfId="1" applyNumberFormat="1" applyFont="1" applyFill="1" applyBorder="1" applyAlignment="1">
      <alignment horizontal="center"/>
    </xf>
    <xf numFmtId="3" fontId="14" fillId="4" borderId="104" xfId="1" applyNumberFormat="1" applyFont="1" applyFill="1" applyBorder="1" applyAlignment="1">
      <alignment horizontal="center"/>
    </xf>
    <xf numFmtId="167" fontId="14" fillId="4" borderId="104" xfId="1" applyFont="1" applyFill="1" applyBorder="1" applyAlignment="1">
      <alignment shrinkToFit="1"/>
    </xf>
    <xf numFmtId="170" fontId="14" fillId="4" borderId="105" xfId="3" applyNumberFormat="1" applyFont="1" applyFill="1" applyBorder="1" applyAlignment="1">
      <alignment horizontal="center"/>
    </xf>
    <xf numFmtId="170" fontId="14" fillId="4" borderId="106" xfId="3" applyNumberFormat="1" applyFont="1" applyFill="1" applyBorder="1" applyAlignment="1">
      <alignment horizontal="center"/>
    </xf>
    <xf numFmtId="170" fontId="14" fillId="4" borderId="104" xfId="3" applyNumberFormat="1" applyFont="1" applyFill="1" applyBorder="1" applyAlignment="1">
      <alignment horizontal="center"/>
    </xf>
    <xf numFmtId="170" fontId="14" fillId="4" borderId="105" xfId="1" applyNumberFormat="1" applyFont="1" applyFill="1" applyBorder="1" applyAlignment="1">
      <alignment horizontal="center"/>
    </xf>
    <xf numFmtId="167" fontId="14" fillId="4" borderId="96" xfId="1" applyFont="1" applyFill="1" applyBorder="1" applyAlignment="1">
      <alignment horizontal="center"/>
    </xf>
    <xf numFmtId="167" fontId="14" fillId="4" borderId="74" xfId="1" applyFont="1" applyFill="1" applyBorder="1" applyAlignment="1">
      <alignment horizontal="right"/>
    </xf>
    <xf numFmtId="170" fontId="14" fillId="4" borderId="100" xfId="3" applyNumberFormat="1" applyFont="1" applyFill="1" applyBorder="1" applyAlignment="1">
      <alignment horizontal="center"/>
    </xf>
    <xf numFmtId="170" fontId="14" fillId="6" borderId="74" xfId="1" applyNumberFormat="1" applyFont="1" applyFill="1" applyBorder="1" applyAlignment="1">
      <alignment horizontal="center"/>
    </xf>
    <xf numFmtId="49" fontId="14" fillId="6" borderId="109" xfId="1" applyNumberFormat="1" applyFont="1" applyFill="1" applyBorder="1" applyAlignment="1">
      <alignment horizontal="center" shrinkToFit="1"/>
    </xf>
    <xf numFmtId="167" fontId="14" fillId="6" borderId="107" xfId="1" applyFont="1" applyFill="1" applyBorder="1" applyAlignment="1">
      <alignment horizontal="center" shrinkToFit="1"/>
    </xf>
    <xf numFmtId="170" fontId="14" fillId="6" borderId="109" xfId="1" applyNumberFormat="1" applyFont="1" applyFill="1" applyBorder="1" applyAlignment="1">
      <alignment horizontal="center"/>
    </xf>
    <xf numFmtId="13" fontId="19" fillId="4" borderId="107" xfId="1" applyNumberFormat="1" applyFont="1" applyFill="1" applyBorder="1" applyAlignment="1">
      <alignment horizontal="right" vertical="top" wrapText="1"/>
    </xf>
    <xf numFmtId="0" fontId="4" fillId="0" borderId="113" xfId="0" applyFont="1" applyBorder="1" applyAlignment="1">
      <alignment vertical="top"/>
    </xf>
    <xf numFmtId="9" fontId="4" fillId="0" borderId="113" xfId="2" applyFont="1" applyBorder="1"/>
    <xf numFmtId="0" fontId="4" fillId="0" borderId="113" xfId="0" applyFont="1" applyBorder="1"/>
    <xf numFmtId="0" fontId="4" fillId="0" borderId="94" xfId="0" applyFont="1" applyBorder="1" applyAlignment="1">
      <alignment vertical="top"/>
    </xf>
    <xf numFmtId="9" fontId="4" fillId="0" borderId="94" xfId="2" applyFont="1" applyBorder="1"/>
    <xf numFmtId="0" fontId="4" fillId="0" borderId="94" xfId="0" applyFont="1" applyBorder="1"/>
    <xf numFmtId="0" fontId="0" fillId="3" borderId="113" xfId="0" applyFill="1" applyBorder="1"/>
    <xf numFmtId="0" fontId="0" fillId="3" borderId="94" xfId="0" applyFill="1" applyBorder="1"/>
    <xf numFmtId="171" fontId="24" fillId="4" borderId="56" xfId="1" applyNumberFormat="1" applyFont="1" applyFill="1" applyBorder="1" applyAlignment="1">
      <alignment shrinkToFit="1"/>
    </xf>
    <xf numFmtId="0" fontId="18" fillId="0" borderId="113" xfId="0" applyFont="1" applyBorder="1" applyAlignment="1">
      <alignment shrinkToFit="1"/>
    </xf>
    <xf numFmtId="0" fontId="18" fillId="0" borderId="94" xfId="0" applyFont="1" applyBorder="1" applyAlignment="1">
      <alignment shrinkToFit="1"/>
    </xf>
    <xf numFmtId="49" fontId="14" fillId="4" borderId="109" xfId="1" applyNumberFormat="1" applyFont="1" applyFill="1" applyBorder="1" applyAlignment="1">
      <alignment horizontal="center" shrinkToFit="1"/>
    </xf>
    <xf numFmtId="170" fontId="14" fillId="4" borderId="74" xfId="1" applyNumberFormat="1" applyFont="1" applyFill="1" applyBorder="1" applyAlignment="1">
      <alignment horizontal="center"/>
    </xf>
    <xf numFmtId="170" fontId="14" fillId="4" borderId="109" xfId="1" applyNumberFormat="1" applyFont="1" applyFill="1" applyBorder="1" applyAlignment="1">
      <alignment horizontal="center"/>
    </xf>
    <xf numFmtId="167" fontId="14" fillId="4" borderId="107" xfId="1" applyFont="1" applyFill="1" applyBorder="1" applyAlignment="1">
      <alignment shrinkToFit="1"/>
    </xf>
    <xf numFmtId="167" fontId="14" fillId="6" borderId="106" xfId="1" applyFont="1" applyFill="1" applyBorder="1" applyAlignment="1">
      <alignment horizontal="center" shrinkToFit="1"/>
    </xf>
    <xf numFmtId="49" fontId="14" fillId="4" borderId="54" xfId="1" applyNumberFormat="1" applyFont="1" applyFill="1" applyBorder="1" applyAlignment="1">
      <alignment shrinkToFit="1"/>
    </xf>
    <xf numFmtId="170" fontId="14" fillId="4" borderId="54" xfId="3" applyNumberFormat="1" applyFont="1" applyFill="1" applyBorder="1" applyAlignment="1">
      <alignment horizontal="center"/>
    </xf>
    <xf numFmtId="167" fontId="14" fillId="4" borderId="104" xfId="1" applyFont="1" applyFill="1" applyBorder="1" applyAlignment="1">
      <alignment horizontal="center"/>
    </xf>
    <xf numFmtId="14" fontId="14" fillId="4" borderId="30" xfId="1" applyNumberFormat="1" applyFont="1" applyFill="1" applyBorder="1"/>
    <xf numFmtId="14" fontId="14" fillId="4" borderId="0" xfId="1" applyNumberFormat="1" applyFont="1" applyFill="1" applyBorder="1"/>
    <xf numFmtId="167" fontId="14" fillId="4" borderId="18" xfId="1" quotePrefix="1" applyFont="1" applyFill="1" applyBorder="1" applyAlignment="1">
      <alignment horizontal="center"/>
    </xf>
    <xf numFmtId="49" fontId="14" fillId="4" borderId="75" xfId="1" applyNumberFormat="1" applyFont="1" applyFill="1" applyBorder="1" applyAlignment="1">
      <alignment horizontal="center" shrinkToFit="1"/>
    </xf>
    <xf numFmtId="170" fontId="14" fillId="4" borderId="75" xfId="1" applyNumberFormat="1" applyFont="1" applyFill="1" applyBorder="1" applyAlignment="1">
      <alignment horizontal="center"/>
    </xf>
    <xf numFmtId="167" fontId="14" fillId="4" borderId="106" xfId="1" applyFont="1" applyFill="1" applyBorder="1" applyAlignment="1">
      <alignment shrinkToFit="1"/>
    </xf>
    <xf numFmtId="14" fontId="14" fillId="4" borderId="18" xfId="1" applyNumberFormat="1" applyFont="1" applyFill="1" applyBorder="1" applyAlignment="1">
      <alignment horizontal="center"/>
    </xf>
    <xf numFmtId="14" fontId="14" fillId="6" borderId="105" xfId="1" applyNumberFormat="1" applyFont="1" applyFill="1" applyBorder="1" applyAlignment="1">
      <alignment horizontal="center"/>
    </xf>
    <xf numFmtId="170" fontId="14" fillId="4" borderId="94" xfId="3" applyNumberFormat="1" applyFont="1" applyFill="1" applyBorder="1" applyAlignment="1">
      <alignment horizontal="center"/>
    </xf>
    <xf numFmtId="170" fontId="14" fillId="4" borderId="109" xfId="3" applyNumberFormat="1" applyFont="1" applyFill="1" applyBorder="1" applyAlignment="1">
      <alignment horizontal="center"/>
    </xf>
    <xf numFmtId="165" fontId="14" fillId="4" borderId="95" xfId="1" applyNumberFormat="1" applyFont="1" applyFill="1" applyBorder="1" applyAlignment="1">
      <alignment horizontal="center"/>
    </xf>
    <xf numFmtId="167" fontId="14" fillId="4" borderId="41" xfId="1" quotePrefix="1" applyFont="1" applyFill="1" applyBorder="1" applyAlignment="1">
      <alignment horizontal="center"/>
    </xf>
    <xf numFmtId="170" fontId="14" fillId="4" borderId="110" xfId="3" applyNumberFormat="1" applyFont="1" applyFill="1" applyBorder="1" applyAlignment="1">
      <alignment horizontal="center"/>
    </xf>
    <xf numFmtId="165" fontId="14" fillId="4" borderId="96" xfId="1" applyNumberFormat="1" applyFont="1" applyFill="1" applyBorder="1" applyAlignment="1">
      <alignment horizontal="center"/>
    </xf>
    <xf numFmtId="167" fontId="14" fillId="4" borderId="75" xfId="1" applyFont="1" applyFill="1" applyBorder="1" applyAlignment="1">
      <alignment shrinkToFit="1"/>
    </xf>
    <xf numFmtId="14" fontId="14" fillId="4" borderId="105" xfId="1" applyNumberFormat="1" applyFont="1" applyFill="1" applyBorder="1" applyAlignment="1">
      <alignment horizontal="center"/>
    </xf>
    <xf numFmtId="167" fontId="14" fillId="4" borderId="110" xfId="1" applyFont="1" applyFill="1" applyBorder="1" applyAlignment="1">
      <alignment shrinkToFit="1"/>
    </xf>
    <xf numFmtId="167" fontId="14" fillId="4" borderId="109" xfId="1" applyFont="1" applyFill="1" applyBorder="1" applyAlignment="1">
      <alignment shrinkToFit="1"/>
    </xf>
    <xf numFmtId="14" fontId="14" fillId="4" borderId="0" xfId="3" applyNumberFormat="1" applyFont="1" applyFill="1" applyBorder="1" applyAlignment="1">
      <alignment horizontal="right"/>
    </xf>
    <xf numFmtId="167" fontId="14" fillId="4" borderId="0" xfId="1" applyFont="1" applyFill="1" applyBorder="1" applyAlignment="1">
      <alignment horizontal="right"/>
    </xf>
    <xf numFmtId="184" fontId="14" fillId="4" borderId="0" xfId="3" applyNumberFormat="1" applyFont="1" applyFill="1" applyBorder="1"/>
    <xf numFmtId="170" fontId="14" fillId="4" borderId="0" xfId="3" applyNumberFormat="1" applyFont="1" applyFill="1" applyBorder="1" applyAlignment="1">
      <alignment horizontal="center"/>
    </xf>
    <xf numFmtId="173" fontId="14" fillId="4" borderId="0" xfId="3" applyNumberFormat="1" applyFont="1" applyFill="1" applyBorder="1"/>
    <xf numFmtId="49" fontId="14" fillId="6" borderId="75" xfId="1" applyNumberFormat="1" applyFont="1" applyFill="1" applyBorder="1" applyAlignment="1">
      <alignment horizontal="center" shrinkToFit="1"/>
    </xf>
    <xf numFmtId="167" fontId="14" fillId="4" borderId="105" xfId="1" quotePrefix="1" applyFont="1" applyFill="1" applyBorder="1" applyAlignment="1">
      <alignment horizontal="center"/>
    </xf>
    <xf numFmtId="167" fontId="14" fillId="4" borderId="104" xfId="1" quotePrefix="1" applyFont="1" applyFill="1" applyBorder="1" applyAlignment="1">
      <alignment horizontal="center"/>
    </xf>
    <xf numFmtId="170" fontId="14" fillId="6" borderId="75" xfId="1" applyNumberFormat="1" applyFont="1" applyFill="1" applyBorder="1" applyAlignment="1">
      <alignment horizontal="center"/>
    </xf>
    <xf numFmtId="0" fontId="14" fillId="4" borderId="77" xfId="0" applyFont="1" applyFill="1" applyBorder="1"/>
    <xf numFmtId="0" fontId="14" fillId="4" borderId="78" xfId="0" applyFont="1" applyFill="1" applyBorder="1" applyAlignment="1">
      <alignment shrinkToFit="1"/>
    </xf>
    <xf numFmtId="0" fontId="14" fillId="4" borderId="23" xfId="0" applyFont="1" applyFill="1" applyBorder="1"/>
    <xf numFmtId="49" fontId="14" fillId="6" borderId="117" xfId="1" applyNumberFormat="1" applyFont="1" applyFill="1" applyBorder="1" applyAlignment="1">
      <alignment horizontal="center" shrinkToFit="1"/>
    </xf>
    <xf numFmtId="170" fontId="14" fillId="6" borderId="117" xfId="3" applyNumberFormat="1" applyFont="1" applyFill="1" applyBorder="1" applyAlignment="1">
      <alignment horizontal="center"/>
    </xf>
    <xf numFmtId="167" fontId="14" fillId="6" borderId="79" xfId="1" applyFont="1" applyFill="1" applyBorder="1" applyAlignment="1">
      <alignment horizontal="center"/>
    </xf>
    <xf numFmtId="49" fontId="14" fillId="4" borderId="117" xfId="1" applyNumberFormat="1" applyFont="1" applyFill="1" applyBorder="1" applyAlignment="1">
      <alignment shrinkToFit="1"/>
    </xf>
    <xf numFmtId="170" fontId="14" fillId="4" borderId="117" xfId="3" applyNumberFormat="1" applyFont="1" applyFill="1" applyBorder="1" applyAlignment="1">
      <alignment horizontal="center"/>
    </xf>
    <xf numFmtId="167" fontId="14" fillId="4" borderId="79" xfId="1" applyFont="1" applyFill="1" applyBorder="1" applyAlignment="1">
      <alignment horizontal="center"/>
    </xf>
    <xf numFmtId="3" fontId="14" fillId="4" borderId="105" xfId="1" applyNumberFormat="1" applyFont="1" applyFill="1" applyBorder="1" applyAlignment="1">
      <alignment horizontal="center"/>
    </xf>
    <xf numFmtId="167" fontId="14" fillId="4" borderId="79" xfId="1" quotePrefix="1" applyFont="1" applyFill="1" applyBorder="1" applyAlignment="1">
      <alignment horizontal="center"/>
    </xf>
    <xf numFmtId="3" fontId="14" fillId="6" borderId="105" xfId="1" applyNumberFormat="1" applyFont="1" applyFill="1" applyBorder="1" applyAlignment="1">
      <alignment horizontal="center"/>
    </xf>
    <xf numFmtId="170" fontId="14" fillId="4" borderId="15" xfId="3" applyNumberFormat="1" applyFont="1" applyFill="1" applyBorder="1" applyAlignment="1">
      <alignment horizontal="center"/>
    </xf>
    <xf numFmtId="167" fontId="36" fillId="4" borderId="74" xfId="1" applyFont="1" applyFill="1" applyBorder="1" applyAlignment="1">
      <alignment horizontal="center" vertical="center"/>
    </xf>
    <xf numFmtId="167" fontId="14" fillId="4" borderId="109" xfId="1" applyFont="1" applyFill="1" applyBorder="1" applyAlignment="1">
      <alignment horizontal="right"/>
    </xf>
    <xf numFmtId="170" fontId="14" fillId="4" borderId="113" xfId="3" applyNumberFormat="1" applyFont="1" applyFill="1" applyBorder="1" applyAlignment="1">
      <alignment horizontal="center"/>
    </xf>
    <xf numFmtId="170" fontId="14" fillId="4" borderId="112" xfId="3" applyNumberFormat="1" applyFont="1" applyFill="1" applyBorder="1" applyAlignment="1">
      <alignment horizontal="center"/>
    </xf>
    <xf numFmtId="167" fontId="14" fillId="4" borderId="96" xfId="1" quotePrefix="1" applyFont="1" applyFill="1" applyBorder="1" applyAlignment="1">
      <alignment horizontal="center"/>
    </xf>
    <xf numFmtId="0" fontId="14" fillId="4" borderId="0" xfId="0" applyFont="1" applyFill="1" applyAlignment="1">
      <alignment horizontal="center"/>
    </xf>
    <xf numFmtId="167" fontId="22" fillId="4" borderId="0" xfId="1" applyFont="1" applyFill="1" applyBorder="1" applyAlignment="1">
      <alignment vertical="center" shrinkToFit="1"/>
    </xf>
    <xf numFmtId="0" fontId="35" fillId="4" borderId="21" xfId="0" applyFont="1" applyFill="1" applyBorder="1" applyAlignment="1">
      <alignment vertical="center"/>
    </xf>
    <xf numFmtId="0" fontId="14" fillId="4" borderId="0" xfId="0" applyFont="1" applyFill="1" applyAlignment="1">
      <alignment horizontal="center" vertical="center" shrinkToFit="1"/>
    </xf>
    <xf numFmtId="0" fontId="14" fillId="4" borderId="21" xfId="0" applyFont="1" applyFill="1" applyBorder="1" applyAlignment="1">
      <alignment vertical="center"/>
    </xf>
    <xf numFmtId="0" fontId="35" fillId="4" borderId="0" xfId="0" applyFont="1" applyFill="1" applyAlignment="1">
      <alignment vertical="center"/>
    </xf>
    <xf numFmtId="0" fontId="53" fillId="4" borderId="0" xfId="0" applyFont="1" applyFill="1" applyAlignment="1">
      <alignment vertical="center"/>
    </xf>
    <xf numFmtId="0" fontId="14" fillId="4" borderId="12" xfId="0" applyFont="1" applyFill="1" applyBorder="1" applyAlignment="1">
      <alignment vertical="center"/>
    </xf>
    <xf numFmtId="170" fontId="14" fillId="4" borderId="12" xfId="3" applyNumberFormat="1" applyFont="1" applyFill="1" applyBorder="1" applyAlignment="1">
      <alignment vertical="center"/>
    </xf>
    <xf numFmtId="0" fontId="14" fillId="4" borderId="12" xfId="0" applyFont="1" applyFill="1" applyBorder="1" applyAlignment="1">
      <alignment horizontal="center" vertical="center"/>
    </xf>
    <xf numFmtId="14" fontId="53" fillId="4" borderId="0" xfId="0" applyNumberFormat="1" applyFont="1" applyFill="1" applyAlignment="1">
      <alignment vertical="center"/>
    </xf>
    <xf numFmtId="0" fontId="54" fillId="3" borderId="0" xfId="0" applyFont="1" applyFill="1" applyAlignment="1">
      <alignment vertical="center"/>
    </xf>
    <xf numFmtId="14" fontId="53" fillId="4" borderId="0" xfId="1" applyNumberFormat="1" applyFont="1" applyFill="1" applyBorder="1" applyAlignment="1">
      <alignment vertical="center"/>
    </xf>
    <xf numFmtId="170" fontId="14" fillId="4" borderId="21" xfId="3" applyNumberFormat="1" applyFont="1" applyFill="1" applyBorder="1" applyAlignment="1">
      <alignment vertical="center"/>
    </xf>
    <xf numFmtId="173" fontId="14" fillId="4" borderId="21" xfId="3" applyNumberFormat="1" applyFont="1" applyFill="1" applyBorder="1" applyAlignment="1">
      <alignment vertical="center"/>
    </xf>
    <xf numFmtId="166" fontId="14" fillId="4" borderId="0" xfId="3" applyFont="1" applyFill="1" applyBorder="1" applyAlignment="1">
      <alignment vertical="center"/>
    </xf>
    <xf numFmtId="167" fontId="14" fillId="4" borderId="12" xfId="1" applyFont="1" applyFill="1" applyBorder="1" applyAlignment="1">
      <alignment vertical="center"/>
    </xf>
    <xf numFmtId="0" fontId="14" fillId="4" borderId="30" xfId="0" applyFont="1" applyFill="1" applyBorder="1" applyAlignment="1">
      <alignment vertical="center"/>
    </xf>
    <xf numFmtId="0" fontId="0" fillId="3" borderId="13" xfId="0" applyFill="1" applyBorder="1" applyAlignment="1">
      <alignment vertical="center"/>
    </xf>
    <xf numFmtId="166" fontId="0" fillId="3" borderId="74" xfId="3" applyFont="1" applyFill="1" applyBorder="1" applyAlignment="1">
      <alignment horizontal="right" vertical="center" shrinkToFit="1"/>
    </xf>
    <xf numFmtId="166" fontId="0" fillId="3" borderId="12" xfId="3" applyFont="1" applyFill="1" applyBorder="1" applyAlignment="1">
      <alignment horizontal="right" vertical="center" shrinkToFit="1"/>
    </xf>
    <xf numFmtId="0" fontId="0" fillId="3" borderId="13" xfId="0" quotePrefix="1" applyFill="1" applyBorder="1" applyAlignment="1">
      <alignment vertical="center"/>
    </xf>
    <xf numFmtId="167" fontId="0" fillId="3" borderId="74" xfId="1" applyFont="1" applyFill="1" applyBorder="1" applyAlignment="1">
      <alignment horizontal="right" vertical="center" shrinkToFit="1"/>
    </xf>
    <xf numFmtId="167" fontId="0" fillId="3" borderId="12" xfId="1" applyFont="1" applyFill="1" applyBorder="1" applyAlignment="1">
      <alignment horizontal="right" vertical="center" shrinkToFit="1"/>
    </xf>
    <xf numFmtId="0" fontId="0" fillId="3" borderId="72" xfId="0" applyFill="1" applyBorder="1" applyAlignment="1">
      <alignment vertical="center"/>
    </xf>
    <xf numFmtId="167" fontId="0" fillId="3" borderId="71" xfId="1" applyFont="1" applyFill="1" applyBorder="1" applyAlignment="1">
      <alignment horizontal="right" vertical="center" shrinkToFit="1"/>
    </xf>
    <xf numFmtId="0" fontId="55" fillId="3" borderId="0" xfId="0" applyFont="1" applyFill="1" applyAlignment="1">
      <alignment vertical="center"/>
    </xf>
    <xf numFmtId="0" fontId="0" fillId="3" borderId="0" xfId="0" applyFill="1" applyAlignment="1">
      <alignment vertical="center" shrinkToFit="1"/>
    </xf>
    <xf numFmtId="0" fontId="14" fillId="4" borderId="21" xfId="0" applyFont="1" applyFill="1" applyBorder="1" applyAlignment="1">
      <alignment horizontal="center" vertical="center"/>
    </xf>
    <xf numFmtId="0" fontId="14" fillId="4" borderId="75" xfId="0" applyFont="1" applyFill="1" applyBorder="1" applyAlignment="1">
      <alignment vertical="center"/>
    </xf>
    <xf numFmtId="0" fontId="14" fillId="4" borderId="73" xfId="0" applyFont="1" applyFill="1" applyBorder="1" applyAlignment="1">
      <alignment vertical="center"/>
    </xf>
    <xf numFmtId="170" fontId="14" fillId="4" borderId="0" xfId="3" applyNumberFormat="1" applyFont="1" applyFill="1" applyAlignment="1">
      <alignment horizontal="center" vertical="center" shrinkToFit="1"/>
    </xf>
    <xf numFmtId="167" fontId="14" fillId="4" borderId="0" xfId="1" applyFont="1" applyFill="1" applyAlignment="1">
      <alignment horizontal="center" vertical="center" shrinkToFit="1"/>
    </xf>
    <xf numFmtId="171" fontId="14" fillId="4" borderId="21" xfId="1" applyNumberFormat="1" applyFont="1" applyFill="1" applyBorder="1" applyAlignment="1">
      <alignment vertical="center" shrinkToFit="1"/>
    </xf>
    <xf numFmtId="167" fontId="14" fillId="4" borderId="75" xfId="1" applyFont="1" applyFill="1" applyBorder="1" applyAlignment="1">
      <alignment vertical="center" shrinkToFit="1"/>
    </xf>
    <xf numFmtId="167" fontId="14" fillId="4" borderId="12" xfId="1" applyFont="1" applyFill="1" applyBorder="1" applyAlignment="1">
      <alignment vertical="center" shrinkToFit="1"/>
    </xf>
    <xf numFmtId="167" fontId="14" fillId="4" borderId="76" xfId="1" applyFont="1" applyFill="1" applyBorder="1" applyAlignment="1">
      <alignment vertical="center" shrinkToFit="1"/>
    </xf>
    <xf numFmtId="171" fontId="14" fillId="4" borderId="21" xfId="0" applyNumberFormat="1" applyFont="1" applyFill="1" applyBorder="1" applyAlignment="1">
      <alignment vertical="center" shrinkToFit="1"/>
    </xf>
    <xf numFmtId="167" fontId="14" fillId="4" borderId="76" xfId="0" applyNumberFormat="1" applyFont="1" applyFill="1" applyBorder="1" applyAlignment="1">
      <alignment vertical="center" shrinkToFit="1"/>
    </xf>
    <xf numFmtId="0" fontId="35" fillId="4" borderId="12" xfId="0" applyFont="1" applyFill="1" applyBorder="1" applyAlignment="1">
      <alignment horizontal="center" vertical="center"/>
    </xf>
    <xf numFmtId="0" fontId="14" fillId="4" borderId="23" xfId="0" applyFont="1" applyFill="1" applyBorder="1" applyAlignment="1">
      <alignment horizontal="center" vertical="center"/>
    </xf>
    <xf numFmtId="0" fontId="35" fillId="5" borderId="21" xfId="0" applyFont="1" applyFill="1" applyBorder="1" applyAlignment="1">
      <alignment vertical="center"/>
    </xf>
    <xf numFmtId="0" fontId="14" fillId="4" borderId="21" xfId="0" applyFont="1" applyFill="1" applyBorder="1" applyAlignment="1">
      <alignment horizontal="right" vertical="center"/>
    </xf>
    <xf numFmtId="0" fontId="14" fillId="4" borderId="23" xfId="0" applyFont="1" applyFill="1" applyBorder="1" applyAlignment="1">
      <alignment horizontal="right" vertical="center"/>
    </xf>
    <xf numFmtId="0" fontId="14" fillId="4" borderId="12" xfId="0" applyFont="1" applyFill="1" applyBorder="1" applyAlignment="1">
      <alignment horizontal="right" vertical="center"/>
    </xf>
    <xf numFmtId="0" fontId="35" fillId="4" borderId="100" xfId="0" applyFont="1" applyFill="1" applyBorder="1" applyAlignment="1">
      <alignment vertical="center"/>
    </xf>
    <xf numFmtId="164" fontId="35" fillId="4" borderId="71" xfId="0" applyNumberFormat="1" applyFont="1" applyFill="1" applyBorder="1" applyAlignment="1">
      <alignment vertical="center"/>
    </xf>
    <xf numFmtId="167" fontId="35" fillId="4" borderId="14" xfId="1" applyFont="1" applyFill="1" applyBorder="1" applyAlignment="1">
      <alignment horizontal="right" vertical="center"/>
    </xf>
    <xf numFmtId="167" fontId="35" fillId="4" borderId="75" xfId="1" applyFont="1" applyFill="1" applyBorder="1" applyAlignment="1">
      <alignment horizontal="center" vertical="center"/>
    </xf>
    <xf numFmtId="0" fontId="14" fillId="4" borderId="75" xfId="0" applyFont="1" applyFill="1" applyBorder="1" applyAlignment="1">
      <alignment horizontal="center" vertical="center"/>
    </xf>
    <xf numFmtId="167" fontId="35" fillId="4" borderId="73" xfId="1" applyFont="1" applyFill="1" applyBorder="1" applyAlignment="1">
      <alignment horizontal="center" vertical="center"/>
    </xf>
    <xf numFmtId="167" fontId="35" fillId="4" borderId="13" xfId="1" applyFont="1" applyFill="1" applyBorder="1" applyAlignment="1">
      <alignment horizontal="right" vertical="center"/>
    </xf>
    <xf numFmtId="167" fontId="35" fillId="4" borderId="12" xfId="1" applyFont="1" applyFill="1" applyBorder="1" applyAlignment="1">
      <alignment horizontal="right" vertical="center"/>
    </xf>
    <xf numFmtId="167" fontId="1" fillId="3" borderId="12" xfId="1" applyFont="1" applyFill="1" applyBorder="1" applyAlignment="1">
      <alignment vertical="center"/>
    </xf>
    <xf numFmtId="167" fontId="1" fillId="3" borderId="12" xfId="1" applyFont="1" applyFill="1" applyBorder="1" applyAlignment="1">
      <alignment vertical="center" shrinkToFit="1"/>
    </xf>
    <xf numFmtId="167" fontId="1" fillId="3" borderId="74" xfId="1" applyFont="1" applyFill="1" applyBorder="1" applyAlignment="1">
      <alignment vertical="center" shrinkToFit="1"/>
    </xf>
    <xf numFmtId="167" fontId="35" fillId="4" borderId="72" xfId="1" applyFont="1" applyFill="1" applyBorder="1" applyAlignment="1">
      <alignment horizontal="right" vertical="center"/>
    </xf>
    <xf numFmtId="167" fontId="35" fillId="4" borderId="76" xfId="1" applyFont="1" applyFill="1" applyBorder="1" applyAlignment="1">
      <alignment horizontal="right" vertical="center"/>
    </xf>
    <xf numFmtId="167" fontId="14" fillId="4" borderId="76" xfId="1" applyFont="1" applyFill="1" applyBorder="1" applyAlignment="1">
      <alignment vertical="center"/>
    </xf>
    <xf numFmtId="167" fontId="1" fillId="3" borderId="76" xfId="1" applyFont="1" applyFill="1" applyBorder="1" applyAlignment="1">
      <alignment vertical="center"/>
    </xf>
    <xf numFmtId="167" fontId="1" fillId="3" borderId="76" xfId="1" applyFont="1" applyFill="1" applyBorder="1" applyAlignment="1">
      <alignment vertical="center" shrinkToFit="1"/>
    </xf>
    <xf numFmtId="167" fontId="1" fillId="3" borderId="71" xfId="1" applyFont="1" applyFill="1" applyBorder="1" applyAlignment="1">
      <alignment vertical="center" shrinkToFit="1"/>
    </xf>
    <xf numFmtId="0" fontId="14" fillId="4" borderId="32" xfId="0" applyFont="1" applyFill="1" applyBorder="1" applyAlignment="1">
      <alignment horizontal="center" vertical="center"/>
    </xf>
    <xf numFmtId="0" fontId="14" fillId="4" borderId="33" xfId="0" applyFont="1" applyFill="1" applyBorder="1" applyAlignment="1">
      <alignment horizontal="center" vertical="center"/>
    </xf>
    <xf numFmtId="0" fontId="14" fillId="4" borderId="21" xfId="0" quotePrefix="1" applyFont="1" applyFill="1" applyBorder="1" applyAlignment="1">
      <alignment horizontal="center" vertical="center"/>
    </xf>
    <xf numFmtId="0" fontId="14" fillId="4" borderId="41" xfId="0" quotePrefix="1" applyFont="1" applyFill="1" applyBorder="1" applyAlignment="1">
      <alignment horizontal="center" vertical="center"/>
    </xf>
    <xf numFmtId="0" fontId="14" fillId="4" borderId="94" xfId="0" applyFont="1" applyFill="1" applyBorder="1" applyAlignment="1">
      <alignment horizontal="center" vertical="center"/>
    </xf>
    <xf numFmtId="14" fontId="14" fillId="4" borderId="94" xfId="0" applyNumberFormat="1" applyFont="1" applyFill="1" applyBorder="1" applyAlignment="1">
      <alignment horizontal="center" vertical="center"/>
    </xf>
    <xf numFmtId="0" fontId="14" fillId="5" borderId="34" xfId="0" applyFont="1" applyFill="1" applyBorder="1" applyAlignment="1">
      <alignment vertical="center"/>
    </xf>
    <xf numFmtId="178" fontId="14" fillId="4" borderId="21" xfId="1" applyNumberFormat="1" applyFont="1" applyFill="1" applyBorder="1" applyAlignment="1">
      <alignment vertical="center"/>
    </xf>
    <xf numFmtId="178" fontId="14" fillId="4" borderId="23" xfId="1" applyNumberFormat="1" applyFont="1" applyFill="1" applyBorder="1" applyAlignment="1">
      <alignment vertical="center"/>
    </xf>
    <xf numFmtId="178" fontId="14" fillId="4" borderId="12" xfId="1" applyNumberFormat="1" applyFont="1" applyFill="1" applyBorder="1" applyAlignment="1">
      <alignment vertical="center"/>
    </xf>
    <xf numFmtId="0" fontId="14" fillId="4" borderId="34" xfId="0" applyFont="1" applyFill="1" applyBorder="1" applyAlignment="1">
      <alignment vertical="center"/>
    </xf>
    <xf numFmtId="0" fontId="35" fillId="4" borderId="35" xfId="0" applyFont="1" applyFill="1" applyBorder="1" applyAlignment="1">
      <alignment vertical="center"/>
    </xf>
    <xf numFmtId="178" fontId="14" fillId="4" borderId="30" xfId="1" applyNumberFormat="1" applyFont="1" applyFill="1" applyBorder="1" applyAlignment="1">
      <alignment vertical="center"/>
    </xf>
    <xf numFmtId="178" fontId="14" fillId="4" borderId="17" xfId="1" applyNumberFormat="1" applyFont="1" applyFill="1" applyBorder="1" applyAlignment="1">
      <alignment vertical="center"/>
    </xf>
    <xf numFmtId="178" fontId="14" fillId="4" borderId="0" xfId="1" applyNumberFormat="1" applyFont="1" applyFill="1" applyAlignment="1">
      <alignment vertical="center"/>
    </xf>
    <xf numFmtId="0" fontId="35" fillId="4" borderId="72" xfId="0" applyFont="1" applyFill="1" applyBorder="1" applyAlignment="1">
      <alignment vertical="center"/>
    </xf>
    <xf numFmtId="178" fontId="14" fillId="4" borderId="76" xfId="0" applyNumberFormat="1" applyFont="1" applyFill="1" applyBorder="1" applyAlignment="1">
      <alignment vertical="center"/>
    </xf>
    <xf numFmtId="178" fontId="14" fillId="4" borderId="71" xfId="0" applyNumberFormat="1" applyFont="1" applyFill="1" applyBorder="1" applyAlignment="1">
      <alignment vertical="center"/>
    </xf>
    <xf numFmtId="178" fontId="14" fillId="4" borderId="98" xfId="0" applyNumberFormat="1" applyFont="1" applyFill="1" applyBorder="1" applyAlignment="1">
      <alignment vertical="center"/>
    </xf>
    <xf numFmtId="178" fontId="14" fillId="4" borderId="99" xfId="0" applyNumberFormat="1" applyFont="1" applyFill="1" applyBorder="1" applyAlignment="1">
      <alignment vertical="center"/>
    </xf>
    <xf numFmtId="0" fontId="56" fillId="3" borderId="73" xfId="0" applyFont="1" applyFill="1" applyBorder="1" applyAlignment="1">
      <alignment horizontal="right" vertical="center"/>
    </xf>
    <xf numFmtId="14" fontId="14" fillId="4" borderId="12" xfId="0" applyNumberFormat="1" applyFont="1" applyFill="1" applyBorder="1" applyAlignment="1">
      <alignment horizontal="right" vertical="center"/>
    </xf>
    <xf numFmtId="14" fontId="14" fillId="4" borderId="12" xfId="0" applyNumberFormat="1" applyFont="1" applyFill="1" applyBorder="1" applyAlignment="1">
      <alignment vertical="center"/>
    </xf>
    <xf numFmtId="167" fontId="14" fillId="4" borderId="12" xfId="0" applyNumberFormat="1" applyFont="1" applyFill="1" applyBorder="1" applyAlignment="1">
      <alignment horizontal="right" vertical="center"/>
    </xf>
    <xf numFmtId="167" fontId="0" fillId="3" borderId="71" xfId="1" applyFont="1" applyFill="1" applyBorder="1" applyAlignment="1">
      <alignment vertical="center" shrinkToFit="1"/>
    </xf>
    <xf numFmtId="174" fontId="35" fillId="4" borderId="12" xfId="0" applyNumberFormat="1" applyFont="1" applyFill="1" applyBorder="1" applyAlignment="1">
      <alignment horizontal="right" vertical="center"/>
    </xf>
    <xf numFmtId="171" fontId="14" fillId="4" borderId="0" xfId="0" applyNumberFormat="1" applyFont="1" applyFill="1" applyAlignment="1">
      <alignment vertical="center" shrinkToFit="1"/>
    </xf>
    <xf numFmtId="167" fontId="14" fillId="4" borderId="0" xfId="0" applyNumberFormat="1" applyFont="1" applyFill="1" applyAlignment="1">
      <alignment vertical="center" shrinkToFit="1"/>
    </xf>
    <xf numFmtId="167" fontId="25" fillId="4" borderId="79" xfId="1" applyFont="1" applyFill="1" applyBorder="1" applyAlignment="1">
      <alignment horizontal="right" vertical="center"/>
    </xf>
    <xf numFmtId="0" fontId="3" fillId="3" borderId="97" xfId="0" applyFont="1" applyFill="1" applyBorder="1" applyAlignment="1">
      <alignment vertical="center"/>
    </xf>
    <xf numFmtId="0" fontId="3" fillId="3" borderId="15" xfId="0" applyFont="1" applyFill="1" applyBorder="1" applyAlignment="1">
      <alignment vertical="center"/>
    </xf>
    <xf numFmtId="0" fontId="3" fillId="3" borderId="78" xfId="0" applyFont="1" applyFill="1" applyBorder="1" applyAlignment="1">
      <alignment vertical="center"/>
    </xf>
    <xf numFmtId="172" fontId="23" fillId="4" borderId="12" xfId="0" applyNumberFormat="1" applyFont="1" applyFill="1" applyBorder="1" applyAlignment="1">
      <alignment horizontal="right" vertical="center"/>
    </xf>
    <xf numFmtId="0" fontId="35" fillId="4" borderId="30" xfId="0" applyFont="1" applyFill="1" applyBorder="1" applyAlignment="1">
      <alignment vertical="center"/>
    </xf>
    <xf numFmtId="0" fontId="14" fillId="4" borderId="30" xfId="0" applyFont="1" applyFill="1" applyBorder="1" applyAlignment="1">
      <alignment horizontal="right" vertical="center"/>
    </xf>
    <xf numFmtId="0" fontId="22" fillId="4" borderId="30" xfId="0" applyFont="1" applyFill="1" applyBorder="1" applyAlignment="1">
      <alignment horizontal="right" vertical="center"/>
    </xf>
    <xf numFmtId="0" fontId="22" fillId="4" borderId="17" xfId="0" applyFont="1" applyFill="1" applyBorder="1" applyAlignment="1">
      <alignment horizontal="right" vertical="center"/>
    </xf>
    <xf numFmtId="0" fontId="22" fillId="4" borderId="76" xfId="0" applyFont="1" applyFill="1" applyBorder="1" applyAlignment="1">
      <alignment horizontal="right" vertical="center"/>
    </xf>
    <xf numFmtId="49" fontId="14" fillId="4" borderId="0" xfId="1" applyNumberFormat="1" applyFont="1" applyFill="1" applyBorder="1" applyAlignment="1">
      <alignment horizontal="center" shrinkToFit="1"/>
    </xf>
    <xf numFmtId="167" fontId="3" fillId="3" borderId="12" xfId="1" applyFont="1" applyFill="1" applyBorder="1" applyAlignment="1">
      <alignment vertical="center"/>
    </xf>
    <xf numFmtId="173" fontId="35" fillId="4" borderId="78" xfId="3" quotePrefix="1" applyNumberFormat="1" applyFont="1" applyFill="1" applyBorder="1" applyAlignment="1">
      <alignment horizontal="center" vertical="center"/>
    </xf>
    <xf numFmtId="0" fontId="35" fillId="3" borderId="12" xfId="0" quotePrefix="1" applyFont="1" applyFill="1" applyBorder="1" applyAlignment="1">
      <alignment horizontal="center" vertical="center"/>
    </xf>
    <xf numFmtId="0" fontId="14" fillId="4" borderId="77" xfId="0" quotePrefix="1" applyFont="1" applyFill="1" applyBorder="1"/>
    <xf numFmtId="170" fontId="14" fillId="4" borderId="94" xfId="3" applyNumberFormat="1" applyFont="1" applyFill="1" applyBorder="1" applyAlignment="1">
      <alignment horizontal="right" vertical="center"/>
    </xf>
    <xf numFmtId="0" fontId="14" fillId="4" borderId="76" xfId="0" applyFont="1" applyFill="1" applyBorder="1" applyAlignment="1">
      <alignment vertical="center"/>
    </xf>
    <xf numFmtId="171" fontId="14" fillId="4" borderId="0" xfId="1" quotePrefix="1" applyNumberFormat="1" applyFont="1" applyFill="1" applyBorder="1"/>
    <xf numFmtId="170" fontId="14" fillId="4" borderId="30" xfId="3" applyNumberFormat="1" applyFont="1" applyFill="1" applyBorder="1" applyAlignment="1">
      <alignment vertical="center"/>
    </xf>
    <xf numFmtId="173" fontId="14" fillId="4" borderId="30" xfId="3" applyNumberFormat="1" applyFont="1" applyFill="1" applyBorder="1" applyAlignment="1">
      <alignment vertical="center"/>
    </xf>
    <xf numFmtId="170" fontId="14" fillId="4" borderId="41" xfId="0" applyNumberFormat="1" applyFont="1" applyFill="1" applyBorder="1" applyAlignment="1">
      <alignment vertical="center"/>
    </xf>
    <xf numFmtId="167" fontId="14" fillId="4" borderId="75" xfId="0" applyNumberFormat="1" applyFont="1" applyFill="1" applyBorder="1" applyAlignment="1">
      <alignment vertical="center"/>
    </xf>
    <xf numFmtId="173" fontId="14" fillId="4" borderId="12" xfId="3" applyNumberFormat="1" applyFont="1" applyFill="1" applyBorder="1" applyAlignment="1">
      <alignment vertical="center"/>
    </xf>
    <xf numFmtId="170" fontId="14" fillId="4" borderId="0" xfId="0" applyNumberFormat="1" applyFont="1" applyFill="1" applyAlignment="1">
      <alignment vertical="center"/>
    </xf>
    <xf numFmtId="167" fontId="14" fillId="4" borderId="0" xfId="0" applyNumberFormat="1" applyFont="1" applyFill="1" applyAlignment="1">
      <alignment vertical="center"/>
    </xf>
    <xf numFmtId="49" fontId="14" fillId="4" borderId="78" xfId="0" quotePrefix="1" applyNumberFormat="1" applyFont="1" applyFill="1" applyBorder="1" applyAlignment="1">
      <alignment shrinkToFit="1"/>
    </xf>
    <xf numFmtId="167" fontId="14" fillId="4" borderId="21" xfId="1" applyFont="1" applyFill="1" applyBorder="1" applyAlignment="1">
      <alignment vertical="center" shrinkToFit="1"/>
    </xf>
    <xf numFmtId="167" fontId="35" fillId="4" borderId="30" xfId="1" applyFont="1" applyFill="1" applyBorder="1" applyAlignment="1">
      <alignment vertical="center" shrinkToFit="1"/>
    </xf>
    <xf numFmtId="167" fontId="14" fillId="4" borderId="30" xfId="1" applyFont="1" applyFill="1" applyBorder="1" applyAlignment="1">
      <alignment vertical="center" shrinkToFit="1"/>
    </xf>
    <xf numFmtId="171" fontId="19" fillId="4" borderId="41" xfId="1" applyNumberFormat="1" applyFont="1" applyFill="1" applyBorder="1" applyAlignment="1">
      <alignment vertical="top" wrapText="1"/>
    </xf>
    <xf numFmtId="167" fontId="22" fillId="4" borderId="50" xfId="1" applyFont="1" applyFill="1" applyBorder="1" applyAlignment="1">
      <alignment shrinkToFit="1"/>
    </xf>
    <xf numFmtId="167" fontId="22" fillId="5" borderId="16" xfId="1" applyFont="1" applyFill="1" applyBorder="1" applyAlignment="1">
      <alignment shrinkToFit="1"/>
    </xf>
    <xf numFmtId="167" fontId="23" fillId="4" borderId="74" xfId="0" applyNumberFormat="1" applyFont="1" applyFill="1" applyBorder="1" applyAlignment="1">
      <alignment horizontal="right" vertical="center"/>
    </xf>
    <xf numFmtId="174" fontId="23" fillId="4" borderId="75" xfId="0" applyNumberFormat="1" applyFont="1" applyFill="1" applyBorder="1" applyAlignment="1">
      <alignment horizontal="right" vertical="center" shrinkToFit="1"/>
    </xf>
    <xf numFmtId="174" fontId="23" fillId="4" borderId="109" xfId="0" applyNumberFormat="1" applyFont="1" applyFill="1" applyBorder="1" applyAlignment="1">
      <alignment horizontal="right" vertical="center" shrinkToFit="1"/>
    </xf>
    <xf numFmtId="0" fontId="3" fillId="3" borderId="113" xfId="0" applyFont="1" applyFill="1" applyBorder="1" applyAlignment="1">
      <alignment vertical="center"/>
    </xf>
    <xf numFmtId="0" fontId="3" fillId="3" borderId="94" xfId="0" applyFont="1" applyFill="1" applyBorder="1" applyAlignment="1">
      <alignment vertical="center"/>
    </xf>
    <xf numFmtId="174" fontId="23" fillId="4" borderId="110" xfId="0" applyNumberFormat="1" applyFont="1" applyFill="1" applyBorder="1" applyAlignment="1">
      <alignment horizontal="right" vertical="center" shrinkToFit="1"/>
    </xf>
    <xf numFmtId="14" fontId="14" fillId="4" borderId="100" xfId="0" applyNumberFormat="1" applyFont="1" applyFill="1" applyBorder="1"/>
    <xf numFmtId="167" fontId="14" fillId="4" borderId="73" xfId="1" applyFont="1" applyFill="1" applyBorder="1" applyAlignment="1">
      <alignment horizontal="center"/>
    </xf>
    <xf numFmtId="179" fontId="14" fillId="4" borderId="0" xfId="2" applyNumberFormat="1" applyFont="1" applyFill="1" applyBorder="1" applyAlignment="1">
      <alignment vertical="center"/>
    </xf>
    <xf numFmtId="0" fontId="59" fillId="4" borderId="28" xfId="0" applyFont="1" applyFill="1" applyBorder="1" applyAlignment="1">
      <alignment horizontal="left"/>
    </xf>
    <xf numFmtId="171" fontId="19" fillId="4" borderId="97" xfId="1" applyNumberFormat="1" applyFont="1" applyFill="1" applyBorder="1" applyAlignment="1">
      <alignment horizontal="right" vertical="top"/>
    </xf>
    <xf numFmtId="171" fontId="24" fillId="5" borderId="0" xfId="0" quotePrefix="1" applyNumberFormat="1" applyFont="1" applyFill="1" applyAlignment="1">
      <alignment shrinkToFit="1"/>
    </xf>
    <xf numFmtId="171" fontId="24" fillId="5" borderId="36" xfId="0" quotePrefix="1" applyNumberFormat="1" applyFont="1" applyFill="1" applyBorder="1" applyAlignment="1">
      <alignment shrinkToFit="1"/>
    </xf>
    <xf numFmtId="171" fontId="22" fillId="4" borderId="56" xfId="0" applyNumberFormat="1" applyFont="1" applyFill="1" applyBorder="1" applyAlignment="1">
      <alignment shrinkToFit="1"/>
    </xf>
    <xf numFmtId="171" fontId="22" fillId="5" borderId="0" xfId="0" applyNumberFormat="1" applyFont="1" applyFill="1" applyAlignment="1">
      <alignment shrinkToFit="1"/>
    </xf>
    <xf numFmtId="9" fontId="19" fillId="4" borderId="0" xfId="0" applyNumberFormat="1" applyFont="1" applyFill="1"/>
    <xf numFmtId="171" fontId="19" fillId="4" borderId="0" xfId="1" applyNumberFormat="1" applyFont="1" applyFill="1" applyBorder="1"/>
    <xf numFmtId="167" fontId="4" fillId="0" borderId="0" xfId="1" applyFont="1" applyBorder="1"/>
    <xf numFmtId="171" fontId="19" fillId="4" borderId="0" xfId="0" applyNumberFormat="1" applyFont="1" applyFill="1" applyAlignment="1">
      <alignment vertical="top"/>
    </xf>
    <xf numFmtId="10" fontId="19" fillId="4" borderId="0" xfId="2" applyNumberFormat="1" applyFont="1" applyFill="1" applyBorder="1"/>
    <xf numFmtId="171" fontId="28" fillId="4" borderId="0" xfId="1" applyNumberFormat="1" applyFont="1" applyFill="1" applyBorder="1"/>
    <xf numFmtId="167" fontId="6" fillId="0" borderId="0" xfId="1" applyFont="1" applyBorder="1"/>
    <xf numFmtId="171" fontId="28" fillId="4" borderId="0" xfId="1" applyNumberFormat="1" applyFont="1" applyFill="1" applyBorder="1" applyAlignment="1">
      <alignment shrinkToFit="1"/>
    </xf>
    <xf numFmtId="167" fontId="6" fillId="0" borderId="0" xfId="1" applyFont="1" applyBorder="1" applyAlignment="1">
      <alignment shrinkToFit="1"/>
    </xf>
    <xf numFmtId="171" fontId="19" fillId="4" borderId="97" xfId="1" applyNumberFormat="1" applyFont="1" applyFill="1" applyBorder="1"/>
    <xf numFmtId="171" fontId="28" fillId="4" borderId="107" xfId="1" applyNumberFormat="1" applyFont="1" applyFill="1" applyBorder="1"/>
    <xf numFmtId="171" fontId="28" fillId="4" borderId="97" xfId="1" applyNumberFormat="1" applyFont="1" applyFill="1" applyBorder="1"/>
    <xf numFmtId="171" fontId="28" fillId="4" borderId="18" xfId="1" applyNumberFormat="1" applyFont="1" applyFill="1" applyBorder="1"/>
    <xf numFmtId="0" fontId="27" fillId="4" borderId="120" xfId="0" applyFont="1" applyFill="1" applyBorder="1"/>
    <xf numFmtId="171" fontId="27" fillId="4" borderId="41" xfId="1" applyNumberFormat="1" applyFont="1" applyFill="1" applyBorder="1"/>
    <xf numFmtId="171" fontId="19" fillId="4" borderId="107" xfId="1" applyNumberFormat="1" applyFont="1" applyFill="1" applyBorder="1" applyAlignment="1">
      <alignment horizontal="right" vertical="top"/>
    </xf>
    <xf numFmtId="171" fontId="27" fillId="4" borderId="18" xfId="1" applyNumberFormat="1" applyFont="1" applyFill="1" applyBorder="1"/>
    <xf numFmtId="171" fontId="19" fillId="4" borderId="119" xfId="1" applyNumberFormat="1" applyFont="1" applyFill="1" applyBorder="1" applyAlignment="1">
      <alignment horizontal="right" vertical="top"/>
    </xf>
    <xf numFmtId="171" fontId="27" fillId="4" borderId="118" xfId="1" applyNumberFormat="1" applyFont="1" applyFill="1" applyBorder="1"/>
    <xf numFmtId="171" fontId="27" fillId="4" borderId="107" xfId="1" applyNumberFormat="1" applyFont="1" applyFill="1" applyBorder="1"/>
    <xf numFmtId="171" fontId="27" fillId="4" borderId="119" xfId="1" applyNumberFormat="1" applyFont="1" applyFill="1" applyBorder="1"/>
    <xf numFmtId="13" fontId="19" fillId="4" borderId="119" xfId="1" applyNumberFormat="1" applyFont="1" applyFill="1" applyBorder="1" applyAlignment="1">
      <alignment horizontal="right" vertical="top" wrapText="1"/>
    </xf>
    <xf numFmtId="13" fontId="19" fillId="4" borderId="118" xfId="1" applyNumberFormat="1" applyFont="1" applyFill="1" applyBorder="1" applyAlignment="1">
      <alignment horizontal="right" vertical="top" wrapText="1"/>
    </xf>
    <xf numFmtId="0" fontId="19" fillId="4" borderId="120" xfId="0" applyFont="1" applyFill="1" applyBorder="1" applyAlignment="1">
      <alignment vertical="top"/>
    </xf>
    <xf numFmtId="165" fontId="19" fillId="4" borderId="18" xfId="1" applyNumberFormat="1" applyFont="1" applyFill="1" applyBorder="1" applyAlignment="1">
      <alignment horizontal="right" vertical="top" wrapText="1"/>
    </xf>
    <xf numFmtId="165" fontId="19" fillId="4" borderId="118" xfId="1" applyNumberFormat="1" applyFont="1" applyFill="1" applyBorder="1" applyAlignment="1">
      <alignment horizontal="right" vertical="top" wrapText="1"/>
    </xf>
    <xf numFmtId="165" fontId="19" fillId="4" borderId="107" xfId="1" applyNumberFormat="1" applyFont="1" applyFill="1" applyBorder="1" applyAlignment="1">
      <alignment horizontal="right" vertical="top" wrapText="1"/>
    </xf>
    <xf numFmtId="165" fontId="19" fillId="4" borderId="119" xfId="1" applyNumberFormat="1" applyFont="1" applyFill="1" applyBorder="1" applyAlignment="1">
      <alignment horizontal="right" vertical="top" wrapText="1"/>
    </xf>
    <xf numFmtId="171" fontId="19" fillId="4" borderId="118" xfId="1" applyNumberFormat="1" applyFont="1" applyFill="1" applyBorder="1" applyAlignment="1">
      <alignment horizontal="right" vertical="top" wrapText="1"/>
    </xf>
    <xf numFmtId="171" fontId="22" fillId="5" borderId="121" xfId="1" applyNumberFormat="1" applyFont="1" applyFill="1" applyBorder="1" applyAlignment="1">
      <alignment shrinkToFit="1"/>
    </xf>
    <xf numFmtId="171" fontId="22" fillId="4" borderId="122" xfId="1" applyNumberFormat="1" applyFont="1" applyFill="1" applyBorder="1" applyAlignment="1">
      <alignment shrinkToFit="1"/>
    </xf>
    <xf numFmtId="171" fontId="22" fillId="5" borderId="122" xfId="1" applyNumberFormat="1" applyFont="1" applyFill="1" applyBorder="1" applyAlignment="1">
      <alignment shrinkToFit="1"/>
    </xf>
    <xf numFmtId="171" fontId="22" fillId="5" borderId="34" xfId="1" applyNumberFormat="1" applyFont="1" applyFill="1" applyBorder="1" applyAlignment="1">
      <alignment shrinkToFit="1"/>
    </xf>
    <xf numFmtId="171" fontId="24" fillId="5" borderId="32" xfId="1" applyNumberFormat="1" applyFont="1" applyFill="1" applyBorder="1" applyAlignment="1">
      <alignment shrinkToFit="1"/>
    </xf>
    <xf numFmtId="171" fontId="22" fillId="4" borderId="75" xfId="1" applyNumberFormat="1" applyFont="1" applyFill="1" applyBorder="1" applyAlignment="1">
      <alignment shrinkToFit="1"/>
    </xf>
    <xf numFmtId="171" fontId="22" fillId="4" borderId="31" xfId="1" applyNumberFormat="1" applyFont="1" applyFill="1" applyBorder="1" applyAlignment="1">
      <alignment shrinkToFit="1"/>
    </xf>
    <xf numFmtId="171" fontId="24" fillId="5" borderId="2" xfId="0" quotePrefix="1" applyNumberFormat="1" applyFont="1" applyFill="1" applyBorder="1" applyAlignment="1">
      <alignment shrinkToFit="1"/>
    </xf>
    <xf numFmtId="171" fontId="24" fillId="5" borderId="2" xfId="1" applyNumberFormat="1" applyFont="1" applyFill="1" applyBorder="1" applyAlignment="1">
      <alignment shrinkToFit="1"/>
    </xf>
    <xf numFmtId="171" fontId="22" fillId="5" borderId="2" xfId="1" applyNumberFormat="1" applyFont="1" applyFill="1" applyBorder="1" applyAlignment="1">
      <alignment shrinkToFit="1"/>
    </xf>
    <xf numFmtId="171" fontId="22" fillId="4" borderId="3" xfId="0" applyNumberFormat="1" applyFont="1" applyFill="1" applyBorder="1" applyAlignment="1">
      <alignment shrinkToFit="1"/>
    </xf>
    <xf numFmtId="171" fontId="22" fillId="4" borderId="123" xfId="1" applyNumberFormat="1" applyFont="1" applyFill="1" applyBorder="1" applyAlignment="1">
      <alignment shrinkToFit="1"/>
    </xf>
    <xf numFmtId="171" fontId="22" fillId="4" borderId="2" xfId="1" applyNumberFormat="1" applyFont="1" applyFill="1" applyBorder="1" applyAlignment="1">
      <alignment shrinkToFit="1"/>
    </xf>
    <xf numFmtId="168" fontId="8" fillId="0" borderId="16" xfId="1" applyNumberFormat="1" applyFont="1" applyBorder="1" applyAlignment="1">
      <alignment shrinkToFit="1"/>
    </xf>
    <xf numFmtId="167" fontId="22" fillId="4" borderId="0" xfId="1" applyFont="1" applyFill="1" applyBorder="1" applyAlignment="1">
      <alignment shrinkToFit="1"/>
    </xf>
    <xf numFmtId="171" fontId="59" fillId="5" borderId="28" xfId="0" quotePrefix="1" applyNumberFormat="1" applyFont="1" applyFill="1" applyBorder="1" applyAlignment="1">
      <alignment shrinkToFit="1"/>
    </xf>
    <xf numFmtId="171" fontId="59" fillId="5" borderId="1" xfId="0" quotePrefix="1" applyNumberFormat="1" applyFont="1" applyFill="1" applyBorder="1" applyAlignment="1">
      <alignment shrinkToFit="1"/>
    </xf>
    <xf numFmtId="171" fontId="22" fillId="5" borderId="79" xfId="1" applyNumberFormat="1" applyFont="1" applyFill="1" applyBorder="1" applyAlignment="1">
      <alignment shrinkToFit="1"/>
    </xf>
    <xf numFmtId="171" fontId="22" fillId="5" borderId="96" xfId="1" applyNumberFormat="1" applyFont="1" applyFill="1" applyBorder="1" applyAlignment="1">
      <alignment shrinkToFit="1"/>
    </xf>
    <xf numFmtId="171" fontId="22" fillId="5" borderId="125" xfId="1" applyNumberFormat="1" applyFont="1" applyFill="1" applyBorder="1" applyAlignment="1">
      <alignment shrinkToFit="1"/>
    </xf>
    <xf numFmtId="171" fontId="24" fillId="5" borderId="96" xfId="1" applyNumberFormat="1" applyFont="1" applyFill="1" applyBorder="1" applyAlignment="1">
      <alignment shrinkToFit="1"/>
    </xf>
    <xf numFmtId="171" fontId="24" fillId="5" borderId="105" xfId="1" applyNumberFormat="1" applyFont="1" applyFill="1" applyBorder="1" applyAlignment="1">
      <alignment shrinkToFit="1"/>
    </xf>
    <xf numFmtId="171" fontId="24" fillId="5" borderId="12" xfId="0" quotePrefix="1" applyNumberFormat="1" applyFont="1" applyFill="1" applyBorder="1" applyAlignment="1">
      <alignment shrinkToFit="1"/>
    </xf>
    <xf numFmtId="171" fontId="24" fillId="5" borderId="12" xfId="1" applyNumberFormat="1" applyFont="1" applyFill="1" applyBorder="1" applyAlignment="1">
      <alignment shrinkToFit="1"/>
    </xf>
    <xf numFmtId="171" fontId="22" fillId="4" borderId="12" xfId="0" applyNumberFormat="1" applyFont="1" applyFill="1" applyBorder="1" applyAlignment="1">
      <alignment shrinkToFit="1"/>
    </xf>
    <xf numFmtId="0" fontId="22" fillId="4" borderId="78" xfId="0" applyFont="1" applyFill="1" applyBorder="1" applyAlignment="1">
      <alignment shrinkToFit="1"/>
    </xf>
    <xf numFmtId="171" fontId="22" fillId="5" borderId="12" xfId="0" quotePrefix="1" applyNumberFormat="1" applyFont="1" applyFill="1" applyBorder="1" applyAlignment="1">
      <alignment shrinkToFit="1"/>
    </xf>
    <xf numFmtId="167" fontId="28" fillId="4" borderId="120" xfId="1" applyFont="1" applyFill="1" applyBorder="1"/>
    <xf numFmtId="0" fontId="14" fillId="4" borderId="0" xfId="0" quotePrefix="1" applyFont="1" applyFill="1"/>
    <xf numFmtId="14" fontId="14" fillId="4" borderId="0" xfId="0" applyNumberFormat="1" applyFont="1" applyFill="1"/>
    <xf numFmtId="0" fontId="19" fillId="4" borderId="78" xfId="0" applyFont="1" applyFill="1" applyBorder="1" applyAlignment="1">
      <alignment vertical="top"/>
    </xf>
    <xf numFmtId="9" fontId="19" fillId="4" borderId="97" xfId="0" applyNumberFormat="1" applyFont="1" applyFill="1" applyBorder="1"/>
    <xf numFmtId="14" fontId="14" fillId="4" borderId="74" xfId="0" quotePrefix="1" applyNumberFormat="1" applyFont="1" applyFill="1" applyBorder="1"/>
    <xf numFmtId="14" fontId="14" fillId="4" borderId="77" xfId="0" quotePrefix="1" applyNumberFormat="1" applyFont="1" applyFill="1" applyBorder="1"/>
    <xf numFmtId="14" fontId="14" fillId="4" borderId="77" xfId="0" applyNumberFormat="1" applyFont="1" applyFill="1" applyBorder="1"/>
    <xf numFmtId="0" fontId="30" fillId="4" borderId="74" xfId="0" applyFont="1" applyFill="1" applyBorder="1" applyAlignment="1">
      <alignment horizontal="center"/>
    </xf>
    <xf numFmtId="0" fontId="30" fillId="4" borderId="77" xfId="0" applyFont="1" applyFill="1" applyBorder="1" applyAlignment="1">
      <alignment horizontal="center"/>
    </xf>
    <xf numFmtId="0" fontId="16" fillId="0" borderId="13" xfId="0" applyFont="1" applyBorder="1" applyAlignment="1">
      <alignment horizontal="center"/>
    </xf>
    <xf numFmtId="170" fontId="31" fillId="4" borderId="78" xfId="3" applyNumberFormat="1" applyFont="1" applyFill="1" applyBorder="1" applyAlignment="1">
      <alignment horizontal="center" vertical="center"/>
    </xf>
    <xf numFmtId="170" fontId="7" fillId="0" borderId="15" xfId="3" applyNumberFormat="1" applyFont="1" applyBorder="1" applyAlignment="1">
      <alignment horizontal="center" vertical="center"/>
    </xf>
    <xf numFmtId="170" fontId="31" fillId="4" borderId="73" xfId="3" applyNumberFormat="1" applyFont="1" applyFill="1" applyBorder="1" applyAlignment="1">
      <alignment horizontal="center" vertical="center"/>
    </xf>
    <xf numFmtId="170" fontId="31" fillId="4" borderId="79" xfId="3" applyNumberFormat="1" applyFont="1" applyFill="1" applyBorder="1" applyAlignment="1">
      <alignment horizontal="center" vertical="center"/>
    </xf>
    <xf numFmtId="170" fontId="7" fillId="0" borderId="14" xfId="3" applyNumberFormat="1" applyFont="1" applyBorder="1" applyAlignment="1">
      <alignment horizontal="center" vertical="center"/>
    </xf>
    <xf numFmtId="170" fontId="31" fillId="4" borderId="114" xfId="3" applyNumberFormat="1" applyFont="1" applyFill="1" applyBorder="1" applyAlignment="1">
      <alignment horizontal="center" vertical="center"/>
    </xf>
    <xf numFmtId="0" fontId="30" fillId="4" borderId="95" xfId="0" applyFont="1" applyFill="1" applyBorder="1" applyAlignment="1">
      <alignment horizontal="center"/>
    </xf>
    <xf numFmtId="170" fontId="31" fillId="4" borderId="97" xfId="3" applyNumberFormat="1" applyFont="1" applyFill="1" applyBorder="1" applyAlignment="1">
      <alignment horizontal="center" vertical="center"/>
    </xf>
    <xf numFmtId="170" fontId="31" fillId="4" borderId="96" xfId="3" applyNumberFormat="1" applyFont="1" applyFill="1" applyBorder="1" applyAlignment="1">
      <alignment horizontal="center" vertical="center"/>
    </xf>
    <xf numFmtId="0" fontId="30" fillId="4" borderId="100" xfId="0" applyFont="1" applyFill="1" applyBorder="1" applyAlignment="1">
      <alignment horizontal="center"/>
    </xf>
    <xf numFmtId="0" fontId="14" fillId="4" borderId="100" xfId="0" applyFont="1" applyFill="1" applyBorder="1"/>
    <xf numFmtId="14" fontId="14" fillId="4" borderId="100" xfId="0" quotePrefix="1" applyNumberFormat="1" applyFont="1" applyFill="1" applyBorder="1"/>
    <xf numFmtId="0" fontId="30" fillId="4" borderId="13" xfId="0" applyFont="1" applyFill="1" applyBorder="1" applyAlignment="1">
      <alignment horizontal="center"/>
    </xf>
    <xf numFmtId="170" fontId="31" fillId="4" borderId="15" xfId="3" applyNumberFormat="1" applyFont="1" applyFill="1" applyBorder="1" applyAlignment="1">
      <alignment horizontal="center" vertical="center"/>
    </xf>
    <xf numFmtId="170" fontId="31" fillId="4" borderId="14" xfId="3" applyNumberFormat="1" applyFont="1" applyFill="1" applyBorder="1" applyAlignment="1">
      <alignment horizontal="center" vertical="center"/>
    </xf>
    <xf numFmtId="0" fontId="14" fillId="4" borderId="74" xfId="0" quotePrefix="1" applyFont="1" applyFill="1" applyBorder="1"/>
    <xf numFmtId="0" fontId="14" fillId="4" borderId="71" xfId="0" quotePrefix="1" applyFont="1" applyFill="1" applyBorder="1"/>
    <xf numFmtId="0" fontId="30" fillId="4" borderId="109" xfId="0" applyFont="1" applyFill="1" applyBorder="1" applyAlignment="1">
      <alignment horizontal="center"/>
    </xf>
    <xf numFmtId="170" fontId="31" fillId="4" borderId="113" xfId="3" applyNumberFormat="1" applyFont="1" applyFill="1" applyBorder="1" applyAlignment="1">
      <alignment horizontal="center" vertical="center"/>
    </xf>
    <xf numFmtId="170" fontId="31" fillId="4" borderId="110" xfId="3" applyNumberFormat="1" applyFont="1" applyFill="1" applyBorder="1" applyAlignment="1">
      <alignment horizontal="center" vertical="center"/>
    </xf>
    <xf numFmtId="170" fontId="32" fillId="4" borderId="97" xfId="3" applyNumberFormat="1" applyFont="1" applyFill="1" applyBorder="1" applyAlignment="1">
      <alignment horizontal="center" vertical="center" shrinkToFit="1"/>
    </xf>
    <xf numFmtId="170" fontId="32" fillId="4" borderId="15" xfId="3" applyNumberFormat="1" applyFont="1" applyFill="1" applyBorder="1" applyAlignment="1">
      <alignment horizontal="center" vertical="center" shrinkToFit="1"/>
    </xf>
    <xf numFmtId="170" fontId="32" fillId="4" borderId="78" xfId="3" applyNumberFormat="1" applyFont="1" applyFill="1" applyBorder="1" applyAlignment="1">
      <alignment horizontal="center" vertical="center" shrinkToFit="1"/>
    </xf>
    <xf numFmtId="170" fontId="32" fillId="4" borderId="113" xfId="3" applyNumberFormat="1" applyFont="1" applyFill="1" applyBorder="1" applyAlignment="1">
      <alignment horizontal="center" vertical="center" shrinkToFit="1"/>
    </xf>
    <xf numFmtId="170" fontId="7" fillId="0" borderId="97" xfId="3" applyNumberFormat="1" applyFont="1" applyBorder="1" applyAlignment="1">
      <alignment horizontal="center" vertical="center"/>
    </xf>
    <xf numFmtId="0" fontId="14" fillId="4" borderId="15" xfId="0" applyFont="1" applyFill="1" applyBorder="1"/>
    <xf numFmtId="14" fontId="0" fillId="3" borderId="0" xfId="1" applyNumberFormat="1" applyFont="1" applyFill="1" applyBorder="1" applyAlignment="1">
      <alignment vertical="center"/>
    </xf>
    <xf numFmtId="0" fontId="26" fillId="4" borderId="0" xfId="0" applyFont="1" applyFill="1" applyAlignment="1">
      <alignment vertical="center"/>
    </xf>
    <xf numFmtId="14" fontId="30" fillId="4" borderId="94" xfId="0" applyNumberFormat="1" applyFont="1" applyFill="1" applyBorder="1" applyAlignment="1">
      <alignment wrapText="1" shrinkToFit="1"/>
    </xf>
    <xf numFmtId="0" fontId="14" fillId="4" borderId="94" xfId="0" applyFont="1" applyFill="1" applyBorder="1" applyAlignment="1">
      <alignment vertical="center"/>
    </xf>
    <xf numFmtId="0" fontId="14" fillId="4" borderId="94" xfId="0" applyFont="1" applyFill="1" applyBorder="1" applyAlignment="1">
      <alignment vertical="center" shrinkToFit="1"/>
    </xf>
    <xf numFmtId="170" fontId="14" fillId="4" borderId="94" xfId="3" applyNumberFormat="1" applyFont="1" applyFill="1" applyBorder="1" applyAlignment="1">
      <alignment vertical="center"/>
    </xf>
    <xf numFmtId="14" fontId="23" fillId="4" borderId="75" xfId="0" applyNumberFormat="1" applyFont="1" applyFill="1" applyBorder="1" applyAlignment="1">
      <alignment horizontal="right" vertical="center"/>
    </xf>
    <xf numFmtId="174" fontId="35" fillId="4" borderId="75" xfId="0" applyNumberFormat="1" applyFont="1" applyFill="1" applyBorder="1" applyAlignment="1">
      <alignment horizontal="right" vertical="center"/>
    </xf>
    <xf numFmtId="0" fontId="30" fillId="4" borderId="94" xfId="0" applyFont="1" applyFill="1" applyBorder="1" applyAlignment="1">
      <alignment vertical="center"/>
    </xf>
    <xf numFmtId="14" fontId="30" fillId="4" borderId="94" xfId="0" applyNumberFormat="1" applyFont="1" applyFill="1" applyBorder="1" applyAlignment="1">
      <alignment vertical="center"/>
    </xf>
    <xf numFmtId="170" fontId="30" fillId="4" borderId="94" xfId="3" applyNumberFormat="1" applyFont="1" applyFill="1" applyBorder="1" applyAlignment="1">
      <alignment vertical="center"/>
    </xf>
    <xf numFmtId="171" fontId="30" fillId="4" borderId="78" xfId="1" applyNumberFormat="1" applyFont="1" applyFill="1" applyBorder="1" applyAlignment="1">
      <alignment vertical="center"/>
    </xf>
    <xf numFmtId="171" fontId="30" fillId="4" borderId="113" xfId="1" applyNumberFormat="1" applyFont="1" applyFill="1" applyBorder="1" applyAlignment="1">
      <alignment horizontal="center" vertical="center"/>
    </xf>
    <xf numFmtId="14" fontId="30" fillId="4" borderId="94" xfId="1" applyNumberFormat="1" applyFont="1" applyFill="1" applyBorder="1" applyAlignment="1">
      <alignment vertical="center"/>
    </xf>
    <xf numFmtId="171" fontId="30" fillId="4" borderId="78" xfId="1" applyNumberFormat="1" applyFont="1" applyFill="1" applyBorder="1" applyAlignment="1">
      <alignment vertical="top" wrapText="1" shrinkToFit="1"/>
    </xf>
    <xf numFmtId="170" fontId="30" fillId="4" borderId="97" xfId="3" applyNumberFormat="1" applyFont="1" applyFill="1" applyBorder="1" applyAlignment="1">
      <alignment vertical="center"/>
    </xf>
    <xf numFmtId="0" fontId="30" fillId="4" borderId="97" xfId="0" applyFont="1" applyFill="1" applyBorder="1" applyAlignment="1">
      <alignment vertical="center"/>
    </xf>
    <xf numFmtId="167" fontId="30" fillId="4" borderId="97" xfId="1" applyFont="1" applyFill="1" applyBorder="1" applyAlignment="1">
      <alignment vertical="center"/>
    </xf>
    <xf numFmtId="0" fontId="25" fillId="4" borderId="54" xfId="0" applyFont="1" applyFill="1" applyBorder="1" applyAlignment="1">
      <alignment horizontal="center" vertical="center"/>
    </xf>
    <xf numFmtId="174" fontId="25" fillId="4" borderId="18" xfId="0" applyNumberFormat="1" applyFont="1" applyFill="1" applyBorder="1" applyAlignment="1">
      <alignment horizontal="right" vertical="center"/>
    </xf>
    <xf numFmtId="174" fontId="35" fillId="4" borderId="97" xfId="0" applyNumberFormat="1" applyFont="1" applyFill="1" applyBorder="1" applyAlignment="1">
      <alignment horizontal="right" vertical="center" shrinkToFit="1"/>
    </xf>
    <xf numFmtId="174" fontId="35" fillId="4" borderId="41" xfId="0" applyNumberFormat="1" applyFont="1" applyFill="1" applyBorder="1" applyAlignment="1">
      <alignment horizontal="right" vertical="center"/>
    </xf>
    <xf numFmtId="0" fontId="57" fillId="3" borderId="97" xfId="0" applyFont="1" applyFill="1" applyBorder="1" applyAlignment="1">
      <alignment vertical="center"/>
    </xf>
    <xf numFmtId="14" fontId="30" fillId="4" borderId="78" xfId="0" applyNumberFormat="1" applyFont="1" applyFill="1" applyBorder="1" applyAlignment="1">
      <alignment vertical="center"/>
    </xf>
    <xf numFmtId="14" fontId="30" fillId="4" borderId="113" xfId="0" applyNumberFormat="1" applyFont="1" applyFill="1" applyBorder="1" applyAlignment="1">
      <alignment wrapText="1" shrinkToFit="1"/>
    </xf>
    <xf numFmtId="170" fontId="30" fillId="4" borderId="94" xfId="3" applyNumberFormat="1" applyFont="1" applyFill="1" applyBorder="1" applyAlignment="1">
      <alignment vertical="center" wrapText="1"/>
    </xf>
    <xf numFmtId="171" fontId="30" fillId="4" borderId="78" xfId="1" applyNumberFormat="1" applyFont="1" applyFill="1" applyBorder="1" applyAlignment="1">
      <alignment vertical="top"/>
    </xf>
    <xf numFmtId="171" fontId="30" fillId="4" borderId="113" xfId="1" applyNumberFormat="1" applyFont="1" applyFill="1" applyBorder="1" applyAlignment="1">
      <alignment horizontal="center"/>
    </xf>
    <xf numFmtId="170" fontId="30" fillId="4" borderId="97" xfId="3" applyNumberFormat="1" applyFont="1" applyFill="1" applyBorder="1" applyAlignment="1">
      <alignment vertical="center" wrapText="1"/>
    </xf>
    <xf numFmtId="14" fontId="23" fillId="4" borderId="94" xfId="0" applyNumberFormat="1" applyFont="1" applyFill="1" applyBorder="1" applyAlignment="1">
      <alignment horizontal="right" vertical="center"/>
    </xf>
    <xf numFmtId="167" fontId="23" fillId="4" borderId="94" xfId="0" applyNumberFormat="1" applyFont="1" applyFill="1" applyBorder="1" applyAlignment="1">
      <alignment horizontal="right" vertical="center"/>
    </xf>
    <xf numFmtId="174" fontId="23" fillId="4" borderId="94" xfId="0" applyNumberFormat="1" applyFont="1" applyFill="1" applyBorder="1" applyAlignment="1">
      <alignment horizontal="right" vertical="center" shrinkToFit="1"/>
    </xf>
    <xf numFmtId="174" fontId="35" fillId="4" borderId="94" xfId="0" applyNumberFormat="1" applyFont="1" applyFill="1" applyBorder="1" applyAlignment="1">
      <alignment horizontal="right" vertical="center"/>
    </xf>
    <xf numFmtId="0" fontId="14" fillId="4" borderId="54" xfId="0" applyFont="1" applyFill="1" applyBorder="1" applyAlignment="1">
      <alignment vertical="center"/>
    </xf>
    <xf numFmtId="14" fontId="14" fillId="4" borderId="18" xfId="0" applyNumberFormat="1" applyFont="1" applyFill="1" applyBorder="1" applyAlignment="1">
      <alignment vertical="center"/>
    </xf>
    <xf numFmtId="167" fontId="23" fillId="4" borderId="73" xfId="0" applyNumberFormat="1" applyFont="1" applyFill="1" applyBorder="1" applyAlignment="1">
      <alignment horizontal="right" vertical="center"/>
    </xf>
    <xf numFmtId="14" fontId="30" fillId="4" borderId="94" xfId="0" applyNumberFormat="1" applyFont="1" applyFill="1" applyBorder="1" applyAlignment="1">
      <alignment shrinkToFit="1"/>
    </xf>
    <xf numFmtId="171" fontId="30" fillId="4" borderId="94" xfId="1" applyNumberFormat="1" applyFont="1" applyFill="1" applyBorder="1" applyAlignment="1">
      <alignment vertical="center"/>
    </xf>
    <xf numFmtId="171" fontId="30" fillId="4" borderId="94" xfId="1" applyNumberFormat="1" applyFont="1" applyFill="1" applyBorder="1" applyAlignment="1">
      <alignment horizontal="center" vertical="center"/>
    </xf>
    <xf numFmtId="171" fontId="30" fillId="4" borderId="78" xfId="1" applyNumberFormat="1" applyFont="1" applyFill="1" applyBorder="1" applyAlignment="1">
      <alignment vertical="top" shrinkToFit="1"/>
    </xf>
    <xf numFmtId="0" fontId="23" fillId="4" borderId="15" xfId="0" applyFont="1" applyFill="1" applyBorder="1" applyAlignment="1">
      <alignment vertical="center"/>
    </xf>
    <xf numFmtId="14" fontId="23" fillId="4" borderId="94" xfId="0" applyNumberFormat="1" applyFont="1" applyFill="1" applyBorder="1" applyAlignment="1">
      <alignment vertical="center" shrinkToFit="1"/>
    </xf>
    <xf numFmtId="167" fontId="23" fillId="4" borderId="78" xfId="0" applyNumberFormat="1" applyFont="1" applyFill="1" applyBorder="1" applyAlignment="1">
      <alignment horizontal="right" vertical="center"/>
    </xf>
    <xf numFmtId="174" fontId="23" fillId="4" borderId="113" xfId="0" applyNumberFormat="1" applyFont="1" applyFill="1" applyBorder="1" applyAlignment="1">
      <alignment horizontal="right" vertical="center" shrinkToFit="1"/>
    </xf>
    <xf numFmtId="14" fontId="30" fillId="4" borderId="94" xfId="0" applyNumberFormat="1" applyFont="1" applyFill="1" applyBorder="1" applyAlignment="1">
      <alignment vertical="center" shrinkToFit="1"/>
    </xf>
    <xf numFmtId="0" fontId="30" fillId="4" borderId="0" xfId="0" applyFont="1" applyFill="1" applyAlignment="1">
      <alignment vertical="center"/>
    </xf>
    <xf numFmtId="14" fontId="30" fillId="4" borderId="0" xfId="0" applyNumberFormat="1" applyFont="1" applyFill="1" applyAlignment="1">
      <alignment vertical="center"/>
    </xf>
    <xf numFmtId="14" fontId="30" fillId="4" borderId="97" xfId="0" applyNumberFormat="1" applyFont="1" applyFill="1" applyBorder="1" applyAlignment="1">
      <alignment vertical="center"/>
    </xf>
    <xf numFmtId="171" fontId="30" fillId="4" borderId="0" xfId="1" applyNumberFormat="1" applyFont="1" applyFill="1" applyBorder="1" applyAlignment="1">
      <alignment vertical="center"/>
    </xf>
    <xf numFmtId="171" fontId="30" fillId="4" borderId="97" xfId="0" applyNumberFormat="1" applyFont="1" applyFill="1" applyBorder="1" applyAlignment="1">
      <alignment horizontal="center" vertical="center"/>
    </xf>
    <xf numFmtId="0" fontId="30" fillId="4" borderId="0" xfId="0" applyFont="1" applyFill="1" applyAlignment="1">
      <alignment vertical="center" shrinkToFit="1"/>
    </xf>
    <xf numFmtId="167" fontId="30" fillId="4" borderId="97" xfId="0" applyNumberFormat="1" applyFont="1" applyFill="1" applyBorder="1" applyAlignment="1">
      <alignment vertical="center"/>
    </xf>
    <xf numFmtId="170" fontId="23" fillId="4" borderId="0" xfId="3" applyNumberFormat="1" applyFont="1" applyFill="1" applyBorder="1" applyAlignment="1">
      <alignment vertical="center"/>
    </xf>
    <xf numFmtId="171" fontId="23" fillId="4" borderId="0" xfId="0" applyNumberFormat="1" applyFont="1" applyFill="1" applyAlignment="1">
      <alignment vertical="center"/>
    </xf>
    <xf numFmtId="14" fontId="23" fillId="4" borderId="78" xfId="0" applyNumberFormat="1" applyFont="1" applyFill="1" applyBorder="1" applyAlignment="1">
      <alignment vertical="center"/>
    </xf>
    <xf numFmtId="14" fontId="14" fillId="4" borderId="0" xfId="1" applyNumberFormat="1" applyFont="1" applyFill="1" applyBorder="1" applyAlignment="1">
      <alignment vertical="center"/>
    </xf>
    <xf numFmtId="14" fontId="35" fillId="4" borderId="0" xfId="1" applyNumberFormat="1" applyFont="1" applyFill="1" applyBorder="1" applyAlignment="1">
      <alignment vertical="center"/>
    </xf>
    <xf numFmtId="0" fontId="25" fillId="4" borderId="78" xfId="0" applyFont="1" applyFill="1" applyBorder="1" applyAlignment="1">
      <alignment horizontal="center" vertical="center"/>
    </xf>
    <xf numFmtId="0" fontId="35" fillId="4" borderId="97" xfId="0" applyFont="1" applyFill="1" applyBorder="1" applyAlignment="1">
      <alignment horizontal="center" vertical="center"/>
    </xf>
    <xf numFmtId="14" fontId="14" fillId="4" borderId="113" xfId="1" applyNumberFormat="1" applyFont="1" applyFill="1" applyBorder="1" applyAlignment="1">
      <alignment horizontal="center" vertical="center"/>
    </xf>
    <xf numFmtId="14" fontId="14" fillId="4" borderId="97" xfId="1" applyNumberFormat="1" applyFont="1" applyFill="1" applyBorder="1" applyAlignment="1">
      <alignment horizontal="center" vertical="center"/>
    </xf>
    <xf numFmtId="179" fontId="14" fillId="4" borderId="94" xfId="2" applyNumberFormat="1" applyFont="1" applyFill="1" applyBorder="1" applyAlignment="1">
      <alignment vertical="center"/>
    </xf>
    <xf numFmtId="179" fontId="14" fillId="4" borderId="78" xfId="2" applyNumberFormat="1" applyFont="1" applyFill="1" applyBorder="1" applyAlignment="1">
      <alignment vertical="center"/>
    </xf>
    <xf numFmtId="179" fontId="14" fillId="4" borderId="113" xfId="2" applyNumberFormat="1" applyFont="1" applyFill="1" applyBorder="1" applyAlignment="1">
      <alignment vertical="center"/>
    </xf>
    <xf numFmtId="179" fontId="14" fillId="4" borderId="97" xfId="2" applyNumberFormat="1" applyFont="1" applyFill="1" applyBorder="1" applyAlignment="1">
      <alignment vertical="center"/>
    </xf>
    <xf numFmtId="179" fontId="14" fillId="4" borderId="15" xfId="2" applyNumberFormat="1" applyFont="1" applyFill="1" applyBorder="1" applyAlignment="1">
      <alignment vertical="center"/>
    </xf>
    <xf numFmtId="0" fontId="2" fillId="3" borderId="15" xfId="0" applyFont="1" applyFill="1" applyBorder="1"/>
    <xf numFmtId="0" fontId="2" fillId="3" borderId="78" xfId="0" applyFont="1" applyFill="1" applyBorder="1"/>
    <xf numFmtId="0" fontId="2" fillId="3" borderId="94" xfId="0" applyFont="1" applyFill="1" applyBorder="1"/>
    <xf numFmtId="0" fontId="0" fillId="3" borderId="126" xfId="0" applyFill="1" applyBorder="1"/>
    <xf numFmtId="0" fontId="2" fillId="3" borderId="97" xfId="0" applyFont="1" applyFill="1" applyBorder="1"/>
    <xf numFmtId="0" fontId="2" fillId="3" borderId="113" xfId="0" applyFont="1" applyFill="1" applyBorder="1"/>
    <xf numFmtId="171" fontId="27" fillId="4" borderId="42" xfId="1" applyNumberFormat="1" applyFont="1" applyFill="1" applyBorder="1" applyAlignment="1">
      <alignment horizontal="right"/>
    </xf>
    <xf numFmtId="171" fontId="27" fillId="4" borderId="97" xfId="1" applyNumberFormat="1" applyFont="1" applyFill="1" applyBorder="1"/>
    <xf numFmtId="0" fontId="19" fillId="4" borderId="120" xfId="0" applyFont="1" applyFill="1" applyBorder="1"/>
    <xf numFmtId="167" fontId="4" fillId="0" borderId="97" xfId="1" applyFont="1" applyBorder="1"/>
    <xf numFmtId="167" fontId="4" fillId="0" borderId="15" xfId="1" applyFont="1" applyBorder="1"/>
    <xf numFmtId="167" fontId="4" fillId="0" borderId="78" xfId="1" applyFont="1" applyBorder="1"/>
    <xf numFmtId="167" fontId="4" fillId="0" borderId="113" xfId="1" applyFont="1" applyBorder="1"/>
    <xf numFmtId="167" fontId="4" fillId="0" borderId="94" xfId="1" applyFont="1" applyBorder="1"/>
    <xf numFmtId="0" fontId="19" fillId="4" borderId="41" xfId="0" applyFont="1" applyFill="1" applyBorder="1"/>
    <xf numFmtId="9" fontId="19" fillId="4" borderId="41" xfId="2" applyFont="1" applyFill="1" applyBorder="1"/>
    <xf numFmtId="9" fontId="28" fillId="4" borderId="41" xfId="2" applyFont="1" applyFill="1" applyBorder="1" applyAlignment="1">
      <alignment horizontal="right"/>
    </xf>
    <xf numFmtId="168" fontId="8" fillId="0" borderId="0" xfId="1" applyNumberFormat="1" applyFont="1" applyBorder="1" applyAlignment="1">
      <alignment shrinkToFit="1"/>
    </xf>
    <xf numFmtId="0" fontId="8" fillId="0" borderId="94" xfId="0" applyFont="1" applyBorder="1" applyAlignment="1">
      <alignment shrinkToFit="1"/>
    </xf>
    <xf numFmtId="0" fontId="8" fillId="0" borderId="15" xfId="0" applyFont="1" applyBorder="1" applyAlignment="1">
      <alignment shrinkToFit="1"/>
    </xf>
    <xf numFmtId="0" fontId="8" fillId="0" borderId="78" xfId="0" applyFont="1" applyBorder="1" applyAlignment="1">
      <alignment shrinkToFit="1"/>
    </xf>
    <xf numFmtId="171" fontId="22" fillId="4" borderId="78" xfId="1" applyNumberFormat="1" applyFont="1" applyFill="1" applyBorder="1" applyAlignment="1">
      <alignment shrinkToFit="1"/>
    </xf>
    <xf numFmtId="0" fontId="8" fillId="0" borderId="97" xfId="0" applyFont="1" applyBorder="1" applyAlignment="1">
      <alignment shrinkToFit="1"/>
    </xf>
    <xf numFmtId="0" fontId="8" fillId="0" borderId="113" xfId="0" applyFont="1" applyBorder="1" applyAlignment="1">
      <alignment shrinkToFit="1"/>
    </xf>
    <xf numFmtId="171" fontId="24" fillId="4" borderId="0" xfId="0" applyNumberFormat="1" applyFont="1" applyFill="1" applyAlignment="1">
      <alignment shrinkToFit="1"/>
    </xf>
    <xf numFmtId="171" fontId="24" fillId="5" borderId="75" xfId="0" quotePrefix="1" applyNumberFormat="1" applyFont="1" applyFill="1" applyBorder="1" applyAlignment="1">
      <alignment shrinkToFit="1"/>
    </xf>
    <xf numFmtId="171" fontId="22" fillId="4" borderId="32" xfId="1" applyNumberFormat="1" applyFont="1" applyFill="1" applyBorder="1"/>
    <xf numFmtId="167" fontId="23" fillId="4" borderId="41" xfId="1" applyFont="1" applyFill="1" applyBorder="1" applyAlignment="1">
      <alignment horizontal="center"/>
    </xf>
    <xf numFmtId="171" fontId="22" fillId="4" borderId="41" xfId="1" applyNumberFormat="1" applyFont="1" applyFill="1" applyBorder="1"/>
    <xf numFmtId="0" fontId="33" fillId="4" borderId="0" xfId="5" applyFont="1" applyFill="1"/>
    <xf numFmtId="167" fontId="35" fillId="6" borderId="54" xfId="1" applyFont="1" applyFill="1" applyBorder="1" applyAlignment="1"/>
    <xf numFmtId="167" fontId="35" fillId="6" borderId="41" xfId="1" applyFont="1" applyFill="1" applyBorder="1" applyAlignment="1"/>
    <xf numFmtId="14" fontId="35" fillId="6" borderId="41" xfId="0" applyNumberFormat="1" applyFont="1" applyFill="1" applyBorder="1"/>
    <xf numFmtId="170" fontId="35" fillId="6" borderId="41" xfId="3" applyNumberFormat="1" applyFont="1" applyFill="1" applyBorder="1" applyAlignment="1"/>
    <xf numFmtId="167" fontId="35" fillId="6" borderId="41" xfId="1" applyFont="1" applyFill="1" applyBorder="1" applyAlignment="1">
      <alignment shrinkToFit="1"/>
    </xf>
    <xf numFmtId="167" fontId="35" fillId="6" borderId="18" xfId="1" applyFont="1" applyFill="1" applyBorder="1" applyAlignment="1"/>
    <xf numFmtId="167" fontId="35" fillId="6" borderId="41" xfId="1" applyFont="1" applyFill="1" applyBorder="1" applyAlignment="1">
      <alignment horizontal="center"/>
    </xf>
    <xf numFmtId="14" fontId="14" fillId="4" borderId="75" xfId="0" applyNumberFormat="1" applyFont="1" applyFill="1" applyBorder="1"/>
    <xf numFmtId="0" fontId="14" fillId="4" borderId="75" xfId="0" quotePrefix="1" applyFont="1" applyFill="1" applyBorder="1" applyAlignment="1">
      <alignment shrinkToFit="1"/>
    </xf>
    <xf numFmtId="14" fontId="14" fillId="4" borderId="75" xfId="0" applyNumberFormat="1" applyFont="1" applyFill="1" applyBorder="1" applyAlignment="1">
      <alignment shrinkToFit="1"/>
    </xf>
    <xf numFmtId="0" fontId="14" fillId="4" borderId="73" xfId="0" applyFont="1" applyFill="1" applyBorder="1"/>
    <xf numFmtId="167" fontId="35" fillId="6" borderId="15" xfId="1" applyFont="1" applyFill="1" applyBorder="1"/>
    <xf numFmtId="167" fontId="35" fillId="6" borderId="94" xfId="1" applyFont="1" applyFill="1" applyBorder="1"/>
    <xf numFmtId="14" fontId="35" fillId="6" borderId="94" xfId="0" applyNumberFormat="1" applyFont="1" applyFill="1" applyBorder="1"/>
    <xf numFmtId="170" fontId="35" fillId="6" borderId="94" xfId="3" applyNumberFormat="1" applyFont="1" applyFill="1" applyBorder="1"/>
    <xf numFmtId="167" fontId="35" fillId="6" borderId="94" xfId="1" quotePrefix="1" applyFont="1" applyFill="1" applyBorder="1" applyAlignment="1">
      <alignment shrinkToFit="1"/>
    </xf>
    <xf numFmtId="14" fontId="35" fillId="6" borderId="94" xfId="1" applyNumberFormat="1" applyFont="1" applyFill="1" applyBorder="1"/>
    <xf numFmtId="167" fontId="35" fillId="6" borderId="94" xfId="1" applyFont="1" applyFill="1" applyBorder="1" applyAlignment="1">
      <alignment shrinkToFit="1"/>
    </xf>
    <xf numFmtId="49" fontId="35" fillId="6" borderId="94" xfId="3" applyNumberFormat="1" applyFont="1" applyFill="1" applyBorder="1" applyAlignment="1">
      <alignment horizontal="right"/>
    </xf>
    <xf numFmtId="173" fontId="35" fillId="6" borderId="94" xfId="3" applyNumberFormat="1" applyFont="1" applyFill="1" applyBorder="1"/>
    <xf numFmtId="167" fontId="35" fillId="6" borderId="78" xfId="1" applyFont="1" applyFill="1" applyBorder="1"/>
    <xf numFmtId="167" fontId="35" fillId="6" borderId="94" xfId="1" applyFont="1" applyFill="1" applyBorder="1" applyAlignment="1">
      <alignment horizontal="center"/>
    </xf>
    <xf numFmtId="0" fontId="14" fillId="4" borderId="94" xfId="0" applyFont="1" applyFill="1" applyBorder="1"/>
    <xf numFmtId="14" fontId="14" fillId="4" borderId="94" xfId="0" applyNumberFormat="1" applyFont="1" applyFill="1" applyBorder="1"/>
    <xf numFmtId="167" fontId="14" fillId="4" borderId="94" xfId="1" applyFont="1" applyFill="1" applyBorder="1"/>
    <xf numFmtId="0" fontId="14" fillId="4" borderId="94" xfId="0" applyFont="1" applyFill="1" applyBorder="1" applyAlignment="1">
      <alignment shrinkToFit="1"/>
    </xf>
    <xf numFmtId="0" fontId="14" fillId="4" borderId="94" xfId="0" quotePrefix="1" applyFont="1" applyFill="1" applyBorder="1" applyAlignment="1">
      <alignment shrinkToFit="1"/>
    </xf>
    <xf numFmtId="14" fontId="14" fillId="4" borderId="94" xfId="0" applyNumberFormat="1" applyFont="1" applyFill="1" applyBorder="1" applyAlignment="1">
      <alignment shrinkToFit="1"/>
    </xf>
    <xf numFmtId="0" fontId="14" fillId="4" borderId="78" xfId="0" applyFont="1" applyFill="1" applyBorder="1"/>
    <xf numFmtId="14" fontId="14" fillId="4" borderId="0" xfId="3" applyNumberFormat="1" applyFont="1" applyFill="1" applyBorder="1"/>
    <xf numFmtId="177" fontId="14" fillId="4" borderId="0" xfId="3" applyNumberFormat="1" applyFont="1" applyFill="1" applyBorder="1"/>
    <xf numFmtId="0" fontId="26" fillId="4" borderId="0" xfId="0" applyFont="1" applyFill="1" applyAlignment="1">
      <alignment horizontal="center"/>
    </xf>
    <xf numFmtId="1" fontId="14" fillId="4" borderId="0" xfId="3" applyNumberFormat="1" applyFont="1" applyFill="1" applyBorder="1"/>
    <xf numFmtId="1" fontId="14" fillId="4" borderId="0" xfId="0" applyNumberFormat="1" applyFont="1" applyFill="1"/>
    <xf numFmtId="167" fontId="14" fillId="6" borderId="41" xfId="1" applyFont="1" applyFill="1" applyBorder="1" applyAlignment="1"/>
    <xf numFmtId="167" fontId="14" fillId="6" borderId="41" xfId="1" applyFont="1" applyFill="1" applyBorder="1" applyAlignment="1">
      <alignment shrinkToFit="1"/>
    </xf>
    <xf numFmtId="1" fontId="14" fillId="6" borderId="18" xfId="1" applyNumberFormat="1" applyFont="1" applyFill="1" applyBorder="1" applyAlignment="1"/>
    <xf numFmtId="167" fontId="14" fillId="6" borderId="54" xfId="1" applyFont="1" applyFill="1" applyBorder="1" applyAlignment="1"/>
    <xf numFmtId="167" fontId="14" fillId="6" borderId="120" xfId="1" applyFont="1" applyFill="1" applyBorder="1" applyAlignment="1"/>
    <xf numFmtId="14" fontId="14" fillId="6" borderId="41" xfId="3" applyNumberFormat="1" applyFont="1" applyFill="1" applyBorder="1"/>
    <xf numFmtId="177" fontId="14" fillId="6" borderId="41" xfId="3" applyNumberFormat="1" applyFont="1" applyFill="1" applyBorder="1"/>
    <xf numFmtId="167" fontId="14" fillId="6" borderId="41" xfId="1" applyFont="1" applyFill="1" applyBorder="1" applyAlignment="1">
      <alignment horizontal="right"/>
    </xf>
    <xf numFmtId="167" fontId="26" fillId="6" borderId="41" xfId="1" applyFont="1" applyFill="1" applyBorder="1" applyAlignment="1">
      <alignment horizontal="center"/>
    </xf>
    <xf numFmtId="1" fontId="14" fillId="6" borderId="41" xfId="3" applyNumberFormat="1" applyFont="1" applyFill="1" applyBorder="1" applyAlignment="1"/>
    <xf numFmtId="167" fontId="14" fillId="6" borderId="94" xfId="1" applyFont="1" applyFill="1" applyBorder="1" applyAlignment="1"/>
    <xf numFmtId="167" fontId="14" fillId="4" borderId="94" xfId="1" applyFont="1" applyFill="1" applyBorder="1" applyAlignment="1">
      <alignment horizontal="right"/>
    </xf>
    <xf numFmtId="0" fontId="36" fillId="4" borderId="0" xfId="0" applyFont="1" applyFill="1" applyAlignment="1">
      <alignment horizontal="center" vertical="center"/>
    </xf>
    <xf numFmtId="165" fontId="14" fillId="4" borderId="73" xfId="1" applyNumberFormat="1" applyFont="1" applyFill="1" applyBorder="1" applyAlignment="1">
      <alignment horizontal="center"/>
    </xf>
    <xf numFmtId="167" fontId="36" fillId="4" borderId="75" xfId="1" applyFont="1" applyFill="1" applyBorder="1" applyAlignment="1">
      <alignment horizontal="center" vertical="center"/>
    </xf>
    <xf numFmtId="167" fontId="14" fillId="4" borderId="120" xfId="1" applyFont="1" applyFill="1" applyBorder="1" applyAlignment="1">
      <alignment horizontal="center"/>
    </xf>
    <xf numFmtId="14" fontId="14" fillId="4" borderId="41" xfId="3" applyNumberFormat="1" applyFont="1" applyFill="1" applyBorder="1" applyAlignment="1">
      <alignment horizontal="right"/>
    </xf>
    <xf numFmtId="167" fontId="14" fillId="4" borderId="107" xfId="1" applyFont="1" applyFill="1" applyBorder="1" applyAlignment="1">
      <alignment horizontal="center"/>
    </xf>
    <xf numFmtId="167" fontId="14" fillId="4" borderId="78" xfId="1" applyFont="1" applyFill="1" applyBorder="1" applyAlignment="1">
      <alignment horizontal="center"/>
    </xf>
    <xf numFmtId="170" fontId="14" fillId="4" borderId="97" xfId="3" applyNumberFormat="1" applyFont="1" applyFill="1" applyBorder="1" applyAlignment="1">
      <alignment horizontal="center"/>
    </xf>
    <xf numFmtId="49" fontId="14" fillId="6" borderId="78" xfId="1" applyNumberFormat="1" applyFont="1" applyFill="1" applyBorder="1" applyAlignment="1">
      <alignment horizontal="center" shrinkToFit="1"/>
    </xf>
    <xf numFmtId="14" fontId="14" fillId="6" borderId="78" xfId="1" applyNumberFormat="1" applyFont="1" applyFill="1" applyBorder="1" applyAlignment="1">
      <alignment horizontal="center"/>
    </xf>
    <xf numFmtId="3" fontId="14" fillId="6" borderId="18" xfId="1" applyNumberFormat="1" applyFont="1" applyFill="1" applyBorder="1" applyAlignment="1">
      <alignment horizontal="center"/>
    </xf>
    <xf numFmtId="170" fontId="14" fillId="6" borderId="78" xfId="3" applyNumberFormat="1" applyFont="1" applyFill="1" applyBorder="1" applyAlignment="1">
      <alignment horizontal="center"/>
    </xf>
    <xf numFmtId="170" fontId="14" fillId="6" borderId="97" xfId="3" applyNumberFormat="1" applyFont="1" applyFill="1" applyBorder="1" applyAlignment="1">
      <alignment horizontal="center"/>
    </xf>
    <xf numFmtId="170" fontId="14" fillId="6" borderId="128" xfId="3" applyNumberFormat="1" applyFont="1" applyFill="1" applyBorder="1" applyAlignment="1">
      <alignment horizontal="center"/>
    </xf>
    <xf numFmtId="0" fontId="0" fillId="0" borderId="94" xfId="0" applyBorder="1" applyAlignment="1">
      <alignment horizontal="center"/>
    </xf>
    <xf numFmtId="0" fontId="0" fillId="0" borderId="78" xfId="0" applyBorder="1" applyAlignment="1">
      <alignment horizontal="center"/>
    </xf>
    <xf numFmtId="0" fontId="0" fillId="0" borderId="97" xfId="0" applyBorder="1" applyAlignment="1">
      <alignment horizontal="center"/>
    </xf>
    <xf numFmtId="0" fontId="0" fillId="0" borderId="113" xfId="0" applyBorder="1" applyAlignment="1">
      <alignment horizontal="center"/>
    </xf>
    <xf numFmtId="0" fontId="0" fillId="0" borderId="15" xfId="0" applyBorder="1" applyAlignment="1">
      <alignment horizontal="center"/>
    </xf>
    <xf numFmtId="167" fontId="14" fillId="4" borderId="15" xfId="1" applyFont="1" applyFill="1" applyBorder="1" applyAlignment="1">
      <alignment horizontal="center"/>
    </xf>
    <xf numFmtId="165" fontId="14" fillId="4" borderId="78" xfId="1" applyNumberFormat="1" applyFont="1" applyFill="1" applyBorder="1" applyAlignment="1">
      <alignment horizontal="center"/>
    </xf>
    <xf numFmtId="167" fontId="36" fillId="4" borderId="94" xfId="1" applyFont="1" applyFill="1" applyBorder="1" applyAlignment="1">
      <alignment horizontal="center" vertical="center"/>
    </xf>
    <xf numFmtId="49" fontId="14" fillId="4" borderId="94" xfId="1" applyNumberFormat="1" applyFont="1" applyFill="1" applyBorder="1" applyAlignment="1">
      <alignment horizontal="center" shrinkToFit="1"/>
    </xf>
    <xf numFmtId="49" fontId="14" fillId="4" borderId="0" xfId="1" applyNumberFormat="1" applyFont="1" applyFill="1" applyBorder="1" applyAlignment="1">
      <alignment shrinkToFit="1"/>
    </xf>
    <xf numFmtId="14" fontId="14" fillId="4" borderId="0" xfId="1" applyNumberFormat="1" applyFont="1" applyFill="1" applyBorder="1" applyAlignment="1">
      <alignment horizontal="center"/>
    </xf>
    <xf numFmtId="167" fontId="14" fillId="4" borderId="94" xfId="1" applyFont="1" applyFill="1" applyBorder="1" applyAlignment="1">
      <alignment shrinkToFit="1"/>
    </xf>
    <xf numFmtId="3" fontId="14" fillId="4" borderId="18" xfId="1" applyNumberFormat="1" applyFont="1" applyFill="1" applyBorder="1" applyAlignment="1">
      <alignment horizontal="center"/>
    </xf>
    <xf numFmtId="167" fontId="14" fillId="4" borderId="97" xfId="1" quotePrefix="1" applyFont="1" applyFill="1" applyBorder="1" applyAlignment="1">
      <alignment horizontal="center"/>
    </xf>
    <xf numFmtId="170" fontId="14" fillId="4" borderId="94" xfId="1" applyNumberFormat="1" applyFont="1" applyFill="1" applyBorder="1" applyAlignment="1">
      <alignment horizontal="center"/>
    </xf>
    <xf numFmtId="0" fontId="44" fillId="7" borderId="0" xfId="0" applyFont="1" applyFill="1" applyAlignment="1">
      <alignment horizontal="center" vertical="center"/>
    </xf>
    <xf numFmtId="175" fontId="49" fillId="7" borderId="0" xfId="0" applyNumberFormat="1" applyFont="1" applyFill="1" applyAlignment="1">
      <alignment horizontal="center" vertical="center"/>
    </xf>
    <xf numFmtId="14" fontId="45" fillId="7" borderId="0" xfId="0" applyNumberFormat="1" applyFont="1" applyFill="1" applyAlignment="1">
      <alignment vertical="top"/>
    </xf>
    <xf numFmtId="0" fontId="45" fillId="7" borderId="0" xfId="0" applyFont="1" applyFill="1" applyAlignment="1">
      <alignment vertical="top"/>
    </xf>
    <xf numFmtId="0" fontId="45" fillId="7" borderId="0" xfId="0" applyFont="1" applyFill="1" applyAlignment="1">
      <alignment vertical="top" wrapText="1"/>
    </xf>
    <xf numFmtId="176" fontId="45" fillId="7" borderId="75" xfId="0" applyNumberFormat="1" applyFont="1" applyFill="1" applyBorder="1" applyAlignment="1">
      <alignment vertical="top"/>
    </xf>
    <xf numFmtId="0" fontId="45" fillId="7" borderId="75" xfId="0" applyFont="1" applyFill="1" applyBorder="1" applyAlignment="1">
      <alignment vertical="top"/>
    </xf>
    <xf numFmtId="0" fontId="45" fillId="7" borderId="75" xfId="0" quotePrefix="1" applyFont="1" applyFill="1" applyBorder="1" applyAlignment="1">
      <alignment vertical="top" wrapText="1"/>
    </xf>
    <xf numFmtId="0" fontId="45" fillId="7" borderId="73" xfId="0" applyFont="1" applyFill="1" applyBorder="1" applyAlignment="1">
      <alignment vertical="center"/>
    </xf>
    <xf numFmtId="0" fontId="48" fillId="7" borderId="75" xfId="0" applyFont="1" applyFill="1" applyBorder="1" applyAlignment="1">
      <alignment horizontal="center" vertical="center"/>
    </xf>
    <xf numFmtId="0" fontId="45" fillId="7" borderId="94" xfId="0" applyFont="1" applyFill="1" applyBorder="1" applyAlignment="1">
      <alignment vertical="center"/>
    </xf>
    <xf numFmtId="0" fontId="47" fillId="7" borderId="0" xfId="0" applyFont="1" applyFill="1" applyAlignment="1">
      <alignment horizontal="center" vertical="center"/>
    </xf>
    <xf numFmtId="0" fontId="46" fillId="7" borderId="0" xfId="0" applyFont="1" applyFill="1"/>
    <xf numFmtId="176" fontId="45" fillId="7" borderId="94" xfId="0" applyNumberFormat="1" applyFont="1" applyFill="1" applyBorder="1" applyAlignment="1">
      <alignment vertical="top"/>
    </xf>
    <xf numFmtId="0" fontId="45" fillId="7" borderId="94" xfId="0" applyFont="1" applyFill="1" applyBorder="1" applyAlignment="1">
      <alignment vertical="top"/>
    </xf>
    <xf numFmtId="0" fontId="45" fillId="7" borderId="94" xfId="0" quotePrefix="1" applyFont="1" applyFill="1" applyBorder="1" applyAlignment="1">
      <alignment vertical="top" wrapText="1"/>
    </xf>
    <xf numFmtId="0" fontId="45" fillId="7" borderId="78" xfId="0" applyFont="1" applyFill="1" applyBorder="1" applyAlignment="1">
      <alignment vertical="center"/>
    </xf>
    <xf numFmtId="0" fontId="48" fillId="7" borderId="94" xfId="0" applyFont="1" applyFill="1" applyBorder="1" applyAlignment="1">
      <alignment horizontal="center" vertical="center"/>
    </xf>
    <xf numFmtId="171" fontId="37" fillId="4" borderId="0" xfId="1" applyNumberFormat="1" applyFont="1" applyFill="1" applyBorder="1"/>
    <xf numFmtId="49" fontId="14" fillId="4" borderId="0" xfId="0" quotePrefix="1" applyNumberFormat="1" applyFont="1" applyFill="1" applyAlignment="1">
      <alignment horizontal="right" shrinkToFit="1"/>
    </xf>
    <xf numFmtId="49" fontId="14" fillId="4" borderId="97" xfId="0" quotePrefix="1" applyNumberFormat="1" applyFont="1" applyFill="1" applyBorder="1" applyAlignment="1">
      <alignment horizontal="right" shrinkToFit="1"/>
    </xf>
    <xf numFmtId="9" fontId="14" fillId="4" borderId="0" xfId="0" quotePrefix="1" applyNumberFormat="1" applyFont="1" applyFill="1" applyAlignment="1">
      <alignment shrinkToFit="1"/>
    </xf>
    <xf numFmtId="49" fontId="14" fillId="4" borderId="78" xfId="0" quotePrefix="1" applyNumberFormat="1" applyFont="1" applyFill="1" applyBorder="1"/>
    <xf numFmtId="0" fontId="58" fillId="4" borderId="0" xfId="0" applyFont="1" applyFill="1"/>
    <xf numFmtId="49" fontId="14" fillId="4" borderId="0" xfId="0" applyNumberFormat="1" applyFont="1" applyFill="1" applyAlignment="1">
      <alignment horizontal="right" shrinkToFit="1"/>
    </xf>
    <xf numFmtId="0" fontId="38" fillId="4" borderId="0" xfId="0" applyFont="1" applyFill="1"/>
    <xf numFmtId="0" fontId="22" fillId="4" borderId="32" xfId="0" applyFont="1" applyFill="1" applyBorder="1"/>
    <xf numFmtId="0" fontId="23" fillId="4" borderId="32" xfId="0" applyFont="1" applyFill="1" applyBorder="1"/>
    <xf numFmtId="0" fontId="22" fillId="4" borderId="41" xfId="0" applyFont="1" applyFill="1" applyBorder="1"/>
    <xf numFmtId="0" fontId="23" fillId="4" borderId="41" xfId="0" applyFont="1" applyFill="1" applyBorder="1"/>
    <xf numFmtId="0" fontId="39" fillId="4" borderId="0" xfId="0" applyFont="1" applyFill="1"/>
    <xf numFmtId="0" fontId="37" fillId="4" borderId="41" xfId="4" applyFont="1" applyFill="1" applyBorder="1" applyAlignment="1"/>
    <xf numFmtId="0" fontId="12" fillId="4" borderId="41" xfId="4" applyFill="1" applyBorder="1" applyAlignment="1"/>
    <xf numFmtId="0" fontId="23" fillId="4" borderId="94" xfId="0" applyFont="1" applyFill="1" applyBorder="1"/>
    <xf numFmtId="14" fontId="14" fillId="4" borderId="54" xfId="0" applyNumberFormat="1" applyFont="1" applyFill="1" applyBorder="1" applyAlignment="1">
      <alignment horizontal="center"/>
    </xf>
    <xf numFmtId="171" fontId="14" fillId="4" borderId="0" xfId="0" applyNumberFormat="1" applyFont="1" applyFill="1"/>
    <xf numFmtId="171" fontId="0" fillId="0" borderId="0" xfId="0" applyNumberFormat="1"/>
    <xf numFmtId="165" fontId="14" fillId="4" borderId="0" xfId="0" applyNumberFormat="1" applyFont="1" applyFill="1"/>
    <xf numFmtId="183" fontId="40" fillId="0" borderId="0" xfId="0" applyNumberFormat="1" applyFont="1"/>
    <xf numFmtId="10" fontId="1" fillId="0" borderId="0" xfId="2" applyNumberFormat="1" applyFont="1" applyBorder="1"/>
    <xf numFmtId="173" fontId="1" fillId="0" borderId="0" xfId="3" applyNumberFormat="1" applyFont="1" applyBorder="1"/>
    <xf numFmtId="179" fontId="1" fillId="0" borderId="0" xfId="2" applyNumberFormat="1" applyFont="1" applyBorder="1"/>
    <xf numFmtId="180" fontId="1" fillId="0" borderId="0" xfId="3" applyNumberFormat="1" applyFont="1" applyBorder="1"/>
    <xf numFmtId="183" fontId="0" fillId="0" borderId="79" xfId="0" applyNumberFormat="1" applyBorder="1" applyAlignment="1">
      <alignment horizontal="center"/>
    </xf>
    <xf numFmtId="10" fontId="0" fillId="0" borderId="14" xfId="2" applyNumberFormat="1" applyFont="1" applyBorder="1" applyAlignment="1">
      <alignment horizontal="center"/>
    </xf>
    <xf numFmtId="173" fontId="0" fillId="0" borderId="75" xfId="3" applyNumberFormat="1" applyFont="1" applyBorder="1" applyAlignment="1">
      <alignment horizontal="center"/>
    </xf>
    <xf numFmtId="179" fontId="0" fillId="0" borderId="75" xfId="2" applyNumberFormat="1" applyFont="1" applyBorder="1" applyAlignment="1">
      <alignment horizontal="center"/>
    </xf>
    <xf numFmtId="10" fontId="0" fillId="0" borderId="75" xfId="2" quotePrefix="1" applyNumberFormat="1" applyFont="1" applyBorder="1" applyAlignment="1">
      <alignment horizontal="center"/>
    </xf>
    <xf numFmtId="173" fontId="0" fillId="0" borderId="73" xfId="3" applyNumberFormat="1" applyFont="1" applyBorder="1" applyAlignment="1">
      <alignment horizontal="center"/>
    </xf>
    <xf numFmtId="183" fontId="0" fillId="0" borderId="15" xfId="0" applyNumberFormat="1" applyBorder="1" applyAlignment="1">
      <alignment horizontal="center"/>
    </xf>
    <xf numFmtId="10" fontId="1" fillId="0" borderId="15" xfId="2" applyNumberFormat="1" applyFont="1" applyBorder="1" applyAlignment="1">
      <alignment horizontal="center"/>
    </xf>
    <xf numFmtId="173" fontId="1" fillId="0" borderId="94" xfId="3" applyNumberFormat="1" applyFont="1" applyBorder="1" applyAlignment="1">
      <alignment horizontal="center"/>
    </xf>
    <xf numFmtId="179" fontId="1" fillId="0" borderId="94" xfId="2" applyNumberFormat="1" applyFont="1" applyBorder="1" applyAlignment="1">
      <alignment horizontal="center"/>
    </xf>
    <xf numFmtId="10" fontId="1" fillId="0" borderId="94" xfId="2" quotePrefix="1" applyNumberFormat="1" applyFont="1" applyBorder="1" applyAlignment="1">
      <alignment horizontal="center"/>
    </xf>
    <xf numFmtId="180" fontId="1" fillId="0" borderId="78" xfId="3" applyNumberFormat="1" applyFont="1" applyBorder="1" applyAlignment="1">
      <alignment horizontal="center"/>
    </xf>
    <xf numFmtId="9" fontId="1" fillId="0" borderId="15" xfId="2" applyFont="1" applyBorder="1" applyAlignment="1">
      <alignment horizontal="center"/>
    </xf>
    <xf numFmtId="9" fontId="1" fillId="0" borderId="94" xfId="2" applyFont="1" applyBorder="1" applyAlignment="1">
      <alignment horizontal="center"/>
    </xf>
    <xf numFmtId="9" fontId="1" fillId="0" borderId="94" xfId="2" quotePrefix="1" applyFont="1" applyBorder="1" applyAlignment="1">
      <alignment horizontal="center"/>
    </xf>
    <xf numFmtId="183" fontId="0" fillId="0" borderId="0" xfId="0" applyNumberFormat="1" applyAlignment="1">
      <alignment horizontal="center"/>
    </xf>
    <xf numFmtId="10" fontId="0" fillId="0" borderId="15" xfId="2" applyNumberFormat="1" applyFont="1" applyBorder="1" applyAlignment="1">
      <alignment horizontal="center"/>
    </xf>
    <xf numFmtId="173" fontId="0" fillId="0" borderId="94" xfId="3" applyNumberFormat="1" applyFont="1" applyBorder="1" applyAlignment="1">
      <alignment horizontal="center"/>
    </xf>
    <xf numFmtId="179" fontId="0" fillId="0" borderId="94" xfId="2" applyNumberFormat="1" applyFont="1" applyBorder="1" applyAlignment="1">
      <alignment horizontal="center"/>
    </xf>
    <xf numFmtId="10" fontId="0" fillId="0" borderId="94" xfId="2" quotePrefix="1" applyNumberFormat="1" applyFont="1" applyBorder="1" applyAlignment="1">
      <alignment horizontal="center"/>
    </xf>
    <xf numFmtId="173" fontId="0" fillId="0" borderId="78" xfId="3" applyNumberFormat="1" applyFont="1" applyBorder="1" applyAlignment="1">
      <alignment horizontal="center"/>
    </xf>
    <xf numFmtId="167" fontId="2" fillId="3" borderId="129" xfId="1" applyFont="1" applyFill="1" applyBorder="1"/>
    <xf numFmtId="171" fontId="29" fillId="4" borderId="128" xfId="1" applyNumberFormat="1" applyFont="1" applyFill="1" applyBorder="1" applyAlignment="1">
      <alignment horizontal="right"/>
    </xf>
    <xf numFmtId="167" fontId="19" fillId="4" borderId="128" xfId="1" applyFont="1" applyFill="1" applyBorder="1" applyAlignment="1">
      <alignment horizontal="right" vertical="top" wrapText="1"/>
    </xf>
    <xf numFmtId="171" fontId="27" fillId="4" borderId="128" xfId="1" applyNumberFormat="1" applyFont="1" applyFill="1" applyBorder="1" applyAlignment="1">
      <alignment horizontal="right"/>
    </xf>
    <xf numFmtId="9" fontId="28" fillId="4" borderId="128" xfId="2" applyFont="1" applyFill="1" applyBorder="1" applyAlignment="1">
      <alignment horizontal="right"/>
    </xf>
    <xf numFmtId="0" fontId="59" fillId="4" borderId="120" xfId="0" applyFont="1" applyFill="1" applyBorder="1" applyAlignment="1">
      <alignment horizontal="left"/>
    </xf>
    <xf numFmtId="0" fontId="0" fillId="3" borderId="12" xfId="0" applyFill="1" applyBorder="1"/>
    <xf numFmtId="9" fontId="0" fillId="3" borderId="12" xfId="2" applyFont="1" applyFill="1" applyBorder="1"/>
    <xf numFmtId="167" fontId="2" fillId="3" borderId="134" xfId="1" applyFont="1" applyFill="1" applyBorder="1" applyAlignment="1">
      <alignment horizontal="center"/>
    </xf>
    <xf numFmtId="173" fontId="2" fillId="3" borderId="92" xfId="3" applyNumberFormat="1" applyFont="1" applyFill="1" applyBorder="1" applyAlignment="1">
      <alignment horizontal="center"/>
    </xf>
    <xf numFmtId="167" fontId="2" fillId="3" borderId="135" xfId="1" applyFont="1" applyFill="1" applyBorder="1" applyAlignment="1">
      <alignment horizontal="center"/>
    </xf>
    <xf numFmtId="167" fontId="2" fillId="3" borderId="77" xfId="1" applyFont="1" applyFill="1" applyBorder="1" applyAlignment="1">
      <alignment horizontal="center"/>
    </xf>
    <xf numFmtId="9" fontId="2" fillId="3" borderId="109" xfId="2" applyFont="1" applyFill="1" applyBorder="1" applyAlignment="1">
      <alignment horizontal="center"/>
    </xf>
    <xf numFmtId="167" fontId="2" fillId="3" borderId="83" xfId="1" applyFont="1" applyFill="1" applyBorder="1" applyAlignment="1">
      <alignment horizontal="center"/>
    </xf>
    <xf numFmtId="0" fontId="0" fillId="0" borderId="75" xfId="0" applyBorder="1" applyAlignment="1">
      <alignment horizontal="right"/>
    </xf>
    <xf numFmtId="0" fontId="24" fillId="6" borderId="71" xfId="0" applyFont="1" applyFill="1" applyBorder="1" applyAlignment="1">
      <alignment shrinkToFit="1"/>
    </xf>
    <xf numFmtId="0" fontId="24" fillId="6" borderId="73" xfId="0" applyFont="1" applyFill="1" applyBorder="1" applyAlignment="1">
      <alignment shrinkToFit="1"/>
    </xf>
    <xf numFmtId="168" fontId="24" fillId="6" borderId="96" xfId="1" applyNumberFormat="1" applyFont="1" applyFill="1" applyBorder="1" applyAlignment="1">
      <alignment horizontal="center" shrinkToFit="1"/>
    </xf>
    <xf numFmtId="0" fontId="24" fillId="4" borderId="125" xfId="0" applyFont="1" applyFill="1" applyBorder="1" applyAlignment="1">
      <alignment horizontal="center" shrinkToFit="1"/>
    </xf>
    <xf numFmtId="168" fontId="24" fillId="6" borderId="79" xfId="1" applyNumberFormat="1" applyFont="1" applyFill="1" applyBorder="1" applyAlignment="1">
      <alignment horizontal="center" shrinkToFit="1"/>
    </xf>
    <xf numFmtId="168" fontId="24" fillId="6" borderId="124" xfId="1" applyNumberFormat="1" applyFont="1" applyFill="1" applyBorder="1" applyAlignment="1">
      <alignment horizontal="center" shrinkToFit="1"/>
    </xf>
    <xf numFmtId="168" fontId="24" fillId="6" borderId="125" xfId="1" applyNumberFormat="1" applyFont="1" applyFill="1" applyBorder="1" applyAlignment="1">
      <alignment horizontal="center" shrinkToFit="1"/>
    </xf>
    <xf numFmtId="168" fontId="22" fillId="6" borderId="79" xfId="1" applyNumberFormat="1" applyFont="1" applyFill="1" applyBorder="1" applyAlignment="1">
      <alignment horizontal="center" shrinkToFit="1"/>
    </xf>
    <xf numFmtId="168" fontId="22" fillId="6" borderId="96" xfId="1" applyNumberFormat="1" applyFont="1" applyFill="1" applyBorder="1" applyAlignment="1">
      <alignment horizontal="center" shrinkToFit="1"/>
    </xf>
    <xf numFmtId="168" fontId="24" fillId="6" borderId="106" xfId="1" applyNumberFormat="1" applyFont="1" applyFill="1" applyBorder="1" applyAlignment="1">
      <alignment horizontal="center" shrinkToFit="1"/>
    </xf>
    <xf numFmtId="168" fontId="24" fillId="6" borderId="105" xfId="1" applyNumberFormat="1" applyFont="1" applyFill="1" applyBorder="1" applyAlignment="1">
      <alignment horizontal="center" shrinkToFit="1"/>
    </xf>
    <xf numFmtId="0" fontId="22" fillId="4" borderId="110" xfId="0" applyFont="1" applyFill="1" applyBorder="1" applyAlignment="1">
      <alignment horizontal="center" shrinkToFit="1"/>
    </xf>
    <xf numFmtId="0" fontId="24" fillId="4" borderId="78" xfId="0" applyFont="1" applyFill="1" applyBorder="1" applyAlignment="1">
      <alignment shrinkToFit="1"/>
    </xf>
    <xf numFmtId="0" fontId="59" fillId="4" borderId="74" xfId="0" applyFont="1" applyFill="1" applyBorder="1" applyAlignment="1">
      <alignment horizontal="left"/>
    </xf>
    <xf numFmtId="0" fontId="23" fillId="4" borderId="77" xfId="0" applyFont="1" applyFill="1" applyBorder="1" applyAlignment="1">
      <alignment horizontal="center"/>
    </xf>
    <xf numFmtId="0" fontId="23" fillId="4" borderId="102" xfId="0" applyFont="1" applyFill="1" applyBorder="1" applyAlignment="1">
      <alignment horizontal="center"/>
    </xf>
    <xf numFmtId="0" fontId="23" fillId="4" borderId="13" xfId="0" applyFont="1" applyFill="1" applyBorder="1" applyAlignment="1">
      <alignment horizontal="right"/>
    </xf>
    <xf numFmtId="0" fontId="27" fillId="4" borderId="140" xfId="0" applyFont="1" applyFill="1" applyBorder="1"/>
    <xf numFmtId="171" fontId="27" fillId="4" borderId="141" xfId="1" applyNumberFormat="1" applyFont="1" applyFill="1" applyBorder="1"/>
    <xf numFmtId="171" fontId="27" fillId="4" borderId="142" xfId="1" applyNumberFormat="1" applyFont="1" applyFill="1" applyBorder="1" applyAlignment="1">
      <alignment horizontal="right"/>
    </xf>
    <xf numFmtId="9" fontId="19" fillId="4" borderId="143" xfId="2" applyFont="1" applyFill="1" applyBorder="1"/>
    <xf numFmtId="9" fontId="28" fillId="4" borderId="104" xfId="2" applyFont="1" applyFill="1" applyBorder="1"/>
    <xf numFmtId="9" fontId="28" fillId="4" borderId="105" xfId="2" applyFont="1" applyFill="1" applyBorder="1"/>
    <xf numFmtId="9" fontId="28" fillId="4" borderId="96" xfId="2" applyFont="1" applyFill="1" applyBorder="1"/>
    <xf numFmtId="9" fontId="28" fillId="4" borderId="106" xfId="2" applyFont="1" applyFill="1" applyBorder="1"/>
    <xf numFmtId="9" fontId="28" fillId="4" borderId="144" xfId="2" applyFont="1" applyFill="1" applyBorder="1" applyAlignment="1">
      <alignment horizontal="right"/>
    </xf>
    <xf numFmtId="171" fontId="59" fillId="5" borderId="74" xfId="0" quotePrefix="1" applyNumberFormat="1" applyFont="1" applyFill="1" applyBorder="1" applyAlignment="1">
      <alignment shrinkToFit="1"/>
    </xf>
    <xf numFmtId="171" fontId="24" fillId="5" borderId="74" xfId="0" quotePrefix="1" applyNumberFormat="1" applyFont="1" applyFill="1" applyBorder="1" applyAlignment="1">
      <alignment shrinkToFit="1"/>
    </xf>
    <xf numFmtId="171" fontId="24" fillId="5" borderId="74" xfId="1" applyNumberFormat="1" applyFont="1" applyFill="1" applyBorder="1" applyAlignment="1">
      <alignment shrinkToFit="1"/>
    </xf>
    <xf numFmtId="171" fontId="24" fillId="5" borderId="77" xfId="1" applyNumberFormat="1" applyFont="1" applyFill="1" applyBorder="1" applyAlignment="1">
      <alignment shrinkToFit="1"/>
    </xf>
    <xf numFmtId="171" fontId="24" fillId="5" borderId="95" xfId="1" applyNumberFormat="1" applyFont="1" applyFill="1" applyBorder="1" applyAlignment="1">
      <alignment shrinkToFit="1"/>
    </xf>
    <xf numFmtId="171" fontId="22" fillId="5" borderId="77" xfId="1" applyNumberFormat="1" applyFont="1" applyFill="1" applyBorder="1" applyAlignment="1">
      <alignment shrinkToFit="1"/>
    </xf>
    <xf numFmtId="171" fontId="22" fillId="5" borderId="95" xfId="1" applyNumberFormat="1" applyFont="1" applyFill="1" applyBorder="1" applyAlignment="1">
      <alignment shrinkToFit="1"/>
    </xf>
    <xf numFmtId="171" fontId="22" fillId="4" borderId="109" xfId="0" applyNumberFormat="1" applyFont="1" applyFill="1" applyBorder="1" applyAlignment="1">
      <alignment shrinkToFit="1"/>
    </xf>
    <xf numFmtId="14" fontId="22" fillId="5" borderId="56" xfId="0" applyNumberFormat="1" applyFont="1" applyFill="1" applyBorder="1" applyAlignment="1">
      <alignment shrinkToFit="1"/>
    </xf>
    <xf numFmtId="171" fontId="22" fillId="5" borderId="105" xfId="1" applyNumberFormat="1" applyFont="1" applyFill="1" applyBorder="1" applyAlignment="1">
      <alignment shrinkToFit="1"/>
    </xf>
    <xf numFmtId="14" fontId="22" fillId="5" borderId="12" xfId="0" quotePrefix="1" applyNumberFormat="1" applyFont="1" applyFill="1" applyBorder="1" applyAlignment="1">
      <alignment shrinkToFit="1"/>
    </xf>
    <xf numFmtId="0" fontId="22" fillId="4" borderId="12" xfId="0" applyFont="1" applyFill="1" applyBorder="1" applyAlignment="1">
      <alignment shrinkToFit="1"/>
    </xf>
    <xf numFmtId="14" fontId="22" fillId="4" borderId="12" xfId="0" quotePrefix="1" applyNumberFormat="1" applyFont="1" applyFill="1" applyBorder="1" applyAlignment="1">
      <alignment shrinkToFit="1"/>
    </xf>
    <xf numFmtId="171" fontId="24" fillId="4" borderId="12" xfId="1" applyNumberFormat="1" applyFont="1" applyFill="1" applyBorder="1" applyAlignment="1">
      <alignment shrinkToFit="1"/>
    </xf>
    <xf numFmtId="49" fontId="14" fillId="6" borderId="0" xfId="1" applyNumberFormat="1" applyFont="1" applyFill="1" applyBorder="1" applyAlignment="1">
      <alignment horizontal="center" shrinkToFit="1"/>
    </xf>
    <xf numFmtId="14" fontId="14" fillId="6" borderId="0" xfId="1" applyNumberFormat="1" applyFont="1" applyFill="1" applyBorder="1" applyAlignment="1">
      <alignment horizontal="center"/>
    </xf>
    <xf numFmtId="170" fontId="14" fillId="6" borderId="0" xfId="3" applyNumberFormat="1" applyFont="1" applyFill="1" applyBorder="1" applyAlignment="1">
      <alignment horizontal="center"/>
    </xf>
    <xf numFmtId="49" fontId="14" fillId="6" borderId="94" xfId="1" applyNumberFormat="1" applyFont="1" applyFill="1" applyBorder="1" applyAlignment="1">
      <alignment horizontal="center" shrinkToFit="1"/>
    </xf>
    <xf numFmtId="167" fontId="14" fillId="6" borderId="94" xfId="1" applyFont="1" applyFill="1" applyBorder="1" applyAlignment="1">
      <alignment horizontal="center" wrapText="1" shrinkToFit="1"/>
    </xf>
    <xf numFmtId="170" fontId="14" fillId="6" borderId="94" xfId="1" applyNumberFormat="1" applyFont="1" applyFill="1" applyBorder="1" applyAlignment="1">
      <alignment horizontal="center"/>
    </xf>
    <xf numFmtId="167" fontId="14" fillId="6" borderId="94" xfId="1" applyFont="1" applyFill="1" applyBorder="1" applyAlignment="1">
      <alignment horizontal="center"/>
    </xf>
    <xf numFmtId="167" fontId="25" fillId="4" borderId="12" xfId="1" applyFont="1" applyFill="1" applyBorder="1" applyAlignment="1">
      <alignment horizontal="right" vertical="center"/>
    </xf>
    <xf numFmtId="167" fontId="3" fillId="3" borderId="12" xfId="1" applyFont="1" applyFill="1" applyBorder="1" applyAlignment="1">
      <alignment vertical="center" shrinkToFit="1"/>
    </xf>
    <xf numFmtId="0" fontId="35" fillId="4" borderId="21" xfId="0" applyFont="1" applyFill="1" applyBorder="1" applyAlignment="1">
      <alignment horizontal="center" vertical="center"/>
    </xf>
    <xf numFmtId="0" fontId="35" fillId="4" borderId="23" xfId="0" applyFont="1" applyFill="1" applyBorder="1" applyAlignment="1">
      <alignment horizontal="center" vertical="center"/>
    </xf>
    <xf numFmtId="0" fontId="41" fillId="3" borderId="0" xfId="0" applyFont="1" applyFill="1" applyAlignment="1">
      <alignment horizontal="center" vertical="center"/>
    </xf>
    <xf numFmtId="0" fontId="41" fillId="0" borderId="0" xfId="0" applyFont="1" applyAlignment="1">
      <alignment horizontal="center" vertical="center"/>
    </xf>
    <xf numFmtId="0" fontId="35" fillId="4" borderId="12" xfId="0" applyFont="1" applyFill="1" applyBorder="1" applyAlignment="1">
      <alignment horizontal="center" vertical="center"/>
    </xf>
    <xf numFmtId="0" fontId="0" fillId="0" borderId="12" xfId="0" applyBorder="1" applyAlignment="1">
      <alignment vertical="center"/>
    </xf>
    <xf numFmtId="0" fontId="52" fillId="0" borderId="0" xfId="0" applyFont="1" applyAlignment="1">
      <alignment horizontal="center" vertical="center"/>
    </xf>
    <xf numFmtId="0" fontId="52" fillId="0" borderId="78" xfId="0" applyFont="1" applyBorder="1" applyAlignment="1">
      <alignment horizontal="center" vertical="center"/>
    </xf>
    <xf numFmtId="0" fontId="2" fillId="3" borderId="81" xfId="0" applyFont="1" applyFill="1" applyBorder="1" applyAlignment="1">
      <alignment horizontal="center" vertical="center"/>
    </xf>
    <xf numFmtId="0" fontId="2" fillId="3" borderId="83" xfId="0" applyFont="1" applyFill="1" applyBorder="1" applyAlignment="1">
      <alignment horizontal="center"/>
    </xf>
    <xf numFmtId="0" fontId="2" fillId="3" borderId="4" xfId="0" applyFont="1" applyFill="1" applyBorder="1" applyAlignment="1">
      <alignment horizontal="center"/>
    </xf>
    <xf numFmtId="0" fontId="2" fillId="3" borderId="5" xfId="0" applyFont="1" applyFill="1" applyBorder="1" applyAlignment="1">
      <alignment horizontal="center"/>
    </xf>
    <xf numFmtId="0" fontId="2" fillId="3" borderId="6" xfId="0" applyFont="1" applyFill="1" applyBorder="1" applyAlignment="1">
      <alignment horizontal="center"/>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xf numFmtId="0" fontId="41" fillId="3" borderId="79" xfId="0" applyFont="1" applyFill="1" applyBorder="1" applyAlignment="1">
      <alignment horizontal="center" vertical="center" shrinkToFit="1"/>
    </xf>
    <xf numFmtId="0" fontId="41" fillId="3" borderId="0" xfId="0" applyFont="1" applyFill="1" applyAlignment="1">
      <alignment horizontal="center" vertical="center" shrinkToFit="1"/>
    </xf>
    <xf numFmtId="0" fontId="0" fillId="3" borderId="79" xfId="0" applyFill="1" applyBorder="1"/>
    <xf numFmtId="0" fontId="2" fillId="3" borderId="132" xfId="0" applyFont="1" applyFill="1" applyBorder="1" applyAlignment="1">
      <alignment horizontal="center"/>
    </xf>
    <xf numFmtId="0" fontId="2" fillId="3" borderId="100" xfId="0" applyFont="1" applyFill="1" applyBorder="1" applyAlignment="1">
      <alignment horizontal="center"/>
    </xf>
    <xf numFmtId="0" fontId="2" fillId="3" borderId="72" xfId="0" applyFont="1" applyFill="1" applyBorder="1"/>
    <xf numFmtId="0" fontId="2" fillId="3" borderId="71" xfId="0" applyFont="1" applyFill="1" applyBorder="1" applyAlignment="1">
      <alignment horizontal="center"/>
    </xf>
    <xf numFmtId="0" fontId="2" fillId="3" borderId="131" xfId="0" applyFont="1" applyFill="1" applyBorder="1" applyAlignment="1">
      <alignment horizontal="center"/>
    </xf>
    <xf numFmtId="0" fontId="2" fillId="3" borderId="130" xfId="0" applyFont="1" applyFill="1" applyBorder="1" applyAlignment="1">
      <alignment horizontal="center" vertical="center"/>
    </xf>
    <xf numFmtId="0" fontId="2" fillId="3" borderId="133" xfId="0" applyFont="1" applyFill="1" applyBorder="1" applyAlignment="1">
      <alignment horizontal="center"/>
    </xf>
    <xf numFmtId="0" fontId="26" fillId="4" borderId="140" xfId="0" applyFont="1" applyFill="1" applyBorder="1" applyAlignment="1">
      <alignment horizontal="left" vertical="center"/>
    </xf>
    <xf numFmtId="0" fontId="26" fillId="4" borderId="120" xfId="0" applyFont="1" applyFill="1" applyBorder="1" applyAlignment="1">
      <alignment horizontal="left" vertical="center"/>
    </xf>
    <xf numFmtId="0" fontId="26" fillId="4" borderId="143" xfId="0" applyFont="1" applyFill="1" applyBorder="1" applyAlignment="1">
      <alignment horizontal="left" vertical="center"/>
    </xf>
    <xf numFmtId="0" fontId="26" fillId="4" borderId="40" xfId="0" applyFont="1" applyFill="1" applyBorder="1" applyAlignment="1">
      <alignment horizontal="left" vertical="center"/>
    </xf>
    <xf numFmtId="0" fontId="26" fillId="4" borderId="43" xfId="0" applyFont="1" applyFill="1" applyBorder="1" applyAlignment="1">
      <alignment horizontal="left" vertical="center"/>
    </xf>
    <xf numFmtId="0" fontId="26" fillId="4" borderId="45" xfId="0" applyFont="1" applyFill="1" applyBorder="1" applyAlignment="1">
      <alignment horizontal="left" vertical="center"/>
    </xf>
    <xf numFmtId="0" fontId="26" fillId="4" borderId="47" xfId="0" applyFont="1" applyFill="1" applyBorder="1" applyAlignment="1">
      <alignment horizontal="left" vertical="center"/>
    </xf>
    <xf numFmtId="0" fontId="26" fillId="4" borderId="45" xfId="0" quotePrefix="1" applyFont="1" applyFill="1" applyBorder="1" applyAlignment="1">
      <alignment horizontal="left" vertical="center"/>
    </xf>
    <xf numFmtId="0" fontId="26" fillId="4" borderId="24" xfId="0" applyFont="1" applyFill="1" applyBorder="1" applyAlignment="1">
      <alignment horizontal="left" vertical="center"/>
    </xf>
    <xf numFmtId="0" fontId="26" fillId="4" borderId="30" xfId="0" quotePrefix="1" applyFont="1" applyFill="1" applyBorder="1" applyAlignment="1">
      <alignment horizontal="left" vertical="center"/>
    </xf>
    <xf numFmtId="0" fontId="26" fillId="4" borderId="41" xfId="0" applyFont="1" applyFill="1" applyBorder="1" applyAlignment="1">
      <alignment horizontal="left" vertical="center"/>
    </xf>
    <xf numFmtId="0" fontId="26" fillId="4" borderId="32" xfId="0" applyFont="1" applyFill="1" applyBorder="1" applyAlignment="1">
      <alignment horizontal="left" vertical="center"/>
    </xf>
    <xf numFmtId="0" fontId="26" fillId="4" borderId="30" xfId="0" applyFont="1" applyFill="1" applyBorder="1" applyAlignment="1">
      <alignment horizontal="left" vertical="center"/>
    </xf>
    <xf numFmtId="0" fontId="26" fillId="4" borderId="24" xfId="0" quotePrefix="1" applyFont="1" applyFill="1" applyBorder="1" applyAlignment="1">
      <alignment horizontal="left" vertical="center"/>
    </xf>
    <xf numFmtId="168" fontId="24" fillId="6" borderId="139" xfId="1" applyNumberFormat="1" applyFont="1" applyFill="1" applyBorder="1" applyAlignment="1">
      <alignment horizontal="center" shrinkToFit="1"/>
    </xf>
    <xf numFmtId="0" fontId="22" fillId="4" borderId="100" xfId="0" applyFont="1" applyFill="1" applyBorder="1" applyAlignment="1">
      <alignment horizontal="center" shrinkToFit="1"/>
    </xf>
    <xf numFmtId="0" fontId="22" fillId="4" borderId="112" xfId="0" applyFont="1" applyFill="1" applyBorder="1" applyAlignment="1">
      <alignment shrinkToFit="1"/>
    </xf>
    <xf numFmtId="168" fontId="22" fillId="6" borderId="137" xfId="1" applyNumberFormat="1" applyFont="1" applyFill="1" applyBorder="1" applyAlignment="1">
      <alignment horizontal="center" shrinkToFit="1"/>
    </xf>
    <xf numFmtId="0" fontId="22" fillId="4" borderId="138" xfId="0" applyFont="1" applyFill="1" applyBorder="1" applyAlignment="1">
      <alignment horizontal="center" shrinkToFit="1"/>
    </xf>
    <xf numFmtId="168" fontId="24" fillId="6" borderId="71" xfId="1" applyNumberFormat="1" applyFont="1" applyFill="1" applyBorder="1" applyAlignment="1">
      <alignment horizontal="center" shrinkToFit="1"/>
    </xf>
    <xf numFmtId="0" fontId="22" fillId="4" borderId="136" xfId="0" applyFont="1" applyFill="1" applyBorder="1" applyAlignment="1">
      <alignment horizontal="center" shrinkToFit="1"/>
    </xf>
    <xf numFmtId="168" fontId="24" fillId="6" borderId="100" xfId="1" applyNumberFormat="1" applyFont="1" applyFill="1" applyBorder="1" applyAlignment="1">
      <alignment horizontal="center" shrinkToFit="1"/>
    </xf>
    <xf numFmtId="0" fontId="22" fillId="4" borderId="114" xfId="0" applyFont="1" applyFill="1" applyBorder="1" applyAlignment="1">
      <alignment horizontal="center" shrinkToFit="1"/>
    </xf>
    <xf numFmtId="168" fontId="24" fillId="6" borderId="114" xfId="1" applyNumberFormat="1" applyFont="1" applyFill="1" applyBorder="1" applyAlignment="1">
      <alignment horizontal="center" shrinkToFit="1"/>
    </xf>
    <xf numFmtId="167" fontId="14" fillId="4" borderId="41" xfId="1" applyFont="1" applyFill="1" applyBorder="1" applyAlignment="1">
      <alignment horizontal="center"/>
    </xf>
    <xf numFmtId="171" fontId="14" fillId="4" borderId="41" xfId="1" applyNumberFormat="1" applyFont="1" applyFill="1" applyBorder="1" applyAlignment="1">
      <alignment horizontal="center"/>
    </xf>
    <xf numFmtId="0" fontId="61" fillId="4" borderId="76" xfId="0" applyFont="1" applyFill="1" applyBorder="1" applyAlignment="1">
      <alignment vertical="center"/>
    </xf>
    <xf numFmtId="0" fontId="61" fillId="4" borderId="75" xfId="0" applyFont="1" applyFill="1" applyBorder="1" applyAlignment="1">
      <alignment vertical="center"/>
    </xf>
    <xf numFmtId="0" fontId="19" fillId="4" borderId="78" xfId="0" quotePrefix="1" applyFont="1" applyFill="1" applyBorder="1" applyAlignment="1">
      <alignment vertical="top" wrapText="1"/>
    </xf>
    <xf numFmtId="0" fontId="19" fillId="4" borderId="113" xfId="0" applyFont="1" applyFill="1" applyBorder="1" applyAlignment="1">
      <alignment vertical="top" wrapText="1"/>
    </xf>
    <xf numFmtId="0" fontId="19" fillId="4" borderId="78" xfId="0" applyFont="1" applyFill="1" applyBorder="1" applyAlignment="1">
      <alignment vertical="top" wrapText="1"/>
    </xf>
    <xf numFmtId="0" fontId="0" fillId="0" borderId="94" xfId="0" applyBorder="1"/>
    <xf numFmtId="0" fontId="0" fillId="0" borderId="78" xfId="0" applyBorder="1"/>
    <xf numFmtId="0" fontId="0" fillId="0" borderId="0" xfId="0"/>
    <xf numFmtId="0" fontId="0" fillId="0" borderId="97"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4" fillId="0" borderId="0" xfId="0" applyFont="1" applyAlignment="1">
      <alignment vertical="top" wrapText="1"/>
    </xf>
    <xf numFmtId="0" fontId="4" fillId="0" borderId="113" xfId="0" applyFont="1" applyBorder="1" applyAlignment="1">
      <alignment vertical="top" wrapText="1"/>
    </xf>
    <xf numFmtId="0" fontId="0" fillId="0" borderId="113" xfId="0" applyBorder="1"/>
    <xf numFmtId="0" fontId="10" fillId="2" borderId="94" xfId="0" applyFont="1" applyFill="1" applyBorder="1" applyAlignment="1">
      <alignment vertical="top" wrapText="1"/>
    </xf>
    <xf numFmtId="0" fontId="11" fillId="2" borderId="94" xfId="0" applyFont="1" applyFill="1" applyBorder="1" applyAlignment="1">
      <alignment vertical="top"/>
    </xf>
    <xf numFmtId="0" fontId="11" fillId="2" borderId="78" xfId="0" applyFont="1" applyFill="1" applyBorder="1" applyAlignment="1">
      <alignment vertical="top"/>
    </xf>
    <xf numFmtId="0" fontId="11" fillId="2" borderId="97" xfId="0" applyFont="1" applyFill="1" applyBorder="1" applyAlignment="1">
      <alignment vertical="top"/>
    </xf>
    <xf numFmtId="0" fontId="11" fillId="2" borderId="113" xfId="0" applyFont="1" applyFill="1" applyBorder="1" applyAlignment="1">
      <alignment vertical="top"/>
    </xf>
    <xf numFmtId="0" fontId="11" fillId="2" borderId="7" xfId="0" applyFont="1" applyFill="1" applyBorder="1"/>
    <xf numFmtId="0" fontId="11" fillId="2" borderId="0" xfId="0" applyFont="1" applyFill="1"/>
    <xf numFmtId="0" fontId="11" fillId="2" borderId="8" xfId="0" applyFont="1" applyFill="1" applyBorder="1"/>
    <xf numFmtId="0" fontId="11" fillId="2" borderId="9" xfId="0" applyFont="1" applyFill="1" applyBorder="1"/>
    <xf numFmtId="0" fontId="11" fillId="2" borderId="10" xfId="0" applyFont="1" applyFill="1" applyBorder="1"/>
    <xf numFmtId="0" fontId="11" fillId="2" borderId="11" xfId="0" applyFont="1" applyFill="1" applyBorder="1"/>
    <xf numFmtId="0" fontId="40" fillId="0" borderId="0" xfId="0" applyFont="1" applyAlignment="1">
      <alignment horizontal="center" vertical="center"/>
    </xf>
    <xf numFmtId="0" fontId="0" fillId="0" borderId="127" xfId="0" applyBorder="1"/>
    <xf numFmtId="0" fontId="60" fillId="4" borderId="4" xfId="0" applyFont="1" applyFill="1" applyBorder="1" applyAlignment="1">
      <alignment horizontal="center" vertical="center"/>
    </xf>
    <xf numFmtId="0" fontId="57" fillId="0" borderId="5" xfId="0" applyFont="1" applyBorder="1" applyAlignment="1">
      <alignment horizontal="center" vertical="center"/>
    </xf>
    <xf numFmtId="0" fontId="57" fillId="0" borderId="6" xfId="0" applyFont="1" applyBorder="1" applyAlignment="1">
      <alignment horizontal="center" vertical="center"/>
    </xf>
    <xf numFmtId="0" fontId="57" fillId="0" borderId="9" xfId="0" applyFont="1" applyBorder="1" applyAlignment="1">
      <alignment horizontal="center" vertical="center"/>
    </xf>
    <xf numFmtId="0" fontId="57" fillId="0" borderId="10" xfId="0" applyFont="1" applyBorder="1" applyAlignment="1">
      <alignment horizontal="center" vertical="center"/>
    </xf>
    <xf numFmtId="0" fontId="57" fillId="0" borderId="11" xfId="0" applyFont="1" applyBorder="1" applyAlignment="1">
      <alignment horizontal="center" vertical="center"/>
    </xf>
    <xf numFmtId="14" fontId="43" fillId="7" borderId="0" xfId="0" applyNumberFormat="1" applyFont="1" applyFill="1" applyAlignment="1">
      <alignment horizontal="center" vertical="center"/>
    </xf>
    <xf numFmtId="0" fontId="43" fillId="7" borderId="0" xfId="0" applyFont="1" applyFill="1" applyAlignment="1">
      <alignment horizontal="center" vertical="center"/>
    </xf>
    <xf numFmtId="0" fontId="51" fillId="0" borderId="0" xfId="0" applyFont="1" applyAlignment="1">
      <alignment horizontal="center" vertical="center"/>
    </xf>
    <xf numFmtId="0" fontId="51" fillId="0" borderId="78" xfId="0" applyFont="1" applyBorder="1" applyAlignment="1">
      <alignment horizontal="center" vertical="center"/>
    </xf>
    <xf numFmtId="0" fontId="14" fillId="4" borderId="101" xfId="0" applyFont="1" applyFill="1" applyBorder="1" applyAlignment="1">
      <alignment shrinkToFit="1"/>
    </xf>
    <xf numFmtId="0" fontId="14" fillId="4" borderId="102" xfId="0" applyFont="1" applyFill="1" applyBorder="1" applyAlignment="1">
      <alignment shrinkToFit="1"/>
    </xf>
    <xf numFmtId="49" fontId="37" fillId="4" borderId="103" xfId="4" quotePrefix="1" applyNumberFormat="1" applyFont="1" applyFill="1" applyBorder="1" applyAlignment="1">
      <alignment shrinkToFit="1"/>
    </xf>
    <xf numFmtId="0" fontId="14" fillId="4" borderId="30" xfId="0" applyFont="1" applyFill="1" applyBorder="1" applyAlignment="1">
      <alignment shrinkToFit="1"/>
    </xf>
    <xf numFmtId="0" fontId="14" fillId="4" borderId="12" xfId="0" applyFont="1" applyFill="1" applyBorder="1" applyAlignment="1">
      <alignment shrinkToFit="1"/>
    </xf>
    <xf numFmtId="0" fontId="14" fillId="4" borderId="115" xfId="0" applyFont="1" applyFill="1" applyBorder="1" applyAlignment="1">
      <alignment wrapText="1" shrinkToFit="1"/>
    </xf>
    <xf numFmtId="0" fontId="14" fillId="4" borderId="21" xfId="0" applyFont="1" applyFill="1" applyBorder="1" applyAlignment="1">
      <alignment shrinkToFit="1"/>
    </xf>
    <xf numFmtId="0" fontId="14" fillId="4" borderId="116" xfId="0" applyFont="1" applyFill="1" applyBorder="1" applyAlignment="1">
      <alignment shrinkToFit="1"/>
    </xf>
    <xf numFmtId="0" fontId="14" fillId="4" borderId="34" xfId="0" applyFont="1" applyFill="1" applyBorder="1" applyAlignment="1">
      <alignment shrinkToFit="1"/>
    </xf>
    <xf numFmtId="0" fontId="0" fillId="0" borderId="71" xfId="0" applyBorder="1"/>
    <xf numFmtId="0" fontId="0" fillId="0" borderId="72" xfId="0" applyBorder="1"/>
    <xf numFmtId="0" fontId="0" fillId="0" borderId="0" xfId="0" applyBorder="1"/>
    <xf numFmtId="0" fontId="16" fillId="0" borderId="0" xfId="0" applyFont="1" applyBorder="1" applyAlignment="1">
      <alignment horizontal="center"/>
    </xf>
    <xf numFmtId="0" fontId="17" fillId="0" borderId="0" xfId="0" applyFont="1" applyBorder="1"/>
    <xf numFmtId="0" fontId="5" fillId="0" borderId="0" xfId="0" applyFont="1" applyBorder="1"/>
    <xf numFmtId="186" fontId="14" fillId="4" borderId="12" xfId="2" applyNumberFormat="1" applyFont="1" applyFill="1" applyBorder="1" applyAlignment="1">
      <alignment horizontal="right"/>
    </xf>
    <xf numFmtId="186" fontId="14" fillId="4" borderId="94" xfId="2" applyNumberFormat="1" applyFont="1" applyFill="1" applyBorder="1" applyAlignment="1">
      <alignment horizontal="right"/>
    </xf>
    <xf numFmtId="186" fontId="14" fillId="4" borderId="75" xfId="2" applyNumberFormat="1" applyFont="1" applyFill="1" applyBorder="1" applyAlignment="1">
      <alignment horizontal="right"/>
    </xf>
    <xf numFmtId="186" fontId="14" fillId="4" borderId="74" xfId="2" applyNumberFormat="1" applyFont="1" applyFill="1" applyBorder="1" applyAlignment="1">
      <alignment horizontal="right"/>
    </xf>
    <xf numFmtId="186" fontId="14" fillId="4" borderId="21" xfId="2" applyNumberFormat="1" applyFont="1" applyFill="1" applyBorder="1" applyAlignment="1">
      <alignment horizontal="right"/>
    </xf>
    <xf numFmtId="186" fontId="14" fillId="4" borderId="12" xfId="3" applyNumberFormat="1" applyFont="1" applyFill="1" applyBorder="1" applyAlignment="1">
      <alignment horizontal="right"/>
    </xf>
    <xf numFmtId="186" fontId="14" fillId="4" borderId="21" xfId="3" applyNumberFormat="1" applyFont="1" applyFill="1" applyBorder="1" applyAlignment="1">
      <alignment horizontal="right"/>
    </xf>
    <xf numFmtId="186" fontId="14" fillId="4" borderId="34" xfId="2" applyNumberFormat="1" applyFont="1" applyFill="1" applyBorder="1" applyAlignment="1">
      <alignment horizontal="right"/>
    </xf>
    <xf numFmtId="186" fontId="14" fillId="4" borderId="54" xfId="2" applyNumberFormat="1" applyFont="1" applyFill="1" applyBorder="1" applyAlignment="1">
      <alignment horizontal="right"/>
    </xf>
    <xf numFmtId="186" fontId="14" fillId="4" borderId="31" xfId="2" applyNumberFormat="1" applyFont="1" applyFill="1" applyBorder="1" applyAlignment="1">
      <alignment horizontal="right"/>
    </xf>
    <xf numFmtId="186" fontId="14" fillId="4" borderId="35" xfId="2" applyNumberFormat="1" applyFont="1" applyFill="1" applyBorder="1" applyAlignment="1">
      <alignment horizontal="right"/>
    </xf>
    <xf numFmtId="167" fontId="14" fillId="4" borderId="12" xfId="1" applyNumberFormat="1" applyFont="1" applyFill="1" applyBorder="1" applyAlignment="1">
      <alignment horizontal="center"/>
    </xf>
    <xf numFmtId="167" fontId="14" fillId="6" borderId="75" xfId="1" applyFont="1" applyFill="1" applyBorder="1" applyAlignment="1">
      <alignment horizontal="center" shrinkToFit="1"/>
    </xf>
    <xf numFmtId="170" fontId="14" fillId="4" borderId="110" xfId="1" applyNumberFormat="1" applyFont="1" applyFill="1" applyBorder="1" applyAlignment="1">
      <alignment horizontal="center"/>
    </xf>
    <xf numFmtId="167" fontId="14" fillId="6" borderId="75" xfId="1" applyFont="1" applyFill="1" applyBorder="1" applyAlignment="1">
      <alignment horizontal="center"/>
    </xf>
    <xf numFmtId="14" fontId="14" fillId="4" borderId="75" xfId="3" applyNumberFormat="1" applyFont="1" applyFill="1" applyBorder="1" applyAlignment="1">
      <alignment horizontal="right"/>
    </xf>
    <xf numFmtId="170" fontId="14" fillId="4" borderId="75" xfId="3" applyNumberFormat="1" applyFont="1" applyFill="1" applyBorder="1" applyAlignment="1">
      <alignment horizontal="center"/>
    </xf>
    <xf numFmtId="14" fontId="14" fillId="6" borderId="75" xfId="1" applyNumberFormat="1" applyFont="1" applyFill="1" applyBorder="1" applyAlignment="1">
      <alignment horizontal="center"/>
    </xf>
    <xf numFmtId="0" fontId="0" fillId="0" borderId="73" xfId="0" applyBorder="1" applyAlignment="1">
      <alignment horizontal="center"/>
    </xf>
    <xf numFmtId="0" fontId="0" fillId="0" borderId="76" xfId="0" applyBorder="1"/>
  </cellXfs>
  <cellStyles count="6">
    <cellStyle name="Lien hypertexte" xfId="4" builtinId="8"/>
    <cellStyle name="Milliers" xfId="3" builtinId="3"/>
    <cellStyle name="Monétaire" xfId="1" builtinId="4"/>
    <cellStyle name="Normal" xfId="0" builtinId="0"/>
    <cellStyle name="Normal 2" xfId="5" xr:uid="{57A46137-355B-42A3-99AF-6F8437BF6D6E}"/>
    <cellStyle name="Pourcentage" xfId="2" builtinId="5"/>
  </cellStyles>
  <dxfs count="468">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1" readingOrder="0"/>
      <border diagonalUp="0" diagonalDown="0"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bottom" textRotation="0" wrapText="0" indent="0" justifyLastLine="0" shrinkToFit="1" readingOrder="0"/>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 formatCode="#,##0"/>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2" formatCode="m/d/yyyy"/>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0" formatCode="@"/>
      <fill>
        <patternFill patternType="solid">
          <fgColor indexed="64"/>
          <bgColor rgb="FF000000"/>
        </patternFill>
      </fill>
      <alignment horizontal="general" vertical="bottom" textRotation="0" wrapText="0" indent="0" justifyLastLine="0" shrinkToFit="1" readingOrder="0"/>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0" formatCode="@"/>
      <fill>
        <patternFill patternType="solid">
          <fgColor indexed="64"/>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center" vertical="bottom" textRotation="0" wrapText="0" indent="0" justifyLastLine="0" shrinkToFit="0" readingOrder="0"/>
      <border diagonalUp="0" diagonalDown="0" outline="0">
        <left/>
        <right style="thin">
          <color indexed="64"/>
        </right>
        <top style="thin">
          <color indexed="64"/>
        </top>
        <bottom/>
      </border>
    </dxf>
    <dxf>
      <font>
        <b/>
        <i val="0"/>
        <strike val="0"/>
        <condense val="0"/>
        <extend val="0"/>
        <outline val="0"/>
        <shadow val="0"/>
        <u val="none"/>
        <vertAlign val="baseline"/>
        <sz val="20"/>
        <color rgb="FFFFFFFF"/>
        <name val="Wingdings"/>
        <charset val="2"/>
        <scheme val="none"/>
      </font>
      <numFmt numFmtId="167" formatCode="_(&quot;€&quot;* #,##0.00_);_(&quot;€&quot;* \(#,##0.00\);_(&quot;€&quot;* &quot;-&quot;??_);_(@_)"/>
      <fill>
        <patternFill patternType="solid">
          <fgColor indexed="64"/>
          <bgColor rgb="FF0000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5" formatCode="&quot;€&quot;#,##0.00_);\(&quot;€&quot;#,##0.00\)"/>
      <fill>
        <patternFill patternType="solid">
          <fgColor indexed="64"/>
          <bgColor rgb="FF00000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rgb="FFFFFFFF"/>
        <name val="Luciole"/>
        <family val="2"/>
        <scheme val="none"/>
      </font>
      <numFmt numFmtId="19" formatCode="dd/mm/yyyy"/>
      <fill>
        <patternFill patternType="solid">
          <fgColor indexed="64"/>
          <bgColor rgb="FF00000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FFFFFF"/>
        <name val="Luciole"/>
        <family val="2"/>
        <scheme val="none"/>
      </font>
      <numFmt numFmtId="167" formatCode="_(&quot;€&quot;* #,##0.00_);_(&quot;€&quot;* \(#,##0.0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bottom/>
      </border>
    </dxf>
    <dxf>
      <font>
        <b val="0"/>
        <i val="0"/>
        <strike val="0"/>
        <condense val="0"/>
        <extend val="0"/>
        <outline val="0"/>
        <shadow val="0"/>
        <u val="none"/>
        <vertAlign val="baseline"/>
        <sz val="11"/>
        <color rgb="FFFFFFFF"/>
        <name val="Luciole"/>
        <family val="2"/>
        <scheme val="none"/>
      </font>
      <fill>
        <patternFill patternType="solid">
          <fgColor indexed="64"/>
          <bgColor rgb="FF000000"/>
        </patternFill>
      </fill>
      <alignment horizontal="general" vertical="center" textRotation="0" wrapText="0" indent="0" justifyLastLine="0" shrinkToFit="0" readingOrder="0"/>
    </dxf>
    <dxf>
      <font>
        <b val="0"/>
        <i val="0"/>
        <strike val="0"/>
        <condense val="0"/>
        <extend val="0"/>
        <outline val="0"/>
        <shadow val="0"/>
        <u val="none"/>
        <vertAlign val="baseline"/>
        <sz val="11"/>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bottom/>
      </border>
    </dxf>
    <dxf>
      <font>
        <b val="0"/>
        <i val="0"/>
        <strike val="0"/>
        <condense val="0"/>
        <extend val="0"/>
        <outline val="0"/>
        <shadow val="0"/>
        <u val="none"/>
        <vertAlign val="baseline"/>
        <sz val="11"/>
        <color rgb="FFFFFFFF"/>
        <name val="Luciole"/>
        <family val="2"/>
        <scheme val="none"/>
      </font>
      <fill>
        <patternFill patternType="solid">
          <fgColor indexed="64"/>
          <bgColor rgb="FF000000"/>
        </patternFill>
      </fill>
      <alignment horizontal="general" vertical="center" textRotation="0" wrapText="0" indent="0" justifyLastLine="0" shrinkToFit="1" readingOrder="0"/>
    </dxf>
    <dxf>
      <font>
        <b val="0"/>
        <i val="0"/>
        <strike val="0"/>
        <condense val="0"/>
        <extend val="0"/>
        <outline val="0"/>
        <shadow val="0"/>
        <u val="none"/>
        <vertAlign val="baseline"/>
        <sz val="11"/>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bottom/>
      </border>
    </dxf>
    <dxf>
      <font>
        <b val="0"/>
        <i val="0"/>
        <strike val="0"/>
        <condense val="0"/>
        <extend val="0"/>
        <outline val="0"/>
        <shadow val="0"/>
        <u val="none"/>
        <vertAlign val="baseline"/>
        <sz val="11"/>
        <color rgb="FFFFFFFF"/>
        <name val="Luciole"/>
        <family val="2"/>
        <scheme val="none"/>
      </font>
      <numFmt numFmtId="171" formatCode="&quot;€&quot;* #\ ##0.00;&quot;€&quot;* \-#\ ##0.00"/>
      <fill>
        <patternFill patternType="solid">
          <fgColor indexed="64"/>
          <bgColor rgb="FF000000"/>
        </patternFill>
      </fill>
      <alignment horizontal="center" vertical="center" textRotation="0" wrapText="0" indent="0" justifyLastLine="0" shrinkToFit="0" readingOrder="0"/>
      <border diagonalUp="0" diagonalDown="0" outline="0">
        <left style="dashed">
          <color indexed="64"/>
        </left>
        <right/>
        <top/>
        <bottom/>
      </border>
    </dxf>
    <dxf>
      <font>
        <b val="0"/>
        <i val="0"/>
        <strike val="0"/>
        <condense val="0"/>
        <extend val="0"/>
        <outline val="0"/>
        <shadow val="0"/>
        <u val="none"/>
        <vertAlign val="baseline"/>
        <sz val="11"/>
        <color rgb="FFFFFFFF"/>
        <name val="Luciole"/>
        <family val="2"/>
        <scheme val="none"/>
      </font>
      <numFmt numFmtId="171" formatCode="&quot;€&quot;* #\ ##0.00;&quot;€&quot;* \-#\ ##0.00"/>
      <fill>
        <patternFill patternType="solid">
          <fgColor indexed="64"/>
          <bgColor rgb="FF000000"/>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FFFFFF"/>
        <name val="Luciole"/>
        <family val="2"/>
        <scheme val="none"/>
      </font>
      <numFmt numFmtId="19" formatCode="dd/mm/yyyy"/>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bottom/>
      </border>
    </dxf>
    <dxf>
      <font>
        <b val="0"/>
        <i val="0"/>
        <strike val="0"/>
        <condense val="0"/>
        <extend val="0"/>
        <outline val="0"/>
        <shadow val="0"/>
        <u val="none"/>
        <vertAlign val="baseline"/>
        <sz val="11"/>
        <color rgb="FFFFFFFF"/>
        <name val="Luciole"/>
        <family val="2"/>
        <scheme val="none"/>
      </font>
      <numFmt numFmtId="19" formatCode="dd/mm/yyyy"/>
      <fill>
        <patternFill patternType="solid">
          <fgColor indexed="64"/>
          <bgColor rgb="FF000000"/>
        </patternFill>
      </fill>
      <alignment horizontal="general" vertical="center" textRotation="0" wrapText="0" indent="0" justifyLastLine="0" shrinkToFit="0" readingOrder="0"/>
    </dxf>
    <dxf>
      <font>
        <b val="0"/>
        <i val="0"/>
        <strike val="0"/>
        <condense val="0"/>
        <extend val="0"/>
        <outline val="0"/>
        <shadow val="0"/>
        <u val="none"/>
        <vertAlign val="baseline"/>
        <sz val="11"/>
        <color rgb="FFFFFFFF"/>
        <name val="Luciole"/>
        <family val="2"/>
        <scheme val="none"/>
      </font>
      <numFmt numFmtId="19" formatCode="dd/mm/yyyy"/>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rgb="FFFFFFFF"/>
        <name val="Luciole"/>
        <family val="2"/>
        <scheme val="none"/>
      </font>
      <fill>
        <patternFill patternType="solid">
          <fgColor indexed="64"/>
          <bgColor rgb="FF000000"/>
        </patternFill>
      </fill>
      <alignment horizontal="general" vertical="center" textRotation="0" wrapText="0" indent="0" justifyLastLine="0" shrinkToFit="0" readingOrder="0"/>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style="thin">
          <color rgb="FFFFFFFF"/>
        </right>
        <top style="thin">
          <color rgb="FFFFFFFF"/>
        </top>
        <bottom/>
      </border>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font>
        <color rgb="FFFFFFFF"/>
      </font>
      <numFmt numFmtId="186" formatCode="dd/mm/yyyy"/>
      <fill>
        <patternFill patternType="solid">
          <fgColor indexed="64"/>
          <bgColor rgb="FF00000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color rgb="FFFFFFFF"/>
      </font>
      <numFmt numFmtId="19" formatCode="dd/mm/yyyy"/>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color rgb="FFFFFFFF"/>
      </font>
      <numFmt numFmtId="177" formatCode="#,##0_ ;\-#,##0\ "/>
      <fill>
        <patternFill patternType="solid">
          <fgColor theme="1"/>
          <bgColor rgb="FF000000"/>
        </patternFill>
      </fill>
      <border diagonalUp="0" diagonalDown="0" outline="0">
        <left style="thin">
          <color indexed="64"/>
        </left>
        <right style="thin">
          <color indexed="64"/>
        </right>
        <top style="thin">
          <color indexed="64"/>
        </top>
        <bottom style="thin">
          <color indexed="64"/>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79" formatCode="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right style="thin">
          <color indexed="64"/>
        </right>
        <top style="thin">
          <color indexed="64"/>
        </top>
        <bottom style="thin">
          <color indexed="64"/>
        </bottom>
      </border>
    </dxf>
    <dxf>
      <font>
        <b val="0"/>
      </font>
      <numFmt numFmtId="183" formatCode="dd/mm/yy;@"/>
      <border diagonalUp="0" diagonalDown="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family val="2"/>
      </font>
    </dxf>
    <dxf>
      <font>
        <b val="0"/>
        <i val="0"/>
        <strike val="0"/>
        <condense val="0"/>
        <extend val="0"/>
        <outline val="0"/>
        <shadow val="0"/>
        <u val="none"/>
        <vertAlign val="baseline"/>
        <sz val="12"/>
        <color theme="1"/>
        <name val="Luciole"/>
        <family val="2"/>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val="0"/>
      </font>
      <numFmt numFmtId="173" formatCode="_(* #,##0_);_(* \(#,##0\);_(* &quot;-&quot;??_);_(@_)"/>
      <border diagonalUp="0" diagonalDown="0" outline="0">
        <left style="thin">
          <color indexed="64"/>
        </left>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79" formatCode="0.0%"/>
      <border diagonalUp="0" diagonalDown="0" outline="0">
        <left style="thin">
          <color indexed="64"/>
        </left>
        <right style="thin">
          <color indexed="64"/>
        </right>
        <top style="thin">
          <color indexed="64"/>
        </top>
        <bottom style="thin">
          <color indexed="64"/>
        </bottom>
      </border>
    </dxf>
    <dxf>
      <font>
        <b val="0"/>
      </font>
      <numFmt numFmtId="173" formatCode="_(* #,##0_);_(* \(#,##0\);_(* &quot;-&quot;??_);_(@_)"/>
      <border diagonalUp="0" diagonalDown="0" outline="0">
        <left style="thin">
          <color indexed="64"/>
        </left>
        <right style="thin">
          <color indexed="64"/>
        </right>
        <top style="thin">
          <color indexed="64"/>
        </top>
        <bottom style="thin">
          <color indexed="64"/>
        </bottom>
      </border>
    </dxf>
    <dxf>
      <font>
        <b val="0"/>
      </font>
      <numFmt numFmtId="14" formatCode="0.00%"/>
      <border diagonalUp="0" diagonalDown="0" outline="0">
        <left/>
        <right style="thin">
          <color indexed="64"/>
        </right>
        <top style="thin">
          <color indexed="64"/>
        </top>
        <bottom style="thin">
          <color indexed="64"/>
        </bottom>
      </border>
    </dxf>
    <dxf>
      <font>
        <b val="0"/>
      </font>
      <numFmt numFmtId="183" formatCode="dd/mm/yy;@"/>
      <border diagonalUp="0" diagonalDown="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family val="2"/>
      </font>
    </dxf>
    <dxf>
      <font>
        <b val="0"/>
        <i val="0"/>
        <strike val="0"/>
        <condense val="0"/>
        <extend val="0"/>
        <outline val="0"/>
        <shadow val="0"/>
        <u val="none"/>
        <vertAlign val="baseline"/>
        <sz val="12"/>
        <color theme="1"/>
        <name val="Luciole"/>
        <family val="2"/>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color rgb="FFFFFFFF"/>
      </font>
      <numFmt numFmtId="172" formatCode="m/d/yyyy"/>
      <fill>
        <patternFill patternType="solid">
          <fgColor indexed="64"/>
          <bgColor rgb="FF000000"/>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FFFFFF"/>
      </font>
      <fill>
        <patternFill patternType="solid">
          <fgColor indexed="64"/>
          <bgColor rgb="FF000000"/>
        </patternFill>
      </fill>
    </dxf>
    <dxf>
      <font>
        <color rgb="FFFFFFFF"/>
      </font>
      <fill>
        <patternFill patternType="solid">
          <fgColor indexed="64"/>
          <bgColor rgb="FF000000"/>
        </patternFill>
      </fill>
    </dxf>
    <dxf>
      <font>
        <color rgb="FFFFFFFF"/>
      </font>
      <fill>
        <patternFill patternType="solid">
          <fgColor indexed="64"/>
          <bgColor rgb="FF000000"/>
        </patternFill>
      </fill>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color rgb="FFFFFFFF"/>
      </font>
      <fill>
        <patternFill patternType="solid">
          <fgColor indexed="64"/>
          <bgColor rgb="FF000000"/>
        </patternFill>
      </fill>
    </dxf>
    <dxf>
      <font>
        <color rgb="FFFFFFFF"/>
      </font>
      <fill>
        <patternFill patternType="solid">
          <fgColor indexed="64"/>
          <bgColor rgb="FF000000"/>
        </patternFill>
      </fill>
    </dxf>
    <dxf>
      <font>
        <color rgb="FFFFFFFF"/>
      </font>
      <fill>
        <patternFill patternType="solid">
          <fgColor indexed="64"/>
          <bgColor rgb="FF000000"/>
        </patternFill>
      </fill>
      <alignment horizontal="general" vertical="bottom" textRotation="0" wrapText="0" indent="0" justifyLastLine="0" shrinkToFit="1" readingOrder="0"/>
    </dxf>
    <dxf>
      <font>
        <color rgb="FFFFFFFF"/>
      </font>
      <fill>
        <patternFill patternType="solid">
          <fgColor indexed="64"/>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color rgb="FFFFFFFF"/>
      </font>
      <fill>
        <patternFill patternType="solid">
          <fgColor indexed="64"/>
          <bgColor rgb="FF000000"/>
        </patternFill>
      </fill>
    </dxf>
    <dxf>
      <border outline="0">
        <bottom style="thin">
          <color indexed="64"/>
        </bottom>
      </border>
    </dxf>
    <dxf>
      <font>
        <color rgb="FFFFFFFF"/>
      </font>
      <fill>
        <patternFill patternType="solid">
          <fgColor indexed="64"/>
          <bgColor rgb="FF00000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FFFFFF"/>
        <name val="Luciole"/>
        <family val="2"/>
        <scheme val="none"/>
      </font>
      <fill>
        <patternFill patternType="solid">
          <fgColor indexed="64"/>
          <bgColor rgb="FF000000"/>
        </patternFill>
      </fill>
      <border diagonalUp="0" diagonalDown="0" outline="0">
        <left style="thin">
          <color indexed="64"/>
        </left>
        <right style="thin">
          <color indexed="64"/>
        </right>
        <top style="thin">
          <color indexed="64"/>
        </top>
        <bottom style="thin">
          <color indexed="64"/>
        </bottom>
      </border>
    </dxf>
    <dxf>
      <font>
        <color rgb="FFFFFFFF"/>
      </font>
      <fill>
        <patternFill patternType="solid">
          <fgColor indexed="64"/>
          <bgColor rgb="FF000000"/>
        </patternFill>
      </fill>
    </dxf>
    <dxf>
      <font>
        <color rgb="FFFFFFFF"/>
      </font>
      <fill>
        <patternFill patternType="solid">
          <fgColor indexed="64"/>
          <bgColor rgb="FF000000"/>
        </patternFill>
      </fill>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color rgb="FFFFFFFF"/>
      </font>
      <fill>
        <patternFill patternType="solid">
          <bgColor rgb="FF000000"/>
        </patternFill>
      </fill>
    </dxf>
    <dxf>
      <font>
        <color rgb="FFFFFFFF"/>
      </font>
      <fill>
        <patternFill patternType="solid">
          <bgColor rgb="FF000000"/>
        </patternFill>
      </fill>
    </dxf>
    <dxf>
      <font>
        <color rgb="FFFFFFFF"/>
      </font>
      <fill>
        <patternFill patternType="solid">
          <bgColor rgb="FF000000"/>
        </patternFill>
      </fill>
    </dxf>
    <dxf>
      <font>
        <color rgb="FFFFFFFF"/>
      </font>
      <numFmt numFmtId="30" formatCode="@"/>
      <fill>
        <patternFill patternType="solid">
          <bgColor rgb="FF000000"/>
        </patternFill>
      </fill>
      <alignment horizontal="right" vertical="bottom" textRotation="0" wrapText="0" indent="0" justifyLastLine="0" shrinkToFit="1" readingOrder="0"/>
    </dxf>
    <dxf>
      <font>
        <color rgb="FFFFFFFF"/>
      </font>
      <numFmt numFmtId="30" formatCode="@"/>
      <fill>
        <patternFill patternType="solid">
          <bgColor rgb="FF000000"/>
        </patternFill>
      </fill>
      <alignment horizontal="right" vertical="bottom" textRotation="0" wrapText="0" indent="0" justifyLastLine="0" shrinkToFit="1" readingOrder="0"/>
    </dxf>
    <dxf>
      <font>
        <b val="0"/>
        <i val="0"/>
        <strike val="0"/>
        <condense val="0"/>
        <extend val="0"/>
        <outline val="0"/>
        <shadow val="0"/>
        <u val="none"/>
        <vertAlign val="baseline"/>
        <sz val="5"/>
        <color rgb="FFFFFFFF"/>
        <name val="Consolas"/>
        <family val="3"/>
        <scheme val="none"/>
      </font>
      <fill>
        <patternFill patternType="solid">
          <bgColor rgb="FF000000"/>
        </patternFill>
      </fill>
    </dxf>
    <dxf>
      <font>
        <color rgb="FFFFFFFF"/>
      </font>
      <fill>
        <patternFill patternType="solid">
          <bgColor rgb="FF000000"/>
        </patternFill>
      </fill>
    </dxf>
    <dxf>
      <font>
        <color rgb="FFFFFFFF"/>
      </font>
      <fill>
        <patternFill patternType="solid">
          <bgColor rgb="FF000000"/>
        </patternFill>
      </fill>
      <alignment horizontal="general" vertical="bottom" textRotation="0" wrapText="0" indent="0" justifyLastLine="0" shrinkToFit="0" readingOrder="0"/>
    </dxf>
    <dxf>
      <font>
        <color rgb="FFFFFFFF"/>
      </font>
      <numFmt numFmtId="30" formatCode="@"/>
      <fill>
        <patternFill patternType="solid">
          <bgColor rgb="FF000000"/>
        </patternFill>
      </fill>
      <alignment horizontal="general" vertical="bottom" textRotation="0" wrapText="0" indent="0" justifyLastLine="0" shrinkToFit="1" readingOrder="0"/>
    </dxf>
    <dxf>
      <font>
        <color rgb="FFFFFFFF"/>
      </font>
      <fill>
        <patternFill patternType="solid">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color rgb="FFFFFFFF"/>
      </font>
      <fill>
        <patternFill patternType="solid">
          <bgColor rgb="FF000000"/>
        </patternFill>
      </fill>
    </dxf>
    <dxf>
      <font>
        <color rgb="FFFFFFFF"/>
      </font>
      <fill>
        <patternFill patternType="solid">
          <bgColor rgb="FF000000"/>
        </patternFill>
      </fill>
      <border diagonalUp="0" diagonalDown="0" outline="0">
        <left/>
        <right/>
        <top/>
        <bottom/>
      </border>
    </dxf>
    <dxf>
      <font>
        <color rgb="FFFFFFFF"/>
      </font>
      <fill>
        <patternFill patternType="solid">
          <bgColor rgb="FF000000"/>
        </patternFill>
      </fill>
      <alignment horizontal="center" vertical="bottom" textRotation="0" wrapText="0" indent="0" justifyLastLine="0" shrinkToFit="0" readingOrder="0"/>
    </dxf>
    <dxf>
      <font>
        <color rgb="FFFFFFFF"/>
      </font>
      <numFmt numFmtId="14" formatCode="0.00%"/>
      <fill>
        <patternFill patternType="solid">
          <bgColor rgb="FF000000"/>
        </patternFill>
      </fill>
    </dxf>
    <dxf>
      <font>
        <color rgb="FFFFFFFF"/>
      </font>
      <fill>
        <patternFill patternType="solid">
          <bgColor rgb="FF000000"/>
        </patternFill>
      </fill>
    </dxf>
    <dxf>
      <font>
        <color rgb="FFFFFFFF"/>
      </font>
      <fill>
        <patternFill patternType="solid">
          <bgColor rgb="FF000000"/>
        </patternFill>
      </fill>
    </dxf>
    <dxf>
      <font>
        <color rgb="FFFFFFFF"/>
      </font>
      <fill>
        <patternFill patternType="solid">
          <bgColor rgb="FF000000"/>
        </patternFill>
      </fill>
    </dxf>
    <dxf>
      <font>
        <b val="0"/>
        <i val="0"/>
        <strike val="0"/>
        <condense val="0"/>
        <extend val="0"/>
        <outline val="0"/>
        <shadow val="0"/>
        <u val="none"/>
        <vertAlign val="baseline"/>
        <sz val="24"/>
        <color rgb="FFFF0000"/>
        <name val="Uciole"/>
        <scheme val="none"/>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24"/>
        <color rgb="FFFF0000"/>
        <name val="Uciole"/>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Luciole"/>
        <family val="2"/>
        <scheme val="none"/>
      </font>
      <fill>
        <patternFill patternType="solid">
          <fgColor indexed="64"/>
          <bgColor rgb="FFFFFF00"/>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0000"/>
        <name val="Luciole"/>
        <family val="2"/>
        <scheme val="none"/>
      </font>
      <fill>
        <patternFill patternType="solid">
          <fgColor indexed="64"/>
          <bgColor rgb="FFFFFF00"/>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Luciole"/>
        <family val="2"/>
        <scheme val="none"/>
      </font>
      <fill>
        <patternFill patternType="solid">
          <fgColor indexed="64"/>
          <bgColor rgb="FFFFFF00"/>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0000"/>
        <name val="Luciole"/>
        <family val="2"/>
        <scheme val="none"/>
      </font>
      <fill>
        <patternFill patternType="solid">
          <fgColor indexed="64"/>
          <bgColor rgb="FFFFFF00"/>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0000"/>
        <name val="Luciole"/>
        <family val="2"/>
        <scheme val="none"/>
      </font>
      <numFmt numFmtId="19" formatCode="dd/mm/yyyy"/>
      <fill>
        <patternFill patternType="solid">
          <fgColor indexed="64"/>
          <bgColor rgb="FFFFFF00"/>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numFmt numFmtId="176" formatCode="dd/mm/yyyy\ hh:mm;@"/>
      <fill>
        <patternFill patternType="solid">
          <fgColor indexed="64"/>
          <bgColor rgb="FFFFFF00"/>
        </patternFill>
      </fil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color rgb="FFFF0000"/>
        <name val="Luciole"/>
        <family val="2"/>
        <scheme val="none"/>
      </font>
      <fill>
        <patternFill patternType="solid">
          <fgColor indexed="64"/>
          <bgColor rgb="FFFFFF00"/>
        </patternFill>
      </fill>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indent="0" justifyLastLine="0" shrinkToFit="0" readingOrder="0"/>
    </dxf>
    <dxf>
      <font>
        <strike val="0"/>
        <outline val="0"/>
        <shadow val="0"/>
        <u val="none"/>
        <vertAlign val="baseline"/>
        <color rgb="FFFF0000"/>
        <name val="Luciole"/>
        <family val="2"/>
        <scheme val="none"/>
      </font>
      <fill>
        <patternFill patternType="solid">
          <fgColor indexed="64"/>
          <bgColor rgb="FFFFFF00"/>
        </patternFill>
      </fill>
      <alignment horizontal="general" vertical="top" textRotation="0" indent="0" justifyLastLine="0" shrinkToFit="0" readingOrder="0"/>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bottom" textRotation="0" wrapText="0" indent="0" justifyLastLine="0" shrinkToFit="1" readingOrder="0"/>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 formatCode="#,##0"/>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9" formatCode="dd/mm/yyyy"/>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0" formatCode="@"/>
      <fill>
        <patternFill patternType="solid">
          <fgColor indexed="64"/>
          <bgColor rgb="FF000000"/>
        </patternFill>
      </fill>
      <alignment horizontal="general" vertical="bottom" textRotation="0" wrapText="0" indent="0" justifyLastLine="0" shrinkToFit="1" readingOrder="0"/>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font>
        <b val="0"/>
        <i val="0"/>
        <strike val="0"/>
        <condense val="0"/>
        <extend val="0"/>
        <outline val="0"/>
        <shadow val="0"/>
        <u val="none"/>
        <vertAlign val="baseline"/>
        <sz val="12"/>
        <color rgb="FFFFFFFF"/>
        <name val="Luciole"/>
        <family val="2"/>
        <scheme val="none"/>
      </font>
      <numFmt numFmtId="30" formatCode="@"/>
      <fill>
        <patternFill patternType="solid">
          <fgColor indexed="64"/>
          <bgColor rgb="FF000000"/>
        </patternFill>
      </fill>
      <alignment vertical="bottom" textRotation="0" wrapText="0" justifyLastLine="0" shrinkToFit="1"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alignment horizontal="center" vertical="bottom" textRotation="0" wrapText="0" indent="0" justifyLastLine="0" shrinkToFit="0" readingOrder="0"/>
      <border diagonalUp="0" diagonalDown="0">
        <left/>
        <right style="thin">
          <color indexed="64"/>
        </right>
        <top style="thin">
          <color indexed="64"/>
        </top>
        <bottom/>
        <vertical/>
        <horizontal/>
      </border>
    </dxf>
    <dxf>
      <font>
        <b/>
        <i val="0"/>
        <strike val="0"/>
        <condense val="0"/>
        <extend val="0"/>
        <outline val="0"/>
        <shadow val="0"/>
        <u val="none"/>
        <vertAlign val="baseline"/>
        <sz val="20"/>
        <color rgb="FFFFFFFF"/>
        <name val="Wingdings"/>
        <charset val="2"/>
        <scheme val="none"/>
      </font>
      <fill>
        <patternFill patternType="solid">
          <fgColor indexed="64"/>
          <bgColor rgb="FF000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65" formatCode="&quot;€&quot;#,##0.00_);\(&quot;€&quot;#,##0.00\)"/>
      <fill>
        <patternFill patternType="solid">
          <fgColor indexed="64"/>
          <bgColor rgb="FF00000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indexed="64"/>
          <bgColor rgb="FF000000"/>
        </patternFill>
      </fill>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border diagonalUp="0" diagonalDown="0">
        <left style="thin">
          <color indexed="64"/>
        </left>
        <right style="thin">
          <color indexed="64"/>
        </right>
        <top style="thin">
          <color indexed="64"/>
        </top>
        <bottom style="thin">
          <color indexed="64"/>
        </bottom>
        <vertical/>
        <horizontal/>
      </border>
    </dxf>
    <dxf>
      <border outline="0">
        <top style="thin">
          <color rgb="FFFFFFFF"/>
        </top>
      </border>
    </dxf>
    <dxf>
      <border outline="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dxf>
    <dxf>
      <border outline="0">
        <bottom style="thin">
          <color rgb="FFFFFFFF"/>
        </bottom>
      </border>
    </dxf>
    <dxf>
      <font>
        <b val="0"/>
        <i val="0"/>
        <strike val="0"/>
        <condense val="0"/>
        <extend val="0"/>
        <outline val="0"/>
        <shadow val="0"/>
        <u val="none"/>
        <vertAlign val="baseline"/>
        <sz val="12"/>
        <color rgb="FFFFFFFF"/>
        <name val="Luciole"/>
        <family val="2"/>
        <scheme val="none"/>
      </font>
      <numFmt numFmtId="170" formatCode="_-* #,##0_-;\-* #,##0_-;_-* &quot;-&quot;??_-;_-@_-"/>
      <fill>
        <patternFill patternType="solid">
          <fgColor theme="1"/>
          <bgColor rgb="FF0000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border>
    </dxf>
    <dxf>
      <font>
        <b val="0"/>
        <color rgb="FFFFFFFF"/>
        <family val="2"/>
      </font>
      <numFmt numFmtId="182" formatCode="_(&quot;€&quot;* #.##0\.00_);_(&quot;€&quot;* \(#.##0\.00\);_(&quot;€&quot;* &quot;-&quot;??_);_(@_)"/>
      <fill>
        <patternFill patternType="solid">
          <bgColor rgb="FF000000"/>
        </patternFill>
      </fill>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border>
    </dxf>
    <dxf>
      <font>
        <b val="0"/>
        <color rgb="FFFFFFFF"/>
        <family val="2"/>
      </font>
      <numFmt numFmtId="182" formatCode="_(&quot;€&quot;* #.##0\.00_);_(&quot;€&quot;* \(#.##0\.00\);_(&quot;€&quot;* &quot;-&quot;??_);_(@_)"/>
      <fill>
        <patternFill patternType="solid">
          <bgColor rgb="FF000000"/>
        </patternFill>
      </fil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top style="thin">
          <color indexed="64"/>
        </top>
        <bottom/>
      </border>
    </dxf>
    <dxf>
      <font>
        <b val="0"/>
        <color rgb="FFFFFFFF"/>
      </font>
      <numFmt numFmtId="1" formatCode="0"/>
      <fill>
        <patternFill patternType="solid">
          <bgColor rgb="FF000000"/>
        </patternFill>
      </fill>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numFmt numFmtId="1" formatCode="0"/>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numFmt numFmtId="1" formatCode="0"/>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numFmt numFmtId="1" formatCode="0"/>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strike val="0"/>
        <outline val="0"/>
        <shadow val="0"/>
        <u val="none"/>
        <vertAlign val="baseline"/>
        <sz val="16"/>
        <color rgb="FFFFFFFF"/>
        <name val="Luciole"/>
        <family val="2"/>
        <scheme val="none"/>
      </font>
      <fill>
        <patternFill patternType="solid">
          <bgColor rgb="FF00000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b val="0"/>
        <color rgb="FFFFFFFF"/>
      </font>
      <fill>
        <patternFill patternType="solid">
          <bgColor rgb="FF00000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b val="0"/>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border diagonalUp="0" diagonalDown="0" outline="0">
        <left style="thin">
          <color indexed="64"/>
        </left>
        <right style="thin">
          <color indexed="64"/>
        </right>
        <top style="thin">
          <color indexed="64"/>
        </top>
        <bottom/>
      </border>
    </dxf>
    <dxf>
      <border diagonalUp="0" diagonalDown="0" outline="0">
        <left/>
        <right style="thin">
          <color indexed="64"/>
        </right>
        <top style="thin">
          <color indexed="64"/>
        </top>
        <bottom/>
      </border>
    </dxf>
    <dxf>
      <font>
        <b val="0"/>
        <color rgb="FFFFFFFF"/>
      </font>
      <fill>
        <patternFill patternType="solid">
          <bgColor rgb="FF000000"/>
        </patternFill>
      </fill>
      <border diagonalUp="0" diagonalDown="0" outline="0">
        <left/>
        <right style="thin">
          <color indexed="64"/>
        </right>
        <top style="thin">
          <color indexed="64"/>
        </top>
        <bottom style="thin">
          <color indexed="64"/>
        </bottom>
      </border>
    </dxf>
    <dxf>
      <border>
        <top style="thin">
          <color rgb="FFFFFFFF"/>
        </top>
      </border>
    </dxf>
    <dxf>
      <border diagonalUp="0" diagonalDown="0">
        <left style="thin">
          <color rgb="FFFFFFFF"/>
        </left>
        <right style="thin">
          <color rgb="FFFFFFFF"/>
        </right>
        <top style="thin">
          <color rgb="FFFFFFFF"/>
        </top>
        <bottom style="thin">
          <color rgb="FFFFFFFF"/>
        </bottom>
      </border>
    </dxf>
    <dxf>
      <font>
        <b val="0"/>
        <color rgb="FFFFFFFF"/>
        <family val="2"/>
      </font>
      <numFmt numFmtId="182" formatCode="_(&quot;€&quot;* #.##0\.00_);_(&quot;€&quot;* \(#.##0\.00\);_(&quot;€&quot;* &quot;-&quot;??_);_(@_)"/>
      <fill>
        <patternFill patternType="solid">
          <bgColor rgb="FF000000"/>
        </patternFill>
      </fill>
    </dxf>
    <dxf>
      <font>
        <b val="0"/>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theme="1"/>
          <bgColor rgb="FF000000"/>
        </patternFill>
      </fill>
      <alignment horizontal="general" vertical="bottom" textRotation="0" wrapText="0" indent="0" justifyLastLine="0" shrinkToFit="0" readingOrder="0"/>
      <border diagonalUp="0" diagonalDown="0" outline="0">
        <left style="thin">
          <color indexed="64"/>
        </left>
        <right style="thin">
          <color indexed="64"/>
        </right>
        <top/>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top style="thin">
          <color indexed="64"/>
        </top>
        <bottom/>
      </border>
    </dxf>
    <dxf>
      <font>
        <color rgb="FFFFFFFF"/>
      </font>
      <fill>
        <patternFill patternType="solid">
          <bgColor rgb="FF000000"/>
        </patternFill>
      </fill>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alignment horizontal="general"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0" indent="0" justifyLastLine="0" shrinkToFit="1" readingOrder="0"/>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numFmt numFmtId="167" formatCode="_(&quot;€&quot;* #,##0.00_);_(&quot;€&quot;* \(#,##0.00\);_(&quot;€&quot;* &quot;-&quot;??_);_(@_)"/>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font>
        <color rgb="FFFFFFFF"/>
      </font>
      <fill>
        <patternFill patternType="solid">
          <bgColor rgb="FF000000"/>
        </patternFill>
      </fill>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border>
    </dxf>
    <dxf>
      <font>
        <color rgb="FFFFFFFF"/>
      </font>
      <fill>
        <patternFill patternType="solid">
          <bgColor rgb="FF000000"/>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color rgb="FFFFFFFF"/>
        <family val="2"/>
      </font>
      <numFmt numFmtId="182" formatCode="_(&quot;€&quot;* #.##0\.00_);_(&quot;€&quot;* \(#.##0\.00\);_(&quot;€&quot;* &quot;-&quot;??_);_(@_)"/>
      <fill>
        <patternFill patternType="solid">
          <bgColor rgb="FF000000"/>
        </patternFill>
      </fill>
    </dxf>
    <dxf>
      <font>
        <b/>
        <i val="0"/>
        <strike val="0"/>
        <condense val="0"/>
        <extend val="0"/>
        <outline val="0"/>
        <shadow val="0"/>
        <u val="none"/>
        <vertAlign val="baseline"/>
        <sz val="12"/>
        <color rgb="FFFFFFFF"/>
        <name val="Luciole"/>
        <family val="2"/>
        <scheme val="none"/>
      </font>
      <numFmt numFmtId="167" formatCode="_(&quot;€&quot;* #,##0.00_);_(&quot;€&quot;* \(#,##0.00\);_(&quot;€&quot;* &quot;-&quot;??_);_(@_)"/>
      <fill>
        <patternFill patternType="solid">
          <fgColor theme="1"/>
          <bgColor rgb="FF000000"/>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ill>
        <patternFill patternType="none">
          <fgColor indexed="64"/>
          <bgColor indexed="65"/>
        </patternFill>
      </fill>
    </dxf>
    <dxf>
      <font>
        <color rgb="FFFFFFFF"/>
      </font>
      <fill>
        <patternFill patternType="solid">
          <fgColor indexed="64"/>
          <bgColor rgb="FF000000"/>
        </patternFill>
      </fill>
    </dxf>
    <dxf>
      <font>
        <color rgb="FFFFFFFF"/>
      </font>
      <fill>
        <patternFill patternType="solid">
          <fgColor indexed="64"/>
          <bgColor rgb="FF000000"/>
        </patternFill>
      </fill>
    </dxf>
    <dxf>
      <font>
        <b/>
        <i val="0"/>
        <strike val="0"/>
        <condense val="0"/>
        <extend val="0"/>
        <outline val="0"/>
        <shadow val="0"/>
        <u val="none"/>
        <vertAlign val="baseline"/>
        <sz val="10"/>
        <color rgb="FFFFFFFF"/>
        <name val="Arial"/>
        <scheme val="none"/>
      </font>
      <fill>
        <patternFill patternType="solid">
          <fgColor indexed="64"/>
          <bgColor rgb="FF000000"/>
        </patternFill>
      </fill>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rgb="FFFFFFFF"/>
        <name val="Luciole"/>
        <family val="2"/>
        <scheme val="none"/>
      </font>
      <numFmt numFmtId="19" formatCode="dd/mm/yyyy"/>
      <fill>
        <patternFill patternType="solid">
          <fgColor indexed="64"/>
          <bgColor rgb="FF000000"/>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9" formatCode="dd/mm/yyyy"/>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Luciole"/>
        <family val="2"/>
        <scheme val="none"/>
      </font>
    </dxf>
    <dxf>
      <border outline="0">
        <bottom style="thin">
          <color indexed="64"/>
        </bottom>
      </border>
    </dxf>
    <dxf>
      <font>
        <strike val="0"/>
        <outline val="0"/>
        <shadow val="0"/>
        <u val="none"/>
        <vertAlign val="baseline"/>
        <sz val="12"/>
        <name val="Luciole"/>
        <family val="2"/>
        <scheme val="none"/>
      </font>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medium">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medium">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top style="thin">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rgb="FFFFFFFF"/>
        <name val="Luciole"/>
        <family val="2"/>
        <scheme val="none"/>
      </font>
      <numFmt numFmtId="178" formatCode="_(&quot;€&quot;* #,##0_);_(&quot;€&quot;* \(#,##0\);_(&quot;€&quot;*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border diagonalUp="0" diagonalDown="0" outline="0">
        <left/>
        <right style="thin">
          <color indexed="64"/>
        </right>
        <top style="thin">
          <color indexed="64"/>
        </top>
        <bottom style="thin">
          <color indexed="64"/>
        </bottom>
      </border>
    </dxf>
    <dxf>
      <border>
        <top style="thin">
          <color indexed="64"/>
        </top>
      </border>
    </dxf>
    <dxf>
      <font>
        <strike val="0"/>
        <outline val="0"/>
        <shadow val="0"/>
        <u val="none"/>
        <vertAlign val="baseline"/>
        <sz val="12"/>
        <color rgb="FFFFFFFF"/>
        <name val="Luciole"/>
        <family val="2"/>
        <scheme val="none"/>
      </font>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dxf>
    <dxf>
      <border>
        <bottom style="thin">
          <color indexed="64"/>
        </bottom>
      </border>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style="dashed">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79" formatCode="0.0%"/>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6"/>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dashed">
          <color indexed="64"/>
        </lef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numFmt numFmtId="19" formatCode="dd/mm/yyyy"/>
      <fill>
        <patternFill patternType="solid">
          <fgColor indexed="64"/>
          <bgColor rgb="FF000000"/>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Luciole"/>
        <family val="2"/>
        <scheme val="none"/>
      </font>
      <fill>
        <patternFill patternType="solid">
          <fgColor indexed="64"/>
          <bgColor theme="0"/>
        </patternFill>
      </fill>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Luciole"/>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rgb="FFFFFFFF"/>
        <name val="Luciole"/>
        <family val="2"/>
        <scheme val="none"/>
      </font>
      <fill>
        <patternFill patternType="solid">
          <fgColor indexed="64"/>
          <bgColor rgb="FF000000"/>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Luciole"/>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rgb="FFFFFFFF"/>
        <name val="Luciole"/>
        <family val="2"/>
        <scheme val="none"/>
      </font>
      <numFmt numFmtId="178" formatCode="_(&quot;€&quot;* #,##0_);_(&quot;€&quot;* \(#,##0\);_(&quot;€&quot;* &quot;-&quot;??_);_(@_)"/>
      <fill>
        <patternFill patternType="solid">
          <fgColor indexed="64"/>
          <bgColor rgb="FF000000"/>
        </patternFill>
      </fill>
      <alignment horizontal="general" vertical="center" textRotation="0" wrapText="0" indent="0" justifyLastLine="0" shrinkToFit="0" readingOrder="0"/>
      <border diagonalUp="0" diagonalDown="0" outline="0">
        <left/>
        <right/>
        <top style="thin">
          <color indexed="64"/>
        </top>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right/>
        <top style="thin">
          <color indexed="64"/>
        </top>
        <bottom/>
      </border>
    </dxf>
    <dxf>
      <border outline="0">
        <left style="thin">
          <color indexed="64"/>
        </left>
        <right style="thin">
          <color indexed="64"/>
        </right>
        <top style="thin">
          <color indexed="64"/>
        </top>
        <bottom style="thin">
          <color indexed="64"/>
        </bottom>
      </border>
    </dxf>
    <dxf>
      <font>
        <b/>
        <strike val="0"/>
        <outline val="0"/>
        <shadow val="0"/>
        <u val="none"/>
        <vertAlign val="baseline"/>
        <sz val="12"/>
        <color rgb="FFFFFFFF"/>
        <name val="Luciole"/>
        <family val="2"/>
        <scheme val="none"/>
      </font>
    </dxf>
    <dxf>
      <font>
        <b val="0"/>
        <i val="0"/>
        <strike val="0"/>
        <condense val="0"/>
        <extend val="0"/>
        <outline val="0"/>
        <shadow val="0"/>
        <u val="none"/>
        <vertAlign val="baseline"/>
        <sz val="10"/>
        <color theme="1"/>
        <name val="Luciole"/>
        <family val="2"/>
        <scheme val="none"/>
      </font>
      <numFmt numFmtId="172" formatCode="m/d/yyyy"/>
      <fill>
        <patternFill patternType="solid">
          <fgColor indexed="64"/>
          <bgColor theme="0"/>
        </patternFill>
      </fill>
      <alignment horizontal="general" vertical="center" textRotation="0" wrapText="0" indent="0" justifyLastLine="0" shrinkToFit="1"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numFmt numFmtId="181" formatCode="d/m/yyyy\ h:mm"/>
      <fill>
        <patternFill patternType="solid">
          <fgColor indexed="64"/>
          <bgColor rgb="FF00000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FFFFFF"/>
        <name val="Luciole"/>
        <family val="2"/>
        <scheme val="none"/>
      </font>
      <numFmt numFmtId="172" formatCode="m/d/yyyy"/>
      <fill>
        <patternFill patternType="solid">
          <fgColor indexed="64"/>
          <bgColor rgb="FF000000"/>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Luciole"/>
        <family val="2"/>
        <scheme val="none"/>
      </font>
      <numFmt numFmtId="172" formatCode="m/d/yyyy"/>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1"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right"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Luciole"/>
        <family val="2"/>
        <scheme val="none"/>
      </font>
    </dxf>
    <dxf>
      <border outline="0">
        <bottom style="thin">
          <color indexed="64"/>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righ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right" vertical="center" textRotation="0" wrapText="0" indent="0" justifyLastLine="0" shrinkToFit="1"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Luciole"/>
        <family val="2"/>
        <scheme val="none"/>
      </font>
      <fill>
        <patternFill patternType="solid">
          <fgColor indexed="64"/>
          <bgColor theme="0"/>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color theme="1"/>
        <name val="Luciole"/>
        <family val="2"/>
        <scheme val="none"/>
      </font>
    </dxf>
    <dxf>
      <border outline="0">
        <bottom style="thin">
          <color indexed="64"/>
        </bottom>
      </border>
    </dxf>
    <dxf>
      <font>
        <strike val="0"/>
        <outline val="0"/>
        <shadow val="0"/>
        <u val="none"/>
        <vertAlign val="baseline"/>
        <sz val="10"/>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rgb="FFFFFFFF"/>
        <name val="Luciole"/>
        <family val="2"/>
        <scheme val="none"/>
      </font>
      <fill>
        <patternFill patternType="solid">
          <bgColor rgb="FF000000"/>
        </patternFill>
      </fill>
      <alignment vertical="center" textRotation="0" wrapText="0" indent="0" justifyLastLine="0" readingOrder="0"/>
      <border diagonalUp="0" diagonalDown="0" outline="0">
        <left/>
        <right style="thin">
          <color indexed="64"/>
        </right>
        <top style="thin">
          <color indexed="64"/>
        </top>
        <bottom style="thin">
          <color indexed="64"/>
        </bottom>
      </border>
    </dxf>
    <dxf>
      <border outline="0">
        <top style="thin">
          <color indexed="64"/>
        </top>
      </border>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dxf>
    <dxf>
      <border outline="0">
        <left style="thin">
          <color indexed="64"/>
        </left>
        <right style="thin">
          <color indexed="64"/>
        </right>
        <top style="thin">
          <color indexed="64"/>
        </top>
        <bottom style="thin">
          <color indexed="64"/>
        </bottom>
      </border>
    </dxf>
    <dxf>
      <font>
        <strike val="0"/>
        <outline val="0"/>
        <shadow val="0"/>
        <u val="none"/>
        <vertAlign val="baseline"/>
        <sz val="10"/>
        <color rgb="FFFFFFFF"/>
        <name val="Luciole"/>
        <family val="2"/>
        <scheme val="none"/>
      </font>
      <fill>
        <patternFill patternType="solid">
          <bgColor rgb="FF000000"/>
        </patternFill>
      </fill>
      <alignment vertical="center" textRotation="0" wrapText="0" indent="0" justifyLastLine="0" readingOrder="0"/>
    </dxf>
    <dxf>
      <border outline="0">
        <bottom style="thin">
          <color indexed="64"/>
        </bottom>
      </border>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bottom/>
      </border>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numFmt numFmtId="167" formatCode="_(&quot;€&quot;* #,##0.00_);_(&quot;€&quot;* \(#,##0.00\);_(&quot;€&quot;*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FFFF"/>
        <name val="Luciole"/>
        <family val="2"/>
        <scheme val="none"/>
      </font>
      <numFmt numFmtId="172" formatCode="m/d/yyyy"/>
      <fill>
        <patternFill patternType="solid">
          <bgColor rgb="FF000000"/>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rgb="FFFFFFFF"/>
        <name val="Luciole"/>
        <family val="2"/>
        <scheme val="none"/>
      </font>
      <fill>
        <patternFill patternType="solid">
          <bgColor rgb="FF000000"/>
        </patternFill>
      </fill>
      <alignment vertical="center" textRotation="0" wrapText="0" indent="0" justifyLastLine="0" readingOrder="0"/>
    </dxf>
    <dxf>
      <border outline="0">
        <bottom style="thin">
          <color indexed="64"/>
        </bottom>
      </border>
    </dxf>
    <dxf>
      <font>
        <b/>
        <i val="0"/>
        <strike val="0"/>
        <condense val="0"/>
        <extend val="0"/>
        <outline val="0"/>
        <shadow val="0"/>
        <u val="none"/>
        <vertAlign val="baseline"/>
        <sz val="10"/>
        <color rgb="FFFFFFFF"/>
        <name val="Luciole"/>
        <family val="2"/>
        <scheme val="none"/>
      </font>
      <fill>
        <patternFill patternType="solid">
          <bgColor rgb="FF00000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1" readingOrder="0"/>
      <border diagonalUp="0" diagonalDown="0">
        <left style="thin">
          <color rgb="FFFFFFFF"/>
        </left>
        <right style="thin">
          <color rgb="FFFFFFFF"/>
        </right>
        <top style="thin">
          <color rgb="FFFFFFFF"/>
        </top>
        <bottom style="thin">
          <color rgb="FFFFFFFF"/>
        </bottom>
      </border>
    </dxf>
    <dxf>
      <font>
        <b/>
        <i val="0"/>
        <strike val="0"/>
        <condense val="0"/>
        <extend val="0"/>
        <outline val="0"/>
        <shadow val="0"/>
        <u val="none"/>
        <vertAlign val="baseline"/>
        <sz val="12"/>
        <color rgb="FFFFFFFF"/>
        <name val="Luciole"/>
        <family val="2"/>
        <scheme val="none"/>
      </font>
      <fill>
        <patternFill patternType="solid">
          <fgColor indexed="64"/>
          <bgColor rgb="FF000000"/>
        </patternFill>
      </fill>
      <alignment horizontal="general" vertical="center" textRotation="0" wrapText="0" indent="0" justifyLastLine="0" shrinkToFit="1" readingOrder="0"/>
      <border diagonalUp="0" diagonalDown="0">
        <left style="thin">
          <color rgb="FFFFFFFF"/>
        </left>
        <right style="thin">
          <color rgb="FFFFFFFF"/>
        </right>
        <top style="thin">
          <color rgb="FFFFFFFF"/>
        </top>
        <bottom style="thin">
          <color rgb="FFFFFFFF"/>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border>
        <top style="thin">
          <color indexed="64"/>
        </top>
      </border>
    </dxf>
    <dxf>
      <font>
        <strike val="0"/>
        <outline val="0"/>
        <shadow val="0"/>
        <u val="none"/>
        <vertAlign val="baseline"/>
        <color rgb="FFFFFFFF"/>
        <name val="Luciole"/>
        <family val="2"/>
        <scheme val="none"/>
      </font>
      <numFmt numFmtId="171" formatCode="&quot;€&quot;* #\ ##0.00;&quot;€&quot;* \-#\ ##0.00"/>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FFFFFF"/>
        <name val="Luciole"/>
        <family val="2"/>
        <scheme val="none"/>
      </font>
      <numFmt numFmtId="185" formatCode="&quot;€&quot;* #\ ##0\.00;&quot;€&quot;* \-#\ ##0\.00"/>
      <fill>
        <patternFill patternType="solid">
          <bgColor rgb="FF000000"/>
        </patternFill>
      </fill>
      <alignment horizontal="general" vertical="center" textRotation="0" wrapText="0" indent="0" justifyLastLine="0" shrinkToFit="1" readingOrder="0"/>
    </dxf>
    <dxf>
      <font>
        <b val="0"/>
        <i val="0"/>
        <strike val="0"/>
        <condense val="0"/>
        <extend val="0"/>
        <outline val="0"/>
        <shadow val="0"/>
        <u val="none"/>
        <vertAlign val="baseline"/>
        <sz val="12"/>
        <color rgb="FFFFFFFF"/>
        <name val="Luciole"/>
        <family val="2"/>
        <scheme val="none"/>
      </font>
      <fill>
        <patternFill patternType="solid">
          <bgColor rgb="FF000000"/>
        </patternFill>
      </fill>
      <alignment horizontal="center" vertical="center" textRotation="0" wrapText="0" indent="0" justifyLastLine="0" shrinkToFit="1" readingOrder="0"/>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11"/>
        <color rgb="FFFFFFFF"/>
        <name val="Luciole"/>
        <family val="2"/>
        <scheme val="none"/>
      </font>
      <numFmt numFmtId="170" formatCode="_-* #,##0_-;\-* #,##0_-;_-* &quot;-&quot;??_-;_-@_-"/>
      <fill>
        <patternFill patternType="solid">
          <bgColor rgb="FF000000"/>
        </patternFill>
      </fill>
      <alignment vertical="center" textRotation="0" wrapText="0" indent="0" justifyLastLine="0" readingOrder="0"/>
    </dxf>
    <dxf>
      <font>
        <strike val="0"/>
        <outline val="0"/>
        <shadow val="0"/>
        <u val="none"/>
        <vertAlign val="baseline"/>
        <sz val="11"/>
        <color rgb="FFFFFFFF"/>
        <name val="Luciole"/>
        <family val="2"/>
        <scheme val="none"/>
      </font>
      <fill>
        <patternFill patternType="solid">
          <bgColor rgb="FF000000"/>
        </patternFill>
      </fill>
      <alignment horizontal="general" vertical="top" textRotation="0" wrapText="0" indent="0" justifyLastLine="0" shrinkToFit="1" readingOrder="0"/>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dxf>
    <dxf>
      <font>
        <b val="0"/>
        <i val="0"/>
        <strike val="0"/>
        <condense val="0"/>
        <extend val="0"/>
        <outline val="0"/>
        <shadow val="0"/>
        <u val="none"/>
        <vertAlign val="baseline"/>
        <sz val="11"/>
        <color rgb="FFFFFFFF"/>
        <name val="Luciole"/>
        <family val="2"/>
        <scheme val="none"/>
      </font>
      <numFmt numFmtId="165" formatCode="&quot;€&quot;#,##0.00_);\(&quot;€&quot;#,##0.00\)"/>
      <fill>
        <patternFill patternType="solid">
          <bgColor rgb="FF000000"/>
        </patternFill>
      </fill>
      <alignment horizontal="center" vertical="center" textRotation="0" wrapText="0" indent="0" justifyLastLine="0" shrinkToFit="0" readingOrder="0"/>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11"/>
        <color rgb="FFFFFFFF"/>
        <name val="Luciole"/>
        <family val="2"/>
        <scheme val="none"/>
      </font>
      <numFmt numFmtId="170" formatCode="_-* #,##0_-;\-* #,##0_-;_-* &quot;-&quot;??_-;_-@_-"/>
      <fill>
        <patternFill patternType="solid">
          <bgColor rgb="FF000000"/>
        </patternFill>
      </fill>
      <alignment vertical="center" textRotation="0" wrapText="0" indent="0" justifyLastLine="0" readingOrder="0"/>
    </dxf>
    <dxf>
      <font>
        <strike val="0"/>
        <outline val="0"/>
        <shadow val="0"/>
        <u val="none"/>
        <vertAlign val="baseline"/>
        <sz val="11"/>
        <color rgb="FFFFFFFF"/>
        <name val="Luciole"/>
        <family val="2"/>
        <scheme val="none"/>
      </font>
      <numFmt numFmtId="172" formatCode="m/d/yyyy"/>
      <fill>
        <patternFill patternType="solid">
          <bgColor rgb="FF000000"/>
        </patternFill>
      </fill>
      <alignment horizontal="general" vertical="center" textRotation="0" wrapText="0" indent="0" justifyLastLine="0" shrinkToFit="1" readingOrder="0"/>
    </dxf>
    <dxf>
      <font>
        <strike val="0"/>
        <outline val="0"/>
        <shadow val="0"/>
        <u val="none"/>
        <vertAlign val="baseline"/>
        <sz val="11"/>
        <color rgb="FFFFFFFF"/>
        <name val="Luciole"/>
        <family val="2"/>
        <scheme val="none"/>
      </font>
      <numFmt numFmtId="172" formatCode="m/d/yyyy"/>
      <fill>
        <patternFill patternType="solid">
          <bgColor rgb="FF000000"/>
        </patternFill>
      </fill>
      <alignment vertical="center" textRotation="0" wrapText="0" indent="0" justifyLastLine="0" readingOrder="0"/>
      <border diagonalUp="0" diagonalDown="0" outline="0">
        <left style="thin">
          <color indexed="64"/>
        </left>
        <right/>
        <top/>
        <bottom/>
      </border>
    </dxf>
    <dxf>
      <font>
        <strike val="0"/>
        <outline val="0"/>
        <shadow val="0"/>
        <u val="none"/>
        <vertAlign val="baseline"/>
        <sz val="11"/>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border diagonalUp="0" diagonalDown="0" outline="0">
        <left/>
        <right style="thin">
          <color indexed="64"/>
        </right>
        <top style="thin">
          <color indexed="64"/>
        </top>
        <bottom style="thin">
          <color indexed="64"/>
        </bottom>
      </border>
    </dxf>
    <dxf>
      <font>
        <strike val="0"/>
        <outline val="0"/>
        <shadow val="0"/>
        <u val="none"/>
        <vertAlign val="baseline"/>
        <sz val="12"/>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12"/>
        <color rgb="FFFFFFFF"/>
        <name val="Luciole"/>
        <family val="2"/>
        <scheme val="none"/>
      </font>
      <numFmt numFmtId="173" formatCode="_(* #,##0_);_(* \(#,##0\);_(* &quot;-&quot;??_);_(@_)"/>
      <fill>
        <patternFill patternType="solid">
          <fgColor indexed="64"/>
          <bgColor rgb="FF000000"/>
        </patternFill>
      </fill>
      <alignment horizontal="general" vertical="center" textRotation="0" wrapText="0" indent="0" justifyLastLine="0" shrinkToFit="0" readingOrder="0"/>
      <border diagonalUp="0" diagonalDown="0" outline="0">
        <left style="thin">
          <color rgb="FFFFFFFF"/>
        </left>
        <right/>
        <top style="thin">
          <color rgb="FFFFFFFF"/>
        </top>
        <bottom style="thin">
          <color rgb="FFFFFFFF"/>
        </bottom>
      </border>
    </dxf>
    <dxf>
      <font>
        <strike val="0"/>
        <outline val="0"/>
        <shadow val="0"/>
        <u val="none"/>
        <vertAlign val="baseline"/>
        <sz val="12"/>
        <color rgb="FFFFFFFF"/>
        <name val="Luciole"/>
        <family val="2"/>
        <scheme val="none"/>
      </font>
      <numFmt numFmtId="173" formatCode="_(* #,##0_);_(* \(#,##0\);_(*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rgb="FFFFFFFF"/>
        <name val="Luciole"/>
        <family val="2"/>
        <scheme val="none"/>
      </font>
      <numFmt numFmtId="170" formatCode="_-* #,##0_-;\-* #,##0_-;_-* &quot;-&quot;??_-;_-@_-"/>
      <fill>
        <patternFill patternType="solid">
          <bgColor rgb="FF000000"/>
        </patternFill>
      </fill>
      <alignment vertical="center" textRotation="0" wrapText="0" indent="0" justifyLastLine="0" readingOrder="0"/>
      <border diagonalUp="0" diagonalDown="0" outline="0">
        <left style="thin">
          <color indexed="64"/>
        </left>
        <right style="thin">
          <color rgb="FFFFFFFF"/>
        </right>
        <top style="thin">
          <color indexed="64"/>
        </top>
        <bottom style="thin">
          <color indexed="64"/>
        </bottom>
      </border>
    </dxf>
    <dxf>
      <font>
        <strike val="0"/>
        <outline val="0"/>
        <shadow val="0"/>
        <u val="none"/>
        <vertAlign val="baseline"/>
        <sz val="12"/>
        <color rgb="FFFFFFFF"/>
        <name val="Luciole"/>
        <family val="2"/>
        <scheme val="none"/>
      </font>
      <numFmt numFmtId="170" formatCode="_-* #,##0_-;\-* #,##0_-;_-*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rgb="FFFFFFFF"/>
        <name val="Luciole"/>
        <family val="2"/>
        <scheme val="none"/>
      </font>
      <numFmt numFmtId="170" formatCode="_-* #,##0_-;\-* #,##0_-;_-* &quot;-&quot;??_-;_-@_-"/>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rgb="FFFFFFFF"/>
        <name val="Luciole"/>
        <family val="2"/>
        <scheme val="none"/>
      </font>
      <numFmt numFmtId="0" formatCode="General"/>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dxf>
    <dxf>
      <border>
        <bottom style="thin">
          <color indexed="64"/>
        </bottom>
      </border>
    </dxf>
    <dxf>
      <font>
        <strike val="0"/>
        <outline val="0"/>
        <shadow val="0"/>
        <u val="none"/>
        <vertAlign val="baseline"/>
        <sz val="9"/>
        <color rgb="FFFFFFFF"/>
        <name val="Luciole"/>
        <family val="2"/>
        <scheme val="none"/>
      </font>
      <fill>
        <patternFill patternType="solid">
          <bgColor rgb="FF000000"/>
        </patternFill>
      </fill>
      <alignment vertical="center" textRotation="0" wrapText="0" indent="0" justifyLastLine="0" readingOrder="0"/>
      <border diagonalUp="0" diagonalDown="0"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EVOLUTION CA 12 mois Lofts </a:t>
            </a:r>
          </a:p>
        </c:rich>
      </c:tx>
      <c:overlay val="0"/>
      <c:spPr>
        <a:noFill/>
        <a:ln>
          <a:noFill/>
        </a:ln>
        <a:effectLst/>
      </c:spPr>
    </c:title>
    <c:autoTitleDeleted val="0"/>
    <c:plotArea>
      <c:layout/>
      <c:lineChart>
        <c:grouping val="stacked"/>
        <c:varyColors val="0"/>
        <c:ser>
          <c:idx val="0"/>
          <c:order val="3"/>
          <c:spPr>
            <a:ln w="28575" cap="rnd">
              <a:solidFill>
                <a:schemeClr val="accent1"/>
              </a:solidFill>
              <a:round/>
            </a:ln>
            <a:effectLst/>
          </c:spPr>
          <c:marker>
            <c:symbol val="none"/>
          </c:marker>
          <c:cat>
            <c:numRef>
              <c:f>Accueil!$O$4:$O$492</c:f>
              <c:numCache>
                <c:formatCode>m/d/yyyy</c:formatCode>
                <c:ptCount val="489"/>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45613</c:v>
                </c:pt>
                <c:pt idx="395">
                  <c:v>45612</c:v>
                </c:pt>
                <c:pt idx="396">
                  <c:v>45611</c:v>
                </c:pt>
                <c:pt idx="397">
                  <c:v>45610</c:v>
                </c:pt>
                <c:pt idx="398">
                  <c:v>45609</c:v>
                </c:pt>
                <c:pt idx="399">
                  <c:v>45608</c:v>
                </c:pt>
                <c:pt idx="400">
                  <c:v>45607</c:v>
                </c:pt>
                <c:pt idx="401">
                  <c:v>45606</c:v>
                </c:pt>
                <c:pt idx="402">
                  <c:v>45605</c:v>
                </c:pt>
                <c:pt idx="403">
                  <c:v>45604</c:v>
                </c:pt>
                <c:pt idx="404">
                  <c:v>45603</c:v>
                </c:pt>
                <c:pt idx="405">
                  <c:v>45602</c:v>
                </c:pt>
                <c:pt idx="406">
                  <c:v>45601</c:v>
                </c:pt>
                <c:pt idx="407">
                  <c:v>45600</c:v>
                </c:pt>
                <c:pt idx="408">
                  <c:v>45599</c:v>
                </c:pt>
                <c:pt idx="409">
                  <c:v>45598</c:v>
                </c:pt>
                <c:pt idx="410">
                  <c:v>45597</c:v>
                </c:pt>
                <c:pt idx="411">
                  <c:v>45594</c:v>
                </c:pt>
                <c:pt idx="412">
                  <c:v>45593</c:v>
                </c:pt>
                <c:pt idx="413">
                  <c:v>45592</c:v>
                </c:pt>
                <c:pt idx="414">
                  <c:v>45591</c:v>
                </c:pt>
                <c:pt idx="415">
                  <c:v>45590</c:v>
                </c:pt>
                <c:pt idx="416">
                  <c:v>45589</c:v>
                </c:pt>
                <c:pt idx="417">
                  <c:v>45588</c:v>
                </c:pt>
                <c:pt idx="418">
                  <c:v>45587</c:v>
                </c:pt>
                <c:pt idx="419">
                  <c:v>45586</c:v>
                </c:pt>
                <c:pt idx="420">
                  <c:v>45585</c:v>
                </c:pt>
                <c:pt idx="421">
                  <c:v>45584</c:v>
                </c:pt>
                <c:pt idx="422">
                  <c:v>45583</c:v>
                </c:pt>
                <c:pt idx="423">
                  <c:v>45582</c:v>
                </c:pt>
                <c:pt idx="424">
                  <c:v>45581</c:v>
                </c:pt>
                <c:pt idx="425">
                  <c:v>45580</c:v>
                </c:pt>
                <c:pt idx="426">
                  <c:v>45579</c:v>
                </c:pt>
                <c:pt idx="427">
                  <c:v>45578</c:v>
                </c:pt>
                <c:pt idx="428">
                  <c:v>45577</c:v>
                </c:pt>
                <c:pt idx="429">
                  <c:v>45576</c:v>
                </c:pt>
                <c:pt idx="430">
                  <c:v>45575</c:v>
                </c:pt>
                <c:pt idx="431">
                  <c:v>45574</c:v>
                </c:pt>
                <c:pt idx="432">
                  <c:v>45573</c:v>
                </c:pt>
                <c:pt idx="433">
                  <c:v>45572</c:v>
                </c:pt>
                <c:pt idx="434">
                  <c:v>45571</c:v>
                </c:pt>
                <c:pt idx="435">
                  <c:v>45570</c:v>
                </c:pt>
                <c:pt idx="436">
                  <c:v>45569</c:v>
                </c:pt>
                <c:pt idx="437">
                  <c:v>45568</c:v>
                </c:pt>
                <c:pt idx="438">
                  <c:v>45567</c:v>
                </c:pt>
                <c:pt idx="439">
                  <c:v>45566</c:v>
                </c:pt>
                <c:pt idx="440">
                  <c:v>45565</c:v>
                </c:pt>
                <c:pt idx="441">
                  <c:v>45564</c:v>
                </c:pt>
                <c:pt idx="442">
                  <c:v>45563</c:v>
                </c:pt>
                <c:pt idx="443">
                  <c:v>45562</c:v>
                </c:pt>
                <c:pt idx="444">
                  <c:v>45561</c:v>
                </c:pt>
                <c:pt idx="445">
                  <c:v>45560</c:v>
                </c:pt>
                <c:pt idx="446">
                  <c:v>45559</c:v>
                </c:pt>
                <c:pt idx="447">
                  <c:v>45558</c:v>
                </c:pt>
                <c:pt idx="448">
                  <c:v>45557</c:v>
                </c:pt>
                <c:pt idx="449">
                  <c:v>45556</c:v>
                </c:pt>
                <c:pt idx="450">
                  <c:v>45555</c:v>
                </c:pt>
                <c:pt idx="451">
                  <c:v>45554</c:v>
                </c:pt>
                <c:pt idx="452">
                  <c:v>45553</c:v>
                </c:pt>
                <c:pt idx="453">
                  <c:v>45552</c:v>
                </c:pt>
                <c:pt idx="454">
                  <c:v>45551</c:v>
                </c:pt>
                <c:pt idx="455">
                  <c:v>45550</c:v>
                </c:pt>
                <c:pt idx="456">
                  <c:v>45549</c:v>
                </c:pt>
                <c:pt idx="457">
                  <c:v>45548</c:v>
                </c:pt>
                <c:pt idx="458">
                  <c:v>45547</c:v>
                </c:pt>
                <c:pt idx="459">
                  <c:v>45546</c:v>
                </c:pt>
                <c:pt idx="460">
                  <c:v>45545</c:v>
                </c:pt>
                <c:pt idx="461">
                  <c:v>45544</c:v>
                </c:pt>
                <c:pt idx="462">
                  <c:v>45543</c:v>
                </c:pt>
                <c:pt idx="463">
                  <c:v>45542</c:v>
                </c:pt>
                <c:pt idx="464">
                  <c:v>45541</c:v>
                </c:pt>
                <c:pt idx="465">
                  <c:v>45540</c:v>
                </c:pt>
                <c:pt idx="466">
                  <c:v>45539</c:v>
                </c:pt>
                <c:pt idx="467">
                  <c:v>45538</c:v>
                </c:pt>
                <c:pt idx="468">
                  <c:v>45537</c:v>
                </c:pt>
                <c:pt idx="469">
                  <c:v>45536</c:v>
                </c:pt>
                <c:pt idx="470">
                  <c:v>45535</c:v>
                </c:pt>
                <c:pt idx="471">
                  <c:v>45534</c:v>
                </c:pt>
                <c:pt idx="472">
                  <c:v>45533</c:v>
                </c:pt>
                <c:pt idx="473">
                  <c:v>45532</c:v>
                </c:pt>
                <c:pt idx="474">
                  <c:v>45531</c:v>
                </c:pt>
                <c:pt idx="475">
                  <c:v>45530</c:v>
                </c:pt>
                <c:pt idx="476">
                  <c:v>45529</c:v>
                </c:pt>
                <c:pt idx="477">
                  <c:v>45528</c:v>
                </c:pt>
                <c:pt idx="478">
                  <c:v>45527</c:v>
                </c:pt>
                <c:pt idx="479">
                  <c:v>45526</c:v>
                </c:pt>
                <c:pt idx="480">
                  <c:v>45525</c:v>
                </c:pt>
                <c:pt idx="481">
                  <c:v>45524</c:v>
                </c:pt>
                <c:pt idx="482">
                  <c:v>45523</c:v>
                </c:pt>
                <c:pt idx="483">
                  <c:v>45522</c:v>
                </c:pt>
                <c:pt idx="484">
                  <c:v>45521</c:v>
                </c:pt>
                <c:pt idx="485">
                  <c:v>45520</c:v>
                </c:pt>
                <c:pt idx="486">
                  <c:v>45519</c:v>
                </c:pt>
                <c:pt idx="487">
                  <c:v>45516</c:v>
                </c:pt>
                <c:pt idx="488">
                  <c:v>45515</c:v>
                </c:pt>
              </c:numCache>
            </c:numRef>
          </c:cat>
          <c:val>
            <c:numRef>
              <c:f>Accueil!$P$4:$P$492</c:f>
              <c:numCache>
                <c:formatCode>_("€"* #\ ##0.00_);_("€"* \(#\ ##0.00\);_("€"* "-"??_);_(@_)</c:formatCode>
                <c:ptCount val="489"/>
                <c:pt idx="0">
                  <c:v>114397.26</c:v>
                </c:pt>
                <c:pt idx="1">
                  <c:v>114407.67</c:v>
                </c:pt>
                <c:pt idx="2">
                  <c:v>114422.72</c:v>
                </c:pt>
                <c:pt idx="3">
                  <c:v>114437.78</c:v>
                </c:pt>
                <c:pt idx="4">
                  <c:v>114564.84</c:v>
                </c:pt>
                <c:pt idx="5">
                  <c:v>114568.65</c:v>
                </c:pt>
                <c:pt idx="6">
                  <c:v>114594.15</c:v>
                </c:pt>
                <c:pt idx="7">
                  <c:v>114742.63</c:v>
                </c:pt>
                <c:pt idx="8">
                  <c:v>114751.26</c:v>
                </c:pt>
                <c:pt idx="9">
                  <c:v>114919.23</c:v>
                </c:pt>
                <c:pt idx="10">
                  <c:v>114906.24000000001</c:v>
                </c:pt>
                <c:pt idx="11">
                  <c:v>114893.25</c:v>
                </c:pt>
                <c:pt idx="12">
                  <c:v>114931.52</c:v>
                </c:pt>
                <c:pt idx="13">
                  <c:v>115046.73</c:v>
                </c:pt>
                <c:pt idx="14">
                  <c:v>115135.1</c:v>
                </c:pt>
                <c:pt idx="15">
                  <c:v>115176.36</c:v>
                </c:pt>
                <c:pt idx="16">
                  <c:v>115217.61</c:v>
                </c:pt>
                <c:pt idx="17">
                  <c:v>115258.86</c:v>
                </c:pt>
                <c:pt idx="18">
                  <c:v>115253.99</c:v>
                </c:pt>
                <c:pt idx="19">
                  <c:v>115249.11</c:v>
                </c:pt>
                <c:pt idx="20">
                  <c:v>115092.54</c:v>
                </c:pt>
                <c:pt idx="21">
                  <c:v>115145.12</c:v>
                </c:pt>
                <c:pt idx="22">
                  <c:v>115185.8</c:v>
                </c:pt>
                <c:pt idx="23">
                  <c:v>115182.69</c:v>
                </c:pt>
                <c:pt idx="24">
                  <c:v>115179.85</c:v>
                </c:pt>
                <c:pt idx="25">
                  <c:v>115177</c:v>
                </c:pt>
                <c:pt idx="26">
                  <c:v>115326.28</c:v>
                </c:pt>
                <c:pt idx="27">
                  <c:v>115322.87</c:v>
                </c:pt>
                <c:pt idx="28">
                  <c:v>115203.66</c:v>
                </c:pt>
                <c:pt idx="29">
                  <c:v>115330.98</c:v>
                </c:pt>
                <c:pt idx="30">
                  <c:v>115611</c:v>
                </c:pt>
                <c:pt idx="31">
                  <c:v>115891.02</c:v>
                </c:pt>
                <c:pt idx="32">
                  <c:v>115921.57</c:v>
                </c:pt>
                <c:pt idx="33">
                  <c:v>115800.55</c:v>
                </c:pt>
                <c:pt idx="34">
                  <c:v>115845.53</c:v>
                </c:pt>
                <c:pt idx="35">
                  <c:v>115890.5</c:v>
                </c:pt>
                <c:pt idx="36">
                  <c:v>115807.02</c:v>
                </c:pt>
                <c:pt idx="37">
                  <c:v>115871.54</c:v>
                </c:pt>
                <c:pt idx="38">
                  <c:v>116197.22</c:v>
                </c:pt>
                <c:pt idx="39">
                  <c:v>116190.21</c:v>
                </c:pt>
                <c:pt idx="40">
                  <c:v>115918.9</c:v>
                </c:pt>
                <c:pt idx="41">
                  <c:v>115895.72</c:v>
                </c:pt>
                <c:pt idx="42">
                  <c:v>116042.37</c:v>
                </c:pt>
                <c:pt idx="43">
                  <c:v>116189.03</c:v>
                </c:pt>
                <c:pt idx="44">
                  <c:v>116335.67999999999</c:v>
                </c:pt>
                <c:pt idx="45">
                  <c:v>116219.8</c:v>
                </c:pt>
                <c:pt idx="46">
                  <c:v>116103.92</c:v>
                </c:pt>
                <c:pt idx="47">
                  <c:v>115918.82</c:v>
                </c:pt>
                <c:pt idx="48">
                  <c:v>115901.95</c:v>
                </c:pt>
                <c:pt idx="49">
                  <c:v>116219.12</c:v>
                </c:pt>
                <c:pt idx="50">
                  <c:v>116476.28</c:v>
                </c:pt>
                <c:pt idx="51">
                  <c:v>116239.95</c:v>
                </c:pt>
                <c:pt idx="52">
                  <c:v>116287.02</c:v>
                </c:pt>
                <c:pt idx="53">
                  <c:v>116236.03</c:v>
                </c:pt>
                <c:pt idx="54">
                  <c:v>116185.04</c:v>
                </c:pt>
                <c:pt idx="55">
                  <c:v>116355.46</c:v>
                </c:pt>
                <c:pt idx="56">
                  <c:v>116410.93</c:v>
                </c:pt>
                <c:pt idx="57">
                  <c:v>116466.4</c:v>
                </c:pt>
                <c:pt idx="58">
                  <c:v>116433.99</c:v>
                </c:pt>
                <c:pt idx="59">
                  <c:v>116245.11</c:v>
                </c:pt>
                <c:pt idx="60">
                  <c:v>116167.87</c:v>
                </c:pt>
                <c:pt idx="61">
                  <c:v>116058.62</c:v>
                </c:pt>
                <c:pt idx="62">
                  <c:v>115826.26</c:v>
                </c:pt>
                <c:pt idx="63">
                  <c:v>115906.73</c:v>
                </c:pt>
                <c:pt idx="64">
                  <c:v>116095.05</c:v>
                </c:pt>
                <c:pt idx="65">
                  <c:v>116216.46</c:v>
                </c:pt>
                <c:pt idx="66">
                  <c:v>116459.29</c:v>
                </c:pt>
                <c:pt idx="67">
                  <c:v>116702.31</c:v>
                </c:pt>
                <c:pt idx="68">
                  <c:v>116622.78</c:v>
                </c:pt>
                <c:pt idx="69">
                  <c:v>116543.25</c:v>
                </c:pt>
                <c:pt idx="70">
                  <c:v>116463.72</c:v>
                </c:pt>
                <c:pt idx="71">
                  <c:v>116522.8</c:v>
                </c:pt>
                <c:pt idx="72">
                  <c:v>116581.77</c:v>
                </c:pt>
                <c:pt idx="73">
                  <c:v>116629.29</c:v>
                </c:pt>
                <c:pt idx="74">
                  <c:v>116676.8</c:v>
                </c:pt>
                <c:pt idx="75">
                  <c:v>116775.89</c:v>
                </c:pt>
                <c:pt idx="76">
                  <c:v>116982.61</c:v>
                </c:pt>
                <c:pt idx="77">
                  <c:v>116793.23</c:v>
                </c:pt>
                <c:pt idx="79">
                  <c:v>116771.03</c:v>
                </c:pt>
                <c:pt idx="80">
                  <c:v>116897.18</c:v>
                </c:pt>
                <c:pt idx="81">
                  <c:v>117023.33</c:v>
                </c:pt>
                <c:pt idx="82">
                  <c:v>116941.7</c:v>
                </c:pt>
                <c:pt idx="83">
                  <c:v>116692.9</c:v>
                </c:pt>
                <c:pt idx="84">
                  <c:v>116880.67</c:v>
                </c:pt>
                <c:pt idx="85">
                  <c:v>117185.43</c:v>
                </c:pt>
                <c:pt idx="86">
                  <c:v>117370.49</c:v>
                </c:pt>
                <c:pt idx="87">
                  <c:v>117420.12</c:v>
                </c:pt>
                <c:pt idx="88">
                  <c:v>117512.34</c:v>
                </c:pt>
                <c:pt idx="89">
                  <c:v>117632.5</c:v>
                </c:pt>
                <c:pt idx="90">
                  <c:v>117585.72</c:v>
                </c:pt>
                <c:pt idx="91">
                  <c:v>117609.45</c:v>
                </c:pt>
                <c:pt idx="92">
                  <c:v>117672.92</c:v>
                </c:pt>
                <c:pt idx="93">
                  <c:v>117800.33</c:v>
                </c:pt>
                <c:pt idx="94">
                  <c:v>117948.22</c:v>
                </c:pt>
                <c:pt idx="95">
                  <c:v>117959.54</c:v>
                </c:pt>
                <c:pt idx="96">
                  <c:v>117998.13</c:v>
                </c:pt>
                <c:pt idx="97">
                  <c:v>118375.35</c:v>
                </c:pt>
                <c:pt idx="98">
                  <c:v>118540.47</c:v>
                </c:pt>
                <c:pt idx="99">
                  <c:v>118486.59</c:v>
                </c:pt>
                <c:pt idx="100">
                  <c:v>118576.33</c:v>
                </c:pt>
                <c:pt idx="101">
                  <c:v>118667.75</c:v>
                </c:pt>
                <c:pt idx="102">
                  <c:v>118589.55</c:v>
                </c:pt>
                <c:pt idx="103">
                  <c:v>118576.43</c:v>
                </c:pt>
                <c:pt idx="104">
                  <c:v>118563.31</c:v>
                </c:pt>
                <c:pt idx="105">
                  <c:v>118400.69</c:v>
                </c:pt>
                <c:pt idx="106">
                  <c:v>118266.48</c:v>
                </c:pt>
                <c:pt idx="107">
                  <c:v>118538.33</c:v>
                </c:pt>
                <c:pt idx="108">
                  <c:v>118581.77</c:v>
                </c:pt>
                <c:pt idx="109">
                  <c:v>118625.2</c:v>
                </c:pt>
                <c:pt idx="110">
                  <c:v>118668.64</c:v>
                </c:pt>
                <c:pt idx="111">
                  <c:v>118712.08</c:v>
                </c:pt>
                <c:pt idx="112">
                  <c:v>118923.33</c:v>
                </c:pt>
                <c:pt idx="113">
                  <c:v>118881.86</c:v>
                </c:pt>
                <c:pt idx="114">
                  <c:v>118840.4</c:v>
                </c:pt>
                <c:pt idx="115">
                  <c:v>118859.93</c:v>
                </c:pt>
                <c:pt idx="116">
                  <c:v>118574.01</c:v>
                </c:pt>
                <c:pt idx="117">
                  <c:v>118524.03</c:v>
                </c:pt>
                <c:pt idx="118">
                  <c:v>118490.74</c:v>
                </c:pt>
                <c:pt idx="119">
                  <c:v>118456.37</c:v>
                </c:pt>
                <c:pt idx="120">
                  <c:v>118192.38</c:v>
                </c:pt>
                <c:pt idx="121">
                  <c:v>118087.31</c:v>
                </c:pt>
                <c:pt idx="122">
                  <c:v>117982.23</c:v>
                </c:pt>
                <c:pt idx="123">
                  <c:v>118155.03</c:v>
                </c:pt>
                <c:pt idx="124">
                  <c:v>118098.38</c:v>
                </c:pt>
                <c:pt idx="125">
                  <c:v>118041.73</c:v>
                </c:pt>
                <c:pt idx="126">
                  <c:v>117985.09</c:v>
                </c:pt>
                <c:pt idx="127">
                  <c:v>117872.01</c:v>
                </c:pt>
                <c:pt idx="128">
                  <c:v>117656.02</c:v>
                </c:pt>
                <c:pt idx="129">
                  <c:v>117658.21</c:v>
                </c:pt>
                <c:pt idx="130">
                  <c:v>117740.91</c:v>
                </c:pt>
                <c:pt idx="131">
                  <c:v>117812.64</c:v>
                </c:pt>
                <c:pt idx="132">
                  <c:v>117806.93</c:v>
                </c:pt>
                <c:pt idx="133">
                  <c:v>117801.21</c:v>
                </c:pt>
                <c:pt idx="134">
                  <c:v>117795.5</c:v>
                </c:pt>
                <c:pt idx="135">
                  <c:v>117675.65</c:v>
                </c:pt>
                <c:pt idx="136">
                  <c:v>117556.82</c:v>
                </c:pt>
                <c:pt idx="137">
                  <c:v>117437.99</c:v>
                </c:pt>
                <c:pt idx="138">
                  <c:v>117329.68</c:v>
                </c:pt>
                <c:pt idx="139">
                  <c:v>117277.81</c:v>
                </c:pt>
                <c:pt idx="140">
                  <c:v>117205.54</c:v>
                </c:pt>
                <c:pt idx="141">
                  <c:v>117133.27</c:v>
                </c:pt>
                <c:pt idx="142">
                  <c:v>117164.72</c:v>
                </c:pt>
                <c:pt idx="143">
                  <c:v>117274.94</c:v>
                </c:pt>
                <c:pt idx="144">
                  <c:v>117312.83</c:v>
                </c:pt>
                <c:pt idx="145">
                  <c:v>117350.73</c:v>
                </c:pt>
                <c:pt idx="146">
                  <c:v>117563.22</c:v>
                </c:pt>
                <c:pt idx="147">
                  <c:v>117468.26</c:v>
                </c:pt>
                <c:pt idx="148">
                  <c:v>117443.21</c:v>
                </c:pt>
                <c:pt idx="149">
                  <c:v>117418.17</c:v>
                </c:pt>
                <c:pt idx="150">
                  <c:v>117422.64</c:v>
                </c:pt>
                <c:pt idx="151">
                  <c:v>117217.84</c:v>
                </c:pt>
                <c:pt idx="152">
                  <c:v>117216.42</c:v>
                </c:pt>
                <c:pt idx="153">
                  <c:v>117197.92</c:v>
                </c:pt>
                <c:pt idx="154">
                  <c:v>117179.41</c:v>
                </c:pt>
                <c:pt idx="155">
                  <c:v>116994.03</c:v>
                </c:pt>
                <c:pt idx="156">
                  <c:v>116954.89</c:v>
                </c:pt>
                <c:pt idx="157">
                  <c:v>116971.86</c:v>
                </c:pt>
                <c:pt idx="158">
                  <c:v>116914.76</c:v>
                </c:pt>
                <c:pt idx="159">
                  <c:v>116794.74</c:v>
                </c:pt>
                <c:pt idx="160">
                  <c:v>116902.15</c:v>
                </c:pt>
                <c:pt idx="161">
                  <c:v>116777.75</c:v>
                </c:pt>
                <c:pt idx="162">
                  <c:v>116653.35</c:v>
                </c:pt>
                <c:pt idx="163">
                  <c:v>116386.77</c:v>
                </c:pt>
                <c:pt idx="164">
                  <c:v>116261.99</c:v>
                </c:pt>
                <c:pt idx="165">
                  <c:v>116574.37</c:v>
                </c:pt>
                <c:pt idx="166">
                  <c:v>116444.2</c:v>
                </c:pt>
                <c:pt idx="167">
                  <c:v>116314.03</c:v>
                </c:pt>
                <c:pt idx="168">
                  <c:v>116183.86</c:v>
                </c:pt>
                <c:pt idx="169">
                  <c:v>116324.23</c:v>
                </c:pt>
                <c:pt idx="170">
                  <c:v>116483.52</c:v>
                </c:pt>
                <c:pt idx="171">
                  <c:v>116664.38</c:v>
                </c:pt>
                <c:pt idx="172">
                  <c:v>116984.53</c:v>
                </c:pt>
                <c:pt idx="173">
                  <c:v>117180.24</c:v>
                </c:pt>
                <c:pt idx="174">
                  <c:v>117180.24</c:v>
                </c:pt>
                <c:pt idx="175">
                  <c:v>116953.35</c:v>
                </c:pt>
                <c:pt idx="176">
                  <c:v>117192.12</c:v>
                </c:pt>
                <c:pt idx="177">
                  <c:v>117430.89</c:v>
                </c:pt>
                <c:pt idx="178">
                  <c:v>117669.6</c:v>
                </c:pt>
                <c:pt idx="179">
                  <c:v>118012.26</c:v>
                </c:pt>
                <c:pt idx="180">
                  <c:v>118354.92</c:v>
                </c:pt>
                <c:pt idx="181">
                  <c:v>118674.04</c:v>
                </c:pt>
                <c:pt idx="182">
                  <c:v>118841.01</c:v>
                </c:pt>
                <c:pt idx="183">
                  <c:v>118542.33</c:v>
                </c:pt>
                <c:pt idx="184">
                  <c:v>118798.59</c:v>
                </c:pt>
                <c:pt idx="185">
                  <c:v>119198.05</c:v>
                </c:pt>
                <c:pt idx="186">
                  <c:v>119553.3</c:v>
                </c:pt>
                <c:pt idx="187">
                  <c:v>119908.56</c:v>
                </c:pt>
                <c:pt idx="188">
                  <c:v>120220.84</c:v>
                </c:pt>
                <c:pt idx="189">
                  <c:v>120583.09</c:v>
                </c:pt>
                <c:pt idx="190">
                  <c:v>120978.58</c:v>
                </c:pt>
                <c:pt idx="191">
                  <c:v>121411.69</c:v>
                </c:pt>
                <c:pt idx="192">
                  <c:v>121397.68</c:v>
                </c:pt>
                <c:pt idx="193">
                  <c:v>121383.67</c:v>
                </c:pt>
                <c:pt idx="194">
                  <c:v>121369.66</c:v>
                </c:pt>
                <c:pt idx="195">
                  <c:v>121021.44</c:v>
                </c:pt>
                <c:pt idx="196">
                  <c:v>120654.57</c:v>
                </c:pt>
                <c:pt idx="197">
                  <c:v>120627.42</c:v>
                </c:pt>
                <c:pt idx="198">
                  <c:v>120962.83</c:v>
                </c:pt>
                <c:pt idx="199">
                  <c:v>120951.12</c:v>
                </c:pt>
                <c:pt idx="200">
                  <c:v>121112.17</c:v>
                </c:pt>
                <c:pt idx="201">
                  <c:v>121273.22</c:v>
                </c:pt>
                <c:pt idx="202">
                  <c:v>121434.27</c:v>
                </c:pt>
                <c:pt idx="203">
                  <c:v>121571.33</c:v>
                </c:pt>
                <c:pt idx="204">
                  <c:v>121368.66</c:v>
                </c:pt>
                <c:pt idx="205">
                  <c:v>121378.5</c:v>
                </c:pt>
                <c:pt idx="206">
                  <c:v>121180.79</c:v>
                </c:pt>
                <c:pt idx="207">
                  <c:v>120983.08</c:v>
                </c:pt>
                <c:pt idx="208">
                  <c:v>121008.23</c:v>
                </c:pt>
                <c:pt idx="209">
                  <c:v>121033.39</c:v>
                </c:pt>
                <c:pt idx="210">
                  <c:v>121010.46</c:v>
                </c:pt>
                <c:pt idx="211">
                  <c:v>121071.43</c:v>
                </c:pt>
                <c:pt idx="212">
                  <c:v>121132.4</c:v>
                </c:pt>
                <c:pt idx="213">
                  <c:v>121240.08</c:v>
                </c:pt>
                <c:pt idx="214">
                  <c:v>121109.55</c:v>
                </c:pt>
                <c:pt idx="215">
                  <c:v>121156.39</c:v>
                </c:pt>
                <c:pt idx="216">
                  <c:v>121203.24</c:v>
                </c:pt>
                <c:pt idx="217">
                  <c:v>121426.83</c:v>
                </c:pt>
                <c:pt idx="218">
                  <c:v>121312.7</c:v>
                </c:pt>
                <c:pt idx="219">
                  <c:v>121265.83</c:v>
                </c:pt>
                <c:pt idx="220">
                  <c:v>121311.52</c:v>
                </c:pt>
                <c:pt idx="221">
                  <c:v>121302.49</c:v>
                </c:pt>
                <c:pt idx="222">
                  <c:v>121293.47</c:v>
                </c:pt>
                <c:pt idx="223">
                  <c:v>121065.93</c:v>
                </c:pt>
                <c:pt idx="224">
                  <c:v>121043.87</c:v>
                </c:pt>
                <c:pt idx="225">
                  <c:v>121010.29</c:v>
                </c:pt>
                <c:pt idx="226">
                  <c:v>120976.7</c:v>
                </c:pt>
                <c:pt idx="227">
                  <c:v>120990.67</c:v>
                </c:pt>
                <c:pt idx="228">
                  <c:v>121016.34</c:v>
                </c:pt>
                <c:pt idx="229">
                  <c:v>121009.82</c:v>
                </c:pt>
                <c:pt idx="230">
                  <c:v>121000</c:v>
                </c:pt>
                <c:pt idx="231">
                  <c:v>120990.18</c:v>
                </c:pt>
                <c:pt idx="232">
                  <c:v>121407.41</c:v>
                </c:pt>
                <c:pt idx="233">
                  <c:v>121392.8</c:v>
                </c:pt>
                <c:pt idx="234">
                  <c:v>121193.60000000001</c:v>
                </c:pt>
                <c:pt idx="235">
                  <c:v>120994.4</c:v>
                </c:pt>
                <c:pt idx="236">
                  <c:v>121144.69</c:v>
                </c:pt>
                <c:pt idx="237">
                  <c:v>121094.52</c:v>
                </c:pt>
                <c:pt idx="238">
                  <c:v>121009.49</c:v>
                </c:pt>
                <c:pt idx="239">
                  <c:v>121017.97</c:v>
                </c:pt>
                <c:pt idx="240">
                  <c:v>121037.21</c:v>
                </c:pt>
                <c:pt idx="241">
                  <c:v>121056.44</c:v>
                </c:pt>
                <c:pt idx="242">
                  <c:v>121046.15</c:v>
                </c:pt>
                <c:pt idx="243">
                  <c:v>120759.11</c:v>
                </c:pt>
                <c:pt idx="244">
                  <c:v>120904.46</c:v>
                </c:pt>
                <c:pt idx="245">
                  <c:v>121022.85</c:v>
                </c:pt>
                <c:pt idx="246">
                  <c:v>121192.78</c:v>
                </c:pt>
                <c:pt idx="247">
                  <c:v>121146.08</c:v>
                </c:pt>
                <c:pt idx="248">
                  <c:v>121088.31</c:v>
                </c:pt>
                <c:pt idx="249">
                  <c:v>121001.65</c:v>
                </c:pt>
                <c:pt idx="250">
                  <c:v>121047.91</c:v>
                </c:pt>
                <c:pt idx="251">
                  <c:v>120961.77</c:v>
                </c:pt>
                <c:pt idx="252">
                  <c:v>121121.53</c:v>
                </c:pt>
                <c:pt idx="253">
                  <c:v>121363.54</c:v>
                </c:pt>
                <c:pt idx="254">
                  <c:v>121902.03</c:v>
                </c:pt>
                <c:pt idx="255">
                  <c:v>121923.8</c:v>
                </c:pt>
                <c:pt idx="256">
                  <c:v>121820.71</c:v>
                </c:pt>
                <c:pt idx="257">
                  <c:v>121997.2</c:v>
                </c:pt>
                <c:pt idx="258">
                  <c:v>122041.29</c:v>
                </c:pt>
                <c:pt idx="259">
                  <c:v>122129.45</c:v>
                </c:pt>
                <c:pt idx="260">
                  <c:v>122079.65</c:v>
                </c:pt>
                <c:pt idx="261">
                  <c:v>122370.16</c:v>
                </c:pt>
                <c:pt idx="262">
                  <c:v>122371.18</c:v>
                </c:pt>
                <c:pt idx="263">
                  <c:v>122608.91</c:v>
                </c:pt>
                <c:pt idx="264">
                  <c:v>122610.15</c:v>
                </c:pt>
                <c:pt idx="265">
                  <c:v>122691.89</c:v>
                </c:pt>
                <c:pt idx="266">
                  <c:v>122718.73</c:v>
                </c:pt>
                <c:pt idx="267">
                  <c:v>122806.41</c:v>
                </c:pt>
                <c:pt idx="268">
                  <c:v>123003.93</c:v>
                </c:pt>
                <c:pt idx="269">
                  <c:v>122931.12</c:v>
                </c:pt>
                <c:pt idx="270">
                  <c:v>122964.47</c:v>
                </c:pt>
                <c:pt idx="271">
                  <c:v>123040.89</c:v>
                </c:pt>
                <c:pt idx="272">
                  <c:v>123117.3</c:v>
                </c:pt>
                <c:pt idx="273">
                  <c:v>123361.52</c:v>
                </c:pt>
                <c:pt idx="274">
                  <c:v>124540.25</c:v>
                </c:pt>
                <c:pt idx="275">
                  <c:v>124771.46</c:v>
                </c:pt>
                <c:pt idx="276">
                  <c:v>124965.3</c:v>
                </c:pt>
                <c:pt idx="277">
                  <c:v>125021.05</c:v>
                </c:pt>
                <c:pt idx="278">
                  <c:v>125231.83</c:v>
                </c:pt>
                <c:pt idx="279">
                  <c:v>125442.61</c:v>
                </c:pt>
                <c:pt idx="280">
                  <c:v>125549.55</c:v>
                </c:pt>
                <c:pt idx="281">
                  <c:v>125656.48</c:v>
                </c:pt>
                <c:pt idx="282">
                  <c:v>125763.42</c:v>
                </c:pt>
                <c:pt idx="283">
                  <c:v>125789.68</c:v>
                </c:pt>
                <c:pt idx="284">
                  <c:v>125954.03</c:v>
                </c:pt>
                <c:pt idx="285">
                  <c:v>125987.22</c:v>
                </c:pt>
                <c:pt idx="286">
                  <c:v>126020.42</c:v>
                </c:pt>
                <c:pt idx="287">
                  <c:v>126053.61</c:v>
                </c:pt>
                <c:pt idx="288">
                  <c:v>126007.91</c:v>
                </c:pt>
                <c:pt idx="289">
                  <c:v>125962.21</c:v>
                </c:pt>
                <c:pt idx="290">
                  <c:v>126057.13</c:v>
                </c:pt>
                <c:pt idx="291">
                  <c:v>126043.74</c:v>
                </c:pt>
                <c:pt idx="292">
                  <c:v>125921.69</c:v>
                </c:pt>
                <c:pt idx="293">
                  <c:v>125742.39</c:v>
                </c:pt>
                <c:pt idx="294">
                  <c:v>125799.4</c:v>
                </c:pt>
                <c:pt idx="295">
                  <c:v>125798.36</c:v>
                </c:pt>
                <c:pt idx="296">
                  <c:v>125846.92</c:v>
                </c:pt>
                <c:pt idx="297">
                  <c:v>125783.65</c:v>
                </c:pt>
                <c:pt idx="298">
                  <c:v>125792.06</c:v>
                </c:pt>
                <c:pt idx="299">
                  <c:v>125800.47</c:v>
                </c:pt>
                <c:pt idx="300">
                  <c:v>125848.88</c:v>
                </c:pt>
                <c:pt idx="301">
                  <c:v>125927.7</c:v>
                </c:pt>
                <c:pt idx="302">
                  <c:v>126006.53</c:v>
                </c:pt>
                <c:pt idx="303">
                  <c:v>126327.38</c:v>
                </c:pt>
                <c:pt idx="304">
                  <c:v>126258.89</c:v>
                </c:pt>
                <c:pt idx="305">
                  <c:v>126606.63</c:v>
                </c:pt>
                <c:pt idx="306">
                  <c:v>126725.38</c:v>
                </c:pt>
                <c:pt idx="307">
                  <c:v>126794.02</c:v>
                </c:pt>
                <c:pt idx="308">
                  <c:v>126862.67</c:v>
                </c:pt>
                <c:pt idx="309">
                  <c:v>126691.26</c:v>
                </c:pt>
                <c:pt idx="310">
                  <c:v>126649.78</c:v>
                </c:pt>
                <c:pt idx="311">
                  <c:v>126608.3</c:v>
                </c:pt>
                <c:pt idx="312">
                  <c:v>126442.29</c:v>
                </c:pt>
                <c:pt idx="313">
                  <c:v>126246.18</c:v>
                </c:pt>
                <c:pt idx="314">
                  <c:v>126050.07</c:v>
                </c:pt>
                <c:pt idx="315">
                  <c:v>125853.97</c:v>
                </c:pt>
                <c:pt idx="316">
                  <c:v>125754.12</c:v>
                </c:pt>
                <c:pt idx="317">
                  <c:v>125681.04</c:v>
                </c:pt>
                <c:pt idx="318">
                  <c:v>125693.35</c:v>
                </c:pt>
                <c:pt idx="319">
                  <c:v>125586.38</c:v>
                </c:pt>
                <c:pt idx="320">
                  <c:v>125465.67</c:v>
                </c:pt>
                <c:pt idx="321">
                  <c:v>125597.66</c:v>
                </c:pt>
                <c:pt idx="322">
                  <c:v>125678.14</c:v>
                </c:pt>
                <c:pt idx="323">
                  <c:v>125640.23</c:v>
                </c:pt>
                <c:pt idx="324">
                  <c:v>125576.98</c:v>
                </c:pt>
                <c:pt idx="325">
                  <c:v>125629.53</c:v>
                </c:pt>
                <c:pt idx="326">
                  <c:v>125543.21</c:v>
                </c:pt>
                <c:pt idx="327">
                  <c:v>125576.8</c:v>
                </c:pt>
                <c:pt idx="328">
                  <c:v>125610.39</c:v>
                </c:pt>
                <c:pt idx="329">
                  <c:v>125643.97</c:v>
                </c:pt>
                <c:pt idx="330">
                  <c:v>125643.48</c:v>
                </c:pt>
                <c:pt idx="331">
                  <c:v>125613.26</c:v>
                </c:pt>
                <c:pt idx="332">
                  <c:v>125683.77</c:v>
                </c:pt>
                <c:pt idx="333">
                  <c:v>125901.6</c:v>
                </c:pt>
                <c:pt idx="334">
                  <c:v>125999.53</c:v>
                </c:pt>
                <c:pt idx="335">
                  <c:v>125982.27</c:v>
                </c:pt>
                <c:pt idx="336">
                  <c:v>125965.01</c:v>
                </c:pt>
                <c:pt idx="337">
                  <c:v>125947.76</c:v>
                </c:pt>
                <c:pt idx="338">
                  <c:v>126194.81</c:v>
                </c:pt>
                <c:pt idx="339">
                  <c:v>126166.24</c:v>
                </c:pt>
                <c:pt idx="340">
                  <c:v>126137.67</c:v>
                </c:pt>
                <c:pt idx="341">
                  <c:v>126152.6</c:v>
                </c:pt>
                <c:pt idx="342">
                  <c:v>126119.34</c:v>
                </c:pt>
                <c:pt idx="343">
                  <c:v>126086.07</c:v>
                </c:pt>
                <c:pt idx="344">
                  <c:v>126355.42</c:v>
                </c:pt>
                <c:pt idx="345">
                  <c:v>126624.78</c:v>
                </c:pt>
                <c:pt idx="346">
                  <c:v>126560.08</c:v>
                </c:pt>
                <c:pt idx="347">
                  <c:v>126383.23</c:v>
                </c:pt>
                <c:pt idx="348">
                  <c:v>126290.36</c:v>
                </c:pt>
                <c:pt idx="349">
                  <c:v>126406.99</c:v>
                </c:pt>
                <c:pt idx="350">
                  <c:v>126523.62</c:v>
                </c:pt>
                <c:pt idx="351">
                  <c:v>126178.89</c:v>
                </c:pt>
                <c:pt idx="352">
                  <c:v>126372.74</c:v>
                </c:pt>
                <c:pt idx="353">
                  <c:v>126769.62</c:v>
                </c:pt>
                <c:pt idx="354">
                  <c:v>126872.4</c:v>
                </c:pt>
                <c:pt idx="355">
                  <c:v>126975.17</c:v>
                </c:pt>
                <c:pt idx="356">
                  <c:v>126897.02</c:v>
                </c:pt>
                <c:pt idx="357">
                  <c:v>126588.37</c:v>
                </c:pt>
                <c:pt idx="358">
                  <c:v>126279.72</c:v>
                </c:pt>
                <c:pt idx="359">
                  <c:v>126344.48</c:v>
                </c:pt>
                <c:pt idx="360">
                  <c:v>126430.47</c:v>
                </c:pt>
                <c:pt idx="361">
                  <c:v>125683.21</c:v>
                </c:pt>
                <c:pt idx="362">
                  <c:v>125886.23</c:v>
                </c:pt>
                <c:pt idx="363">
                  <c:v>125921.72</c:v>
                </c:pt>
                <c:pt idx="364">
                  <c:v>125957.22</c:v>
                </c:pt>
                <c:pt idx="365">
                  <c:v>125992.71</c:v>
                </c:pt>
                <c:pt idx="366">
                  <c:v>126247.86</c:v>
                </c:pt>
                <c:pt idx="367">
                  <c:v>126385.54</c:v>
                </c:pt>
                <c:pt idx="368">
                  <c:v>126302.37</c:v>
                </c:pt>
                <c:pt idx="369">
                  <c:v>126212.38</c:v>
                </c:pt>
                <c:pt idx="370">
                  <c:v>126122.39</c:v>
                </c:pt>
                <c:pt idx="371">
                  <c:v>126032.4</c:v>
                </c:pt>
                <c:pt idx="372">
                  <c:v>125887.71</c:v>
                </c:pt>
                <c:pt idx="373">
                  <c:v>125768.25</c:v>
                </c:pt>
                <c:pt idx="374">
                  <c:v>125527.34</c:v>
                </c:pt>
                <c:pt idx="375">
                  <c:v>125521.21</c:v>
                </c:pt>
                <c:pt idx="376">
                  <c:v>125678.39</c:v>
                </c:pt>
                <c:pt idx="377">
                  <c:v>125882.29</c:v>
                </c:pt>
                <c:pt idx="378">
                  <c:v>125914.68</c:v>
                </c:pt>
                <c:pt idx="379">
                  <c:v>125947.19</c:v>
                </c:pt>
                <c:pt idx="380">
                  <c:v>125862.76</c:v>
                </c:pt>
                <c:pt idx="381">
                  <c:v>125786.35</c:v>
                </c:pt>
                <c:pt idx="382">
                  <c:v>125643.31</c:v>
                </c:pt>
                <c:pt idx="383">
                  <c:v>125500.27</c:v>
                </c:pt>
                <c:pt idx="384">
                  <c:v>125293.31</c:v>
                </c:pt>
                <c:pt idx="385">
                  <c:v>125376.66</c:v>
                </c:pt>
                <c:pt idx="386">
                  <c:v>125292.84</c:v>
                </c:pt>
                <c:pt idx="387">
                  <c:v>125276.62</c:v>
                </c:pt>
                <c:pt idx="388">
                  <c:v>125342.16</c:v>
                </c:pt>
                <c:pt idx="389">
                  <c:v>125467.96</c:v>
                </c:pt>
                <c:pt idx="390">
                  <c:v>125760.93</c:v>
                </c:pt>
                <c:pt idx="391">
                  <c:v>125810.17</c:v>
                </c:pt>
                <c:pt idx="392">
                  <c:v>125767.48</c:v>
                </c:pt>
                <c:pt idx="393">
                  <c:v>125724.79</c:v>
                </c:pt>
                <c:pt idx="394">
                  <c:v>125925.84</c:v>
                </c:pt>
                <c:pt idx="395">
                  <c:v>125658.05</c:v>
                </c:pt>
                <c:pt idx="396">
                  <c:v>125390.26</c:v>
                </c:pt>
                <c:pt idx="397">
                  <c:v>125503.3</c:v>
                </c:pt>
                <c:pt idx="398">
                  <c:v>125783.29</c:v>
                </c:pt>
                <c:pt idx="399">
                  <c:v>125870.93</c:v>
                </c:pt>
                <c:pt idx="400">
                  <c:v>125958.57</c:v>
                </c:pt>
                <c:pt idx="401">
                  <c:v>125730.45</c:v>
                </c:pt>
                <c:pt idx="402">
                  <c:v>125502.33</c:v>
                </c:pt>
                <c:pt idx="403">
                  <c:v>125509.67</c:v>
                </c:pt>
                <c:pt idx="404">
                  <c:v>125397.13</c:v>
                </c:pt>
                <c:pt idx="405">
                  <c:v>125440.25</c:v>
                </c:pt>
                <c:pt idx="406">
                  <c:v>125330.08</c:v>
                </c:pt>
                <c:pt idx="407">
                  <c:v>125219.92</c:v>
                </c:pt>
                <c:pt idx="408">
                  <c:v>125109.07</c:v>
                </c:pt>
                <c:pt idx="409">
                  <c:v>125229.42</c:v>
                </c:pt>
                <c:pt idx="410">
                  <c:v>125349.78</c:v>
                </c:pt>
                <c:pt idx="411">
                  <c:v>125691.55</c:v>
                </c:pt>
                <c:pt idx="412">
                  <c:v>125499.08</c:v>
                </c:pt>
                <c:pt idx="413">
                  <c:v>125695.36</c:v>
                </c:pt>
                <c:pt idx="414">
                  <c:v>125765.33</c:v>
                </c:pt>
                <c:pt idx="415">
                  <c:v>125646.85</c:v>
                </c:pt>
                <c:pt idx="416">
                  <c:v>125842.78</c:v>
                </c:pt>
                <c:pt idx="417">
                  <c:v>126010.29</c:v>
                </c:pt>
                <c:pt idx="418">
                  <c:v>125761.01</c:v>
                </c:pt>
                <c:pt idx="419">
                  <c:v>125511.73</c:v>
                </c:pt>
                <c:pt idx="420">
                  <c:v>125207.13</c:v>
                </c:pt>
                <c:pt idx="421">
                  <c:v>124902.54</c:v>
                </c:pt>
                <c:pt idx="422">
                  <c:v>124597.95</c:v>
                </c:pt>
                <c:pt idx="423">
                  <c:v>124349.71</c:v>
                </c:pt>
                <c:pt idx="424">
                  <c:v>124159.9</c:v>
                </c:pt>
                <c:pt idx="425">
                  <c:v>123970.09</c:v>
                </c:pt>
                <c:pt idx="426">
                  <c:v>123780.28</c:v>
                </c:pt>
                <c:pt idx="427">
                  <c:v>123616.33</c:v>
                </c:pt>
                <c:pt idx="428">
                  <c:v>123637.21</c:v>
                </c:pt>
                <c:pt idx="429">
                  <c:v>123428.48</c:v>
                </c:pt>
                <c:pt idx="430" formatCode="&quot;€&quot;* #\ ##0.00;&quot;€&quot;* \-#\ ##0.00">
                  <c:v>123202.01</c:v>
                </c:pt>
                <c:pt idx="431" formatCode="&quot;€&quot;* #\ ##0.00;&quot;€&quot;* \-#\ ##0.00">
                  <c:v>122975.55</c:v>
                </c:pt>
                <c:pt idx="432" formatCode="&quot;€&quot;* #\ ##0.00;&quot;€&quot;* \-#\ ##0.00">
                  <c:v>122978.7</c:v>
                </c:pt>
                <c:pt idx="433" formatCode="&quot;€&quot;* #\ ##0.00;&quot;€&quot;* \-#\ ##0.00">
                  <c:v>122822.94</c:v>
                </c:pt>
                <c:pt idx="434" formatCode="&quot;€&quot;* #\ ##0.00;&quot;€&quot;* \-#\ ##0.00">
                  <c:v>122668.93</c:v>
                </c:pt>
                <c:pt idx="435" formatCode="&quot;€&quot;* #\ ##0.00;&quot;€&quot;* \-#\ ##0.00">
                  <c:v>122514.93</c:v>
                </c:pt>
                <c:pt idx="436" formatCode="&quot;€&quot;* #\ ##0.00;&quot;€&quot;* \-#\ ##0.00">
                  <c:v>122360.93</c:v>
                </c:pt>
                <c:pt idx="437" formatCode="&quot;€&quot;* #\ ##0.00;&quot;€&quot;* \-#\ ##0.00">
                  <c:v>122014.8</c:v>
                </c:pt>
                <c:pt idx="438" formatCode="&quot;€&quot;* #\ ##0.00;&quot;€&quot;* \-#\ ##0.00">
                  <c:v>121902.61</c:v>
                </c:pt>
                <c:pt idx="439" formatCode="&quot;€&quot;* #\ ##0.00;&quot;€&quot;* \-#\ ##0.00">
                  <c:v>121790.43</c:v>
                </c:pt>
                <c:pt idx="440" formatCode="&quot;€&quot;* #\ ##0.00;&quot;€&quot;* \-#\ ##0.00">
                  <c:v>121837.15</c:v>
                </c:pt>
                <c:pt idx="441" formatCode="&quot;€&quot;* #\ ##0.00;&quot;€&quot;* \-#\ ##0.00">
                  <c:v>121665.69</c:v>
                </c:pt>
                <c:pt idx="442" formatCode="&quot;€&quot;* #\ ##0.00;&quot;€&quot;* \-#\ ##0.00">
                  <c:v>121260.3</c:v>
                </c:pt>
                <c:pt idx="443" formatCode="&quot;€&quot;* #\ ##0.00;&quot;€&quot;* \-#\ ##0.00">
                  <c:v>120865.87</c:v>
                </c:pt>
                <c:pt idx="444" formatCode="&quot;€&quot;* #\ ##0.00;&quot;€&quot;* \-#\ ##0.00">
                  <c:v>120456.85</c:v>
                </c:pt>
                <c:pt idx="445" formatCode="&quot;€&quot;* #\ ##0.00;&quot;€&quot;* \-#\ ##0.00">
                  <c:v>120047.84</c:v>
                </c:pt>
                <c:pt idx="446" formatCode="&quot;€&quot;* #\ ##0.00;&quot;€&quot;* \-#\ ##0.00">
                  <c:v>119887.43</c:v>
                </c:pt>
                <c:pt idx="447" formatCode="&quot;€&quot;* #\ ##0.00;&quot;€&quot;* \-#\ ##0.00">
                  <c:v>119841.14</c:v>
                </c:pt>
                <c:pt idx="448" formatCode="&quot;€&quot;* #\ ##0.00;&quot;€&quot;* \-#\ ##0.00">
                  <c:v>119793.84</c:v>
                </c:pt>
                <c:pt idx="449" formatCode="&quot;€&quot;* #\ ##0.00;&quot;€&quot;* \-#\ ##0.00">
                  <c:v>119746.54</c:v>
                </c:pt>
                <c:pt idx="450" formatCode="&quot;€&quot;* #\ ##0.00;&quot;€&quot;* \-#\ ##0.00">
                  <c:v>119658.02</c:v>
                </c:pt>
                <c:pt idx="451" formatCode="&quot;€&quot;* #\ ##0.00;&quot;€&quot;* \-#\ ##0.00">
                  <c:v>119513.06</c:v>
                </c:pt>
                <c:pt idx="452" formatCode="&quot;€&quot;* #\ ##0.00;&quot;€&quot;* \-#\ ##0.00">
                  <c:v>119368.1</c:v>
                </c:pt>
                <c:pt idx="453" formatCode="&quot;€&quot;* #\ ##0.00;&quot;€&quot;* \-#\ ##0.00">
                  <c:v>119223.14</c:v>
                </c:pt>
                <c:pt idx="454" formatCode="&quot;€&quot;* #\ ##0.00;&quot;€&quot;* \-#\ ##0.00">
                  <c:v>119078.17</c:v>
                </c:pt>
                <c:pt idx="455" formatCode="&quot;€&quot;* #\ ##0.00;&quot;€&quot;* \-#\ ##0.00">
                  <c:v>118819.08</c:v>
                </c:pt>
                <c:pt idx="456" formatCode="&quot;€&quot;* #\ ##0.00;&quot;€&quot;* \-#\ ##0.00">
                  <c:v>118988.46</c:v>
                </c:pt>
                <c:pt idx="457" formatCode="&quot;€&quot;* #\ ##0.00;&quot;€&quot;* \-#\ ##0.00">
                  <c:v>118770.95</c:v>
                </c:pt>
                <c:pt idx="458" formatCode="&quot;€&quot;* #\ ##0.00;&quot;€&quot;* \-#\ ##0.00">
                  <c:v>118553.43</c:v>
                </c:pt>
                <c:pt idx="459" formatCode="&quot;€&quot;* #\ ##0.00;&quot;€&quot;* \-#\ ##0.00">
                  <c:v>118570.03</c:v>
                </c:pt>
                <c:pt idx="460" formatCode="&quot;€&quot;* #\ ##0.00;&quot;€&quot;* \-#\ ##0.00">
                  <c:v>118871.45</c:v>
                </c:pt>
                <c:pt idx="461" formatCode="&quot;€&quot;* #\ ##0.00;&quot;€&quot;* \-#\ ##0.00">
                  <c:v>119102.95</c:v>
                </c:pt>
                <c:pt idx="462" formatCode="&quot;€&quot;* #\ ##0.00;&quot;€&quot;* \-#\ ##0.00">
                  <c:v>119334.46</c:v>
                </c:pt>
                <c:pt idx="463" formatCode="&quot;€&quot;* #\ ##0.00;&quot;€&quot;* \-#\ ##0.00">
                  <c:v>119319.47</c:v>
                </c:pt>
                <c:pt idx="464" formatCode="&quot;€&quot;* #\ ##0.00;&quot;€&quot;* \-#\ ##0.00">
                  <c:v>119486.03</c:v>
                </c:pt>
                <c:pt idx="465" formatCode="&quot;€&quot;* #\ ##0.00;&quot;€&quot;* \-#\ ##0.00">
                  <c:v>119215.09</c:v>
                </c:pt>
                <c:pt idx="466" formatCode="&quot;€&quot;* #\ ##0.00;&quot;€&quot;* \-#\ ##0.00">
                  <c:v>119071.77</c:v>
                </c:pt>
                <c:pt idx="467" formatCode="&quot;€&quot;* #\ ##0.00;&quot;€&quot;* \-#\ ##0.00">
                  <c:v>118805.63</c:v>
                </c:pt>
                <c:pt idx="468" formatCode="&quot;€&quot;* #\ ##0.00;&quot;€&quot;* \-#\ ##0.00">
                  <c:v>118844.97</c:v>
                </c:pt>
                <c:pt idx="469" formatCode="&quot;€&quot;* #\ ##0.00;&quot;€&quot;* \-#\ ##0.00">
                  <c:v>118738.06</c:v>
                </c:pt>
                <c:pt idx="470" formatCode="&quot;€&quot;* #\ ##0.00;&quot;€&quot;* \-#\ ##0.00">
                  <c:v>118664.19</c:v>
                </c:pt>
                <c:pt idx="471" formatCode="&quot;€&quot;* #\ ##0.00;&quot;€&quot;* \-#\ ##0.00">
                  <c:v>118585.43</c:v>
                </c:pt>
                <c:pt idx="472" formatCode="&quot;€&quot;* #\ ##0.00;&quot;€&quot;* \-#\ ##0.00">
                  <c:v>118537.81</c:v>
                </c:pt>
                <c:pt idx="473" formatCode="&quot;€&quot;* #\ ##0.00;&quot;€&quot;* \-#\ ##0.00">
                  <c:v>118394.07</c:v>
                </c:pt>
                <c:pt idx="474" formatCode="&quot;€&quot;* #\ ##0.00;&quot;€&quot;* \-#\ ##0.00">
                  <c:v>118263.23</c:v>
                </c:pt>
                <c:pt idx="475" formatCode="&quot;€&quot;* #\ ##0.00;&quot;€&quot;* \-#\ ##0.00">
                  <c:v>118132.39</c:v>
                </c:pt>
                <c:pt idx="476" formatCode="&quot;€&quot;* #\ ##0.00;&quot;€&quot;* \-#\ ##0.00">
                  <c:v>118001.55</c:v>
                </c:pt>
                <c:pt idx="477" formatCode="&quot;€&quot;* #\ ##0.00;&quot;€&quot;* \-#\ ##0.00">
                  <c:v>118012.9</c:v>
                </c:pt>
                <c:pt idx="478" formatCode="&quot;€&quot;* #\ ##0.00;&quot;€&quot;* \-#\ ##0.00">
                  <c:v>117746.83</c:v>
                </c:pt>
                <c:pt idx="479" formatCode="&quot;€&quot;* #\ ##0.00;&quot;€&quot;* \-#\ ##0.00">
                  <c:v>117479.89</c:v>
                </c:pt>
                <c:pt idx="480" formatCode="&quot;€&quot;* #\ ##0.00;&quot;€&quot;* \-#\ ##0.00">
                  <c:v>117254.43</c:v>
                </c:pt>
                <c:pt idx="481" formatCode="&quot;€&quot;* #\ ##0.00;&quot;€&quot;* \-#\ ##0.00">
                  <c:v>117028.98</c:v>
                </c:pt>
                <c:pt idx="482" formatCode="&quot;€&quot;* #\ ##0.00;&quot;€&quot;* \-#\ ##0.00">
                  <c:v>116928.63</c:v>
                </c:pt>
                <c:pt idx="483" formatCode="&quot;€&quot;* #\ ##0.00;&quot;€&quot;* \-#\ ##0.00">
                  <c:v>116828.28</c:v>
                </c:pt>
                <c:pt idx="484" formatCode="&quot;€&quot;* #\ ##0.00;&quot;€&quot;* \-#\ ##0.00">
                  <c:v>116654.83</c:v>
                </c:pt>
                <c:pt idx="485" formatCode="&quot;€&quot;* #\ ##0.00;&quot;€&quot;* \-#\ ##0.00">
                  <c:v>116481.37</c:v>
                </c:pt>
                <c:pt idx="486" formatCode="&quot;€&quot;* #\ ##0.00;&quot;€&quot;* \-#\ ##0.00">
                  <c:v>116074.18</c:v>
                </c:pt>
                <c:pt idx="487" formatCode="&quot;€&quot;* #\ ##0.00;&quot;€&quot;* \-#\ ##0.00">
                  <c:v>115486.38</c:v>
                </c:pt>
                <c:pt idx="488" formatCode="&quot;€&quot;* #\ ##0.00;&quot;€&quot;* \-#\ ##0.00">
                  <c:v>115421.22</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3-4AA0-45C4-827A-38317B3E1C33}"/>
            </c:ext>
          </c:extLst>
        </c:ser>
        <c:ser>
          <c:idx val="2"/>
          <c:order val="5"/>
          <c:spPr>
            <a:ln w="28575" cap="rnd">
              <a:solidFill>
                <a:schemeClr val="accent3"/>
              </a:solidFill>
              <a:round/>
            </a:ln>
            <a:effectLst/>
          </c:spPr>
          <c:marker>
            <c:symbol val="none"/>
          </c:marker>
          <c:cat>
            <c:numRef>
              <c:f>Accueil!$O$4:$O$492</c:f>
              <c:numCache>
                <c:formatCode>m/d/yyyy</c:formatCode>
                <c:ptCount val="489"/>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45613</c:v>
                </c:pt>
                <c:pt idx="395">
                  <c:v>45612</c:v>
                </c:pt>
                <c:pt idx="396">
                  <c:v>45611</c:v>
                </c:pt>
                <c:pt idx="397">
                  <c:v>45610</c:v>
                </c:pt>
                <c:pt idx="398">
                  <c:v>45609</c:v>
                </c:pt>
                <c:pt idx="399">
                  <c:v>45608</c:v>
                </c:pt>
                <c:pt idx="400">
                  <c:v>45607</c:v>
                </c:pt>
                <c:pt idx="401">
                  <c:v>45606</c:v>
                </c:pt>
                <c:pt idx="402">
                  <c:v>45605</c:v>
                </c:pt>
                <c:pt idx="403">
                  <c:v>45604</c:v>
                </c:pt>
                <c:pt idx="404">
                  <c:v>45603</c:v>
                </c:pt>
                <c:pt idx="405">
                  <c:v>45602</c:v>
                </c:pt>
                <c:pt idx="406">
                  <c:v>45601</c:v>
                </c:pt>
                <c:pt idx="407">
                  <c:v>45600</c:v>
                </c:pt>
                <c:pt idx="408">
                  <c:v>45599</c:v>
                </c:pt>
                <c:pt idx="409">
                  <c:v>45598</c:v>
                </c:pt>
                <c:pt idx="410">
                  <c:v>45597</c:v>
                </c:pt>
                <c:pt idx="411">
                  <c:v>45594</c:v>
                </c:pt>
                <c:pt idx="412">
                  <c:v>45593</c:v>
                </c:pt>
                <c:pt idx="413">
                  <c:v>45592</c:v>
                </c:pt>
                <c:pt idx="414">
                  <c:v>45591</c:v>
                </c:pt>
                <c:pt idx="415">
                  <c:v>45590</c:v>
                </c:pt>
                <c:pt idx="416">
                  <c:v>45589</c:v>
                </c:pt>
                <c:pt idx="417">
                  <c:v>45588</c:v>
                </c:pt>
                <c:pt idx="418">
                  <c:v>45587</c:v>
                </c:pt>
                <c:pt idx="419">
                  <c:v>45586</c:v>
                </c:pt>
                <c:pt idx="420">
                  <c:v>45585</c:v>
                </c:pt>
                <c:pt idx="421">
                  <c:v>45584</c:v>
                </c:pt>
                <c:pt idx="422">
                  <c:v>45583</c:v>
                </c:pt>
                <c:pt idx="423">
                  <c:v>45582</c:v>
                </c:pt>
                <c:pt idx="424">
                  <c:v>45581</c:v>
                </c:pt>
                <c:pt idx="425">
                  <c:v>45580</c:v>
                </c:pt>
                <c:pt idx="426">
                  <c:v>45579</c:v>
                </c:pt>
                <c:pt idx="427">
                  <c:v>45578</c:v>
                </c:pt>
                <c:pt idx="428">
                  <c:v>45577</c:v>
                </c:pt>
                <c:pt idx="429">
                  <c:v>45576</c:v>
                </c:pt>
                <c:pt idx="430">
                  <c:v>45575</c:v>
                </c:pt>
                <c:pt idx="431">
                  <c:v>45574</c:v>
                </c:pt>
                <c:pt idx="432">
                  <c:v>45573</c:v>
                </c:pt>
                <c:pt idx="433">
                  <c:v>45572</c:v>
                </c:pt>
                <c:pt idx="434">
                  <c:v>45571</c:v>
                </c:pt>
                <c:pt idx="435">
                  <c:v>45570</c:v>
                </c:pt>
                <c:pt idx="436">
                  <c:v>45569</c:v>
                </c:pt>
                <c:pt idx="437">
                  <c:v>45568</c:v>
                </c:pt>
                <c:pt idx="438">
                  <c:v>45567</c:v>
                </c:pt>
                <c:pt idx="439">
                  <c:v>45566</c:v>
                </c:pt>
                <c:pt idx="440">
                  <c:v>45565</c:v>
                </c:pt>
                <c:pt idx="441">
                  <c:v>45564</c:v>
                </c:pt>
                <c:pt idx="442">
                  <c:v>45563</c:v>
                </c:pt>
                <c:pt idx="443">
                  <c:v>45562</c:v>
                </c:pt>
                <c:pt idx="444">
                  <c:v>45561</c:v>
                </c:pt>
                <c:pt idx="445">
                  <c:v>45560</c:v>
                </c:pt>
                <c:pt idx="446">
                  <c:v>45559</c:v>
                </c:pt>
                <c:pt idx="447">
                  <c:v>45558</c:v>
                </c:pt>
                <c:pt idx="448">
                  <c:v>45557</c:v>
                </c:pt>
                <c:pt idx="449">
                  <c:v>45556</c:v>
                </c:pt>
                <c:pt idx="450">
                  <c:v>45555</c:v>
                </c:pt>
                <c:pt idx="451">
                  <c:v>45554</c:v>
                </c:pt>
                <c:pt idx="452">
                  <c:v>45553</c:v>
                </c:pt>
                <c:pt idx="453">
                  <c:v>45552</c:v>
                </c:pt>
                <c:pt idx="454">
                  <c:v>45551</c:v>
                </c:pt>
                <c:pt idx="455">
                  <c:v>45550</c:v>
                </c:pt>
                <c:pt idx="456">
                  <c:v>45549</c:v>
                </c:pt>
                <c:pt idx="457">
                  <c:v>45548</c:v>
                </c:pt>
                <c:pt idx="458">
                  <c:v>45547</c:v>
                </c:pt>
                <c:pt idx="459">
                  <c:v>45546</c:v>
                </c:pt>
                <c:pt idx="460">
                  <c:v>45545</c:v>
                </c:pt>
                <c:pt idx="461">
                  <c:v>45544</c:v>
                </c:pt>
                <c:pt idx="462">
                  <c:v>45543</c:v>
                </c:pt>
                <c:pt idx="463">
                  <c:v>45542</c:v>
                </c:pt>
                <c:pt idx="464">
                  <c:v>45541</c:v>
                </c:pt>
                <c:pt idx="465">
                  <c:v>45540</c:v>
                </c:pt>
                <c:pt idx="466">
                  <c:v>45539</c:v>
                </c:pt>
                <c:pt idx="467">
                  <c:v>45538</c:v>
                </c:pt>
                <c:pt idx="468">
                  <c:v>45537</c:v>
                </c:pt>
                <c:pt idx="469">
                  <c:v>45536</c:v>
                </c:pt>
                <c:pt idx="470">
                  <c:v>45535</c:v>
                </c:pt>
                <c:pt idx="471">
                  <c:v>45534</c:v>
                </c:pt>
                <c:pt idx="472">
                  <c:v>45533</c:v>
                </c:pt>
                <c:pt idx="473">
                  <c:v>45532</c:v>
                </c:pt>
                <c:pt idx="474">
                  <c:v>45531</c:v>
                </c:pt>
                <c:pt idx="475">
                  <c:v>45530</c:v>
                </c:pt>
                <c:pt idx="476">
                  <c:v>45529</c:v>
                </c:pt>
                <c:pt idx="477">
                  <c:v>45528</c:v>
                </c:pt>
                <c:pt idx="478">
                  <c:v>45527</c:v>
                </c:pt>
                <c:pt idx="479">
                  <c:v>45526</c:v>
                </c:pt>
                <c:pt idx="480">
                  <c:v>45525</c:v>
                </c:pt>
                <c:pt idx="481">
                  <c:v>45524</c:v>
                </c:pt>
                <c:pt idx="482">
                  <c:v>45523</c:v>
                </c:pt>
                <c:pt idx="483">
                  <c:v>45522</c:v>
                </c:pt>
                <c:pt idx="484">
                  <c:v>45521</c:v>
                </c:pt>
                <c:pt idx="485">
                  <c:v>45520</c:v>
                </c:pt>
                <c:pt idx="486">
                  <c:v>45519</c:v>
                </c:pt>
                <c:pt idx="487">
                  <c:v>45516</c:v>
                </c:pt>
                <c:pt idx="488">
                  <c:v>45515</c:v>
                </c:pt>
              </c:numCache>
            </c:numRef>
          </c:cat>
          <c:val>
            <c:numRef>
              <c:f>Accueil!$R$4:$R$492</c:f>
              <c:numCache>
                <c:formatCode>#\ ##0.00\ "€"</c:formatCode>
                <c:ptCount val="489"/>
                <c:pt idx="0">
                  <c:v>43489.25</c:v>
                </c:pt>
                <c:pt idx="1">
                  <c:v>42983.68</c:v>
                </c:pt>
                <c:pt idx="2">
                  <c:v>42739.51</c:v>
                </c:pt>
                <c:pt idx="3">
                  <c:v>42739.51</c:v>
                </c:pt>
                <c:pt idx="4">
                  <c:v>41893.22</c:v>
                </c:pt>
                <c:pt idx="5">
                  <c:v>42726.21</c:v>
                </c:pt>
                <c:pt idx="6">
                  <c:v>42519.11</c:v>
                </c:pt>
                <c:pt idx="7">
                  <c:v>42071.92</c:v>
                </c:pt>
                <c:pt idx="8">
                  <c:v>41530.230000000003</c:v>
                </c:pt>
                <c:pt idx="9">
                  <c:v>42307.17</c:v>
                </c:pt>
                <c:pt idx="10">
                  <c:v>42307.17</c:v>
                </c:pt>
                <c:pt idx="11">
                  <c:v>42189.87</c:v>
                </c:pt>
                <c:pt idx="12">
                  <c:v>42165.919999999998</c:v>
                </c:pt>
                <c:pt idx="13">
                  <c:v>42637.66</c:v>
                </c:pt>
                <c:pt idx="14">
                  <c:v>43661.120000000003</c:v>
                </c:pt>
                <c:pt idx="15">
                  <c:v>43882.16</c:v>
                </c:pt>
                <c:pt idx="16">
                  <c:v>40927.910000000003</c:v>
                </c:pt>
                <c:pt idx="17">
                  <c:v>39898.29</c:v>
                </c:pt>
                <c:pt idx="18">
                  <c:v>39426.06</c:v>
                </c:pt>
                <c:pt idx="19">
                  <c:v>39426.06</c:v>
                </c:pt>
                <c:pt idx="20">
                  <c:v>39655.96</c:v>
                </c:pt>
                <c:pt idx="21">
                  <c:v>39422.83</c:v>
                </c:pt>
                <c:pt idx="22">
                  <c:v>39422.83</c:v>
                </c:pt>
                <c:pt idx="23">
                  <c:v>37893.69</c:v>
                </c:pt>
                <c:pt idx="24">
                  <c:v>36014.97</c:v>
                </c:pt>
                <c:pt idx="25">
                  <c:v>32236.58</c:v>
                </c:pt>
                <c:pt idx="26">
                  <c:v>32845.07</c:v>
                </c:pt>
                <c:pt idx="27">
                  <c:v>31967.18</c:v>
                </c:pt>
                <c:pt idx="28">
                  <c:v>31967.18</c:v>
                </c:pt>
                <c:pt idx="29">
                  <c:v>32675.69</c:v>
                </c:pt>
                <c:pt idx="30">
                  <c:v>31184.799999999999</c:v>
                </c:pt>
                <c:pt idx="31">
                  <c:v>30183.82</c:v>
                </c:pt>
                <c:pt idx="32">
                  <c:v>29575.55</c:v>
                </c:pt>
                <c:pt idx="33">
                  <c:v>29575.55</c:v>
                </c:pt>
                <c:pt idx="34">
                  <c:v>28892.43</c:v>
                </c:pt>
                <c:pt idx="35">
                  <c:v>28464.59</c:v>
                </c:pt>
                <c:pt idx="36">
                  <c:v>29333.94</c:v>
                </c:pt>
                <c:pt idx="37">
                  <c:v>30816.28</c:v>
                </c:pt>
                <c:pt idx="38">
                  <c:v>30525.439999999999</c:v>
                </c:pt>
                <c:pt idx="39">
                  <c:v>30525.439999999999</c:v>
                </c:pt>
                <c:pt idx="40">
                  <c:v>28921.26</c:v>
                </c:pt>
                <c:pt idx="41">
                  <c:v>28921.26</c:v>
                </c:pt>
                <c:pt idx="42">
                  <c:v>28130.33</c:v>
                </c:pt>
                <c:pt idx="43">
                  <c:v>28130.33</c:v>
                </c:pt>
                <c:pt idx="44">
                  <c:v>27088.75</c:v>
                </c:pt>
                <c:pt idx="45">
                  <c:v>27088.75</c:v>
                </c:pt>
                <c:pt idx="46">
                  <c:v>27088.75</c:v>
                </c:pt>
                <c:pt idx="47">
                  <c:v>26056</c:v>
                </c:pt>
                <c:pt idx="48">
                  <c:v>28260.54</c:v>
                </c:pt>
                <c:pt idx="49">
                  <c:v>27012.720000000001</c:v>
                </c:pt>
                <c:pt idx="50">
                  <c:v>26002.6</c:v>
                </c:pt>
                <c:pt idx="51">
                  <c:v>27434.06</c:v>
                </c:pt>
                <c:pt idx="52">
                  <c:v>27618.5</c:v>
                </c:pt>
                <c:pt idx="53">
                  <c:v>27618.5</c:v>
                </c:pt>
                <c:pt idx="54">
                  <c:v>27618.5</c:v>
                </c:pt>
                <c:pt idx="55">
                  <c:v>26853.5</c:v>
                </c:pt>
                <c:pt idx="56">
                  <c:v>25079.54</c:v>
                </c:pt>
                <c:pt idx="57">
                  <c:v>25079.54</c:v>
                </c:pt>
                <c:pt idx="58">
                  <c:v>25775.79</c:v>
                </c:pt>
                <c:pt idx="59">
                  <c:v>25729.67</c:v>
                </c:pt>
                <c:pt idx="60">
                  <c:v>25729.67</c:v>
                </c:pt>
                <c:pt idx="61">
                  <c:v>26172.959999999999</c:v>
                </c:pt>
                <c:pt idx="62">
                  <c:v>28186.86</c:v>
                </c:pt>
                <c:pt idx="63">
                  <c:v>28186.86</c:v>
                </c:pt>
                <c:pt idx="64">
                  <c:v>30334.62</c:v>
                </c:pt>
                <c:pt idx="65">
                  <c:v>30334.62</c:v>
                </c:pt>
                <c:pt idx="66">
                  <c:v>30334.62</c:v>
                </c:pt>
                <c:pt idx="67">
                  <c:v>30699.45</c:v>
                </c:pt>
                <c:pt idx="68">
                  <c:v>31063.19</c:v>
                </c:pt>
                <c:pt idx="69">
                  <c:v>30835.63</c:v>
                </c:pt>
                <c:pt idx="70">
                  <c:v>30835.63</c:v>
                </c:pt>
                <c:pt idx="71">
                  <c:v>31252.19</c:v>
                </c:pt>
                <c:pt idx="72">
                  <c:v>31252.19</c:v>
                </c:pt>
                <c:pt idx="73">
                  <c:v>31480.61</c:v>
                </c:pt>
                <c:pt idx="74">
                  <c:v>31480.61</c:v>
                </c:pt>
                <c:pt idx="75">
                  <c:v>32093.200000000001</c:v>
                </c:pt>
                <c:pt idx="76">
                  <c:v>32285.58</c:v>
                </c:pt>
                <c:pt idx="77">
                  <c:v>32065.19</c:v>
                </c:pt>
                <c:pt idx="79">
                  <c:v>31025.43</c:v>
                </c:pt>
                <c:pt idx="80">
                  <c:v>31618.87</c:v>
                </c:pt>
                <c:pt idx="81">
                  <c:v>30327.81</c:v>
                </c:pt>
                <c:pt idx="82">
                  <c:v>28935.42</c:v>
                </c:pt>
                <c:pt idx="83">
                  <c:v>28226.91</c:v>
                </c:pt>
                <c:pt idx="84">
                  <c:v>29383.97</c:v>
                </c:pt>
                <c:pt idx="85">
                  <c:v>29354.79</c:v>
                </c:pt>
                <c:pt idx="86">
                  <c:v>29354.79</c:v>
                </c:pt>
                <c:pt idx="87">
                  <c:v>29068.49</c:v>
                </c:pt>
                <c:pt idx="88">
                  <c:v>29558.33</c:v>
                </c:pt>
                <c:pt idx="89">
                  <c:v>29710.92</c:v>
                </c:pt>
                <c:pt idx="90">
                  <c:v>29710.92</c:v>
                </c:pt>
                <c:pt idx="91">
                  <c:v>27693.66</c:v>
                </c:pt>
                <c:pt idx="92">
                  <c:v>27451.040000000001</c:v>
                </c:pt>
                <c:pt idx="93">
                  <c:v>26711.08</c:v>
                </c:pt>
                <c:pt idx="94">
                  <c:v>27274.12</c:v>
                </c:pt>
                <c:pt idx="95">
                  <c:v>27076.560000000001</c:v>
                </c:pt>
                <c:pt idx="96">
                  <c:v>28303.75</c:v>
                </c:pt>
                <c:pt idx="97">
                  <c:v>28303.75</c:v>
                </c:pt>
                <c:pt idx="98">
                  <c:v>27695.26</c:v>
                </c:pt>
                <c:pt idx="99">
                  <c:v>28323.360000000001</c:v>
                </c:pt>
                <c:pt idx="100">
                  <c:v>28077.93</c:v>
                </c:pt>
                <c:pt idx="101">
                  <c:v>28775.19</c:v>
                </c:pt>
                <c:pt idx="102">
                  <c:v>28775.19</c:v>
                </c:pt>
                <c:pt idx="103">
                  <c:v>30278.39</c:v>
                </c:pt>
                <c:pt idx="104">
                  <c:v>29788.55</c:v>
                </c:pt>
                <c:pt idx="105">
                  <c:v>30500.27</c:v>
                </c:pt>
                <c:pt idx="106">
                  <c:v>30500.27</c:v>
                </c:pt>
                <c:pt idx="107">
                  <c:v>29061.1</c:v>
                </c:pt>
                <c:pt idx="108">
                  <c:v>29061.1</c:v>
                </c:pt>
                <c:pt idx="109">
                  <c:v>29061.1</c:v>
                </c:pt>
                <c:pt idx="110">
                  <c:v>29061.1</c:v>
                </c:pt>
                <c:pt idx="111">
                  <c:v>29291.55</c:v>
                </c:pt>
                <c:pt idx="112">
                  <c:v>30466.21</c:v>
                </c:pt>
                <c:pt idx="113">
                  <c:v>30466.21</c:v>
                </c:pt>
                <c:pt idx="114">
                  <c:v>30466.21</c:v>
                </c:pt>
                <c:pt idx="115">
                  <c:v>32065.040000000001</c:v>
                </c:pt>
                <c:pt idx="116">
                  <c:v>32250.12</c:v>
                </c:pt>
                <c:pt idx="117">
                  <c:v>32250.12</c:v>
                </c:pt>
                <c:pt idx="118">
                  <c:v>32824.949999999997</c:v>
                </c:pt>
                <c:pt idx="119">
                  <c:v>33671.89</c:v>
                </c:pt>
                <c:pt idx="120">
                  <c:v>33671.89</c:v>
                </c:pt>
                <c:pt idx="121">
                  <c:v>33245.18</c:v>
                </c:pt>
                <c:pt idx="122">
                  <c:v>32152.68</c:v>
                </c:pt>
                <c:pt idx="123">
                  <c:v>34479.760000000002</c:v>
                </c:pt>
                <c:pt idx="124">
                  <c:v>34344.51</c:v>
                </c:pt>
                <c:pt idx="125">
                  <c:v>34344.51</c:v>
                </c:pt>
                <c:pt idx="126">
                  <c:v>33993.699999999997</c:v>
                </c:pt>
                <c:pt idx="127">
                  <c:v>34687.019999999997</c:v>
                </c:pt>
                <c:pt idx="128">
                  <c:v>34687.019999999997</c:v>
                </c:pt>
                <c:pt idx="129">
                  <c:v>34687.019999999997</c:v>
                </c:pt>
                <c:pt idx="130">
                  <c:v>33329.65</c:v>
                </c:pt>
                <c:pt idx="131">
                  <c:v>33329.65</c:v>
                </c:pt>
                <c:pt idx="132">
                  <c:v>35752.769999999997</c:v>
                </c:pt>
                <c:pt idx="133">
                  <c:v>35752.769999999997</c:v>
                </c:pt>
                <c:pt idx="134">
                  <c:v>36272.879999999997</c:v>
                </c:pt>
                <c:pt idx="135">
                  <c:v>35713.49</c:v>
                </c:pt>
                <c:pt idx="136">
                  <c:v>35526.99</c:v>
                </c:pt>
                <c:pt idx="137">
                  <c:v>35293.65</c:v>
                </c:pt>
                <c:pt idx="138">
                  <c:v>35693.61</c:v>
                </c:pt>
                <c:pt idx="139">
                  <c:v>35693.61</c:v>
                </c:pt>
                <c:pt idx="140">
                  <c:v>39364.75</c:v>
                </c:pt>
                <c:pt idx="141">
                  <c:v>38075.919999999998</c:v>
                </c:pt>
                <c:pt idx="142">
                  <c:v>39700.959999999999</c:v>
                </c:pt>
                <c:pt idx="143">
                  <c:v>40671.53</c:v>
                </c:pt>
                <c:pt idx="144">
                  <c:v>40860.03</c:v>
                </c:pt>
                <c:pt idx="145">
                  <c:v>40671.53</c:v>
                </c:pt>
                <c:pt idx="146">
                  <c:v>41369.93</c:v>
                </c:pt>
                <c:pt idx="147">
                  <c:v>40447.32</c:v>
                </c:pt>
                <c:pt idx="148">
                  <c:v>43816.76</c:v>
                </c:pt>
                <c:pt idx="149">
                  <c:v>43816.76</c:v>
                </c:pt>
                <c:pt idx="150">
                  <c:v>43816.76</c:v>
                </c:pt>
                <c:pt idx="151">
                  <c:v>43816.76</c:v>
                </c:pt>
                <c:pt idx="152">
                  <c:v>43816.76</c:v>
                </c:pt>
                <c:pt idx="153">
                  <c:v>43358.32</c:v>
                </c:pt>
                <c:pt idx="154">
                  <c:v>39741.33</c:v>
                </c:pt>
                <c:pt idx="155">
                  <c:v>40745.050000000003</c:v>
                </c:pt>
                <c:pt idx="156">
                  <c:v>40745.050000000003</c:v>
                </c:pt>
                <c:pt idx="157">
                  <c:v>42312.66</c:v>
                </c:pt>
                <c:pt idx="158">
                  <c:v>42312.66</c:v>
                </c:pt>
                <c:pt idx="159">
                  <c:v>43804.5</c:v>
                </c:pt>
                <c:pt idx="160">
                  <c:v>43804.5</c:v>
                </c:pt>
                <c:pt idx="161">
                  <c:v>43804.5</c:v>
                </c:pt>
                <c:pt idx="162">
                  <c:v>43804.5</c:v>
                </c:pt>
                <c:pt idx="163">
                  <c:v>43804.5</c:v>
                </c:pt>
                <c:pt idx="164">
                  <c:v>43804.5</c:v>
                </c:pt>
                <c:pt idx="165">
                  <c:v>43488.480000000003</c:v>
                </c:pt>
                <c:pt idx="166">
                  <c:v>44879.360000000001</c:v>
                </c:pt>
                <c:pt idx="167">
                  <c:v>44879.360000000001</c:v>
                </c:pt>
                <c:pt idx="168">
                  <c:v>45733.22</c:v>
                </c:pt>
                <c:pt idx="169">
                  <c:v>44672.59</c:v>
                </c:pt>
                <c:pt idx="170">
                  <c:v>45305.39</c:v>
                </c:pt>
                <c:pt idx="171">
                  <c:v>44504.91</c:v>
                </c:pt>
                <c:pt idx="172">
                  <c:v>43937.42</c:v>
                </c:pt>
                <c:pt idx="173">
                  <c:v>44573.9</c:v>
                </c:pt>
                <c:pt idx="174">
                  <c:v>44573.9</c:v>
                </c:pt>
                <c:pt idx="175">
                  <c:v>45026.3</c:v>
                </c:pt>
                <c:pt idx="176">
                  <c:v>45026.3</c:v>
                </c:pt>
                <c:pt idx="177">
                  <c:v>45673.48</c:v>
                </c:pt>
                <c:pt idx="178">
                  <c:v>45644.62</c:v>
                </c:pt>
                <c:pt idx="179">
                  <c:v>45052.34</c:v>
                </c:pt>
                <c:pt idx="180">
                  <c:v>44948.08</c:v>
                </c:pt>
                <c:pt idx="181">
                  <c:v>45214.400000000001</c:v>
                </c:pt>
                <c:pt idx="182">
                  <c:v>45214.400000000001</c:v>
                </c:pt>
                <c:pt idx="183">
                  <c:v>44511.23</c:v>
                </c:pt>
                <c:pt idx="184">
                  <c:v>44511.23</c:v>
                </c:pt>
                <c:pt idx="185">
                  <c:v>45513.69</c:v>
                </c:pt>
                <c:pt idx="186">
                  <c:v>46944.06</c:v>
                </c:pt>
                <c:pt idx="187">
                  <c:v>46232.78</c:v>
                </c:pt>
                <c:pt idx="188">
                  <c:v>46610.52</c:v>
                </c:pt>
                <c:pt idx="189">
                  <c:v>46610.52</c:v>
                </c:pt>
                <c:pt idx="190">
                  <c:v>44391.07</c:v>
                </c:pt>
                <c:pt idx="191">
                  <c:v>43058.07</c:v>
                </c:pt>
                <c:pt idx="192">
                  <c:v>43347.360000000001</c:v>
                </c:pt>
                <c:pt idx="193">
                  <c:v>43898.16</c:v>
                </c:pt>
                <c:pt idx="194">
                  <c:v>44869.2</c:v>
                </c:pt>
                <c:pt idx="195">
                  <c:v>43474.5</c:v>
                </c:pt>
                <c:pt idx="196">
                  <c:v>40683.800000000003</c:v>
                </c:pt>
                <c:pt idx="197">
                  <c:v>40683.800000000003</c:v>
                </c:pt>
                <c:pt idx="198">
                  <c:v>42878.7</c:v>
                </c:pt>
                <c:pt idx="199">
                  <c:v>43449</c:v>
                </c:pt>
                <c:pt idx="200">
                  <c:v>43688.2</c:v>
                </c:pt>
                <c:pt idx="201">
                  <c:v>43632.68</c:v>
                </c:pt>
                <c:pt idx="202">
                  <c:v>42430.74</c:v>
                </c:pt>
                <c:pt idx="203">
                  <c:v>40448.85</c:v>
                </c:pt>
                <c:pt idx="204">
                  <c:v>42078.21</c:v>
                </c:pt>
                <c:pt idx="205">
                  <c:v>42773.73</c:v>
                </c:pt>
                <c:pt idx="206">
                  <c:v>39433.43</c:v>
                </c:pt>
                <c:pt idx="207">
                  <c:v>40606.29</c:v>
                </c:pt>
                <c:pt idx="208">
                  <c:v>40606.29</c:v>
                </c:pt>
                <c:pt idx="209">
                  <c:v>39440.949999999997</c:v>
                </c:pt>
                <c:pt idx="210">
                  <c:v>40335.22</c:v>
                </c:pt>
                <c:pt idx="211">
                  <c:v>38169.89</c:v>
                </c:pt>
                <c:pt idx="212">
                  <c:v>39176.769999999997</c:v>
                </c:pt>
                <c:pt idx="213">
                  <c:v>39176.769999999997</c:v>
                </c:pt>
                <c:pt idx="214">
                  <c:v>37208.839999999997</c:v>
                </c:pt>
                <c:pt idx="215">
                  <c:v>37898.65</c:v>
                </c:pt>
                <c:pt idx="216">
                  <c:v>38605.599999999999</c:v>
                </c:pt>
                <c:pt idx="217">
                  <c:v>39340.480000000003</c:v>
                </c:pt>
                <c:pt idx="218">
                  <c:v>39340.480000000003</c:v>
                </c:pt>
                <c:pt idx="219">
                  <c:v>39340.480000000003</c:v>
                </c:pt>
                <c:pt idx="220">
                  <c:v>38704</c:v>
                </c:pt>
                <c:pt idx="221">
                  <c:v>39023.230000000003</c:v>
                </c:pt>
                <c:pt idx="222">
                  <c:v>39023.230000000003</c:v>
                </c:pt>
                <c:pt idx="223">
                  <c:v>40396.449999999997</c:v>
                </c:pt>
                <c:pt idx="224">
                  <c:v>40714.370000000003</c:v>
                </c:pt>
                <c:pt idx="225">
                  <c:v>40714.370000000003</c:v>
                </c:pt>
                <c:pt idx="226">
                  <c:v>41560.42</c:v>
                </c:pt>
                <c:pt idx="227">
                  <c:v>40136.71</c:v>
                </c:pt>
                <c:pt idx="228">
                  <c:v>40648.15</c:v>
                </c:pt>
                <c:pt idx="229">
                  <c:v>40648.15</c:v>
                </c:pt>
                <c:pt idx="230">
                  <c:v>40358.86</c:v>
                </c:pt>
                <c:pt idx="231">
                  <c:v>44843.54</c:v>
                </c:pt>
                <c:pt idx="232">
                  <c:v>44843.54</c:v>
                </c:pt>
                <c:pt idx="233">
                  <c:v>44843.54</c:v>
                </c:pt>
                <c:pt idx="234">
                  <c:v>44843.54</c:v>
                </c:pt>
                <c:pt idx="235">
                  <c:v>46139.06</c:v>
                </c:pt>
                <c:pt idx="236">
                  <c:v>42481.18</c:v>
                </c:pt>
                <c:pt idx="237">
                  <c:v>42481.18</c:v>
                </c:pt>
                <c:pt idx="238">
                  <c:v>42028.78</c:v>
                </c:pt>
                <c:pt idx="239">
                  <c:v>42028.78</c:v>
                </c:pt>
                <c:pt idx="240">
                  <c:v>42028.78</c:v>
                </c:pt>
                <c:pt idx="241">
                  <c:v>42674.7</c:v>
                </c:pt>
                <c:pt idx="242">
                  <c:v>46596.17</c:v>
                </c:pt>
                <c:pt idx="243">
                  <c:v>46520.73</c:v>
                </c:pt>
                <c:pt idx="244">
                  <c:v>46520.73</c:v>
                </c:pt>
                <c:pt idx="245">
                  <c:v>47384.31</c:v>
                </c:pt>
                <c:pt idx="246">
                  <c:v>47384.31</c:v>
                </c:pt>
                <c:pt idx="247">
                  <c:v>47843.67</c:v>
                </c:pt>
                <c:pt idx="248">
                  <c:v>47957.760000000002</c:v>
                </c:pt>
                <c:pt idx="249">
                  <c:v>50109.48</c:v>
                </c:pt>
                <c:pt idx="250">
                  <c:v>49352.04</c:v>
                </c:pt>
                <c:pt idx="251">
                  <c:v>49995.08</c:v>
                </c:pt>
                <c:pt idx="252">
                  <c:v>50470.44</c:v>
                </c:pt>
                <c:pt idx="253">
                  <c:v>51809</c:v>
                </c:pt>
                <c:pt idx="254">
                  <c:v>51100.2</c:v>
                </c:pt>
                <c:pt idx="255">
                  <c:v>51100.2</c:v>
                </c:pt>
                <c:pt idx="256">
                  <c:v>51673.88</c:v>
                </c:pt>
                <c:pt idx="257">
                  <c:v>51561.96</c:v>
                </c:pt>
                <c:pt idx="258">
                  <c:v>50676.86</c:v>
                </c:pt>
                <c:pt idx="259">
                  <c:v>52143.93</c:v>
                </c:pt>
                <c:pt idx="260">
                  <c:v>52373.69</c:v>
                </c:pt>
                <c:pt idx="261">
                  <c:v>52373.69</c:v>
                </c:pt>
                <c:pt idx="262">
                  <c:v>54213.120000000003</c:v>
                </c:pt>
                <c:pt idx="263">
                  <c:v>55651.61</c:v>
                </c:pt>
                <c:pt idx="264">
                  <c:v>56323.51</c:v>
                </c:pt>
                <c:pt idx="265">
                  <c:v>55989.61</c:v>
                </c:pt>
                <c:pt idx="266">
                  <c:v>55989.61</c:v>
                </c:pt>
                <c:pt idx="267">
                  <c:v>57535.78</c:v>
                </c:pt>
                <c:pt idx="268">
                  <c:v>57768.42</c:v>
                </c:pt>
                <c:pt idx="269">
                  <c:v>56692.42</c:v>
                </c:pt>
                <c:pt idx="270">
                  <c:v>55996.9</c:v>
                </c:pt>
                <c:pt idx="271">
                  <c:v>55996.9</c:v>
                </c:pt>
                <c:pt idx="272">
                  <c:v>57580.3</c:v>
                </c:pt>
                <c:pt idx="273">
                  <c:v>59380.68</c:v>
                </c:pt>
                <c:pt idx="274">
                  <c:v>58154.05</c:v>
                </c:pt>
                <c:pt idx="275">
                  <c:v>58418.27</c:v>
                </c:pt>
                <c:pt idx="276">
                  <c:v>58418.27</c:v>
                </c:pt>
                <c:pt idx="277">
                  <c:v>58418.27</c:v>
                </c:pt>
                <c:pt idx="278">
                  <c:v>59215.35</c:v>
                </c:pt>
                <c:pt idx="279">
                  <c:v>60889.51</c:v>
                </c:pt>
                <c:pt idx="280">
                  <c:v>60889.51</c:v>
                </c:pt>
                <c:pt idx="281">
                  <c:v>60889.51</c:v>
                </c:pt>
                <c:pt idx="282">
                  <c:v>60889.51</c:v>
                </c:pt>
                <c:pt idx="283">
                  <c:v>61496.47</c:v>
                </c:pt>
                <c:pt idx="284">
                  <c:v>62463.1</c:v>
                </c:pt>
                <c:pt idx="285">
                  <c:v>62463.1</c:v>
                </c:pt>
                <c:pt idx="286">
                  <c:v>62844.49</c:v>
                </c:pt>
                <c:pt idx="287">
                  <c:v>62844.49</c:v>
                </c:pt>
                <c:pt idx="288">
                  <c:v>62844.49</c:v>
                </c:pt>
                <c:pt idx="289">
                  <c:v>62844.49</c:v>
                </c:pt>
                <c:pt idx="290">
                  <c:v>64789.120000000003</c:v>
                </c:pt>
                <c:pt idx="291">
                  <c:v>64261.5</c:v>
                </c:pt>
                <c:pt idx="292">
                  <c:v>64261.5</c:v>
                </c:pt>
                <c:pt idx="293">
                  <c:v>64071.66</c:v>
                </c:pt>
                <c:pt idx="294">
                  <c:v>64553.18</c:v>
                </c:pt>
                <c:pt idx="295">
                  <c:v>65577.2</c:v>
                </c:pt>
                <c:pt idx="296">
                  <c:v>66502.58</c:v>
                </c:pt>
                <c:pt idx="297">
                  <c:v>65920.800000000003</c:v>
                </c:pt>
                <c:pt idx="298">
                  <c:v>65920.800000000003</c:v>
                </c:pt>
                <c:pt idx="299">
                  <c:v>65623.28</c:v>
                </c:pt>
                <c:pt idx="300">
                  <c:v>66027.81</c:v>
                </c:pt>
                <c:pt idx="301">
                  <c:v>65784.75</c:v>
                </c:pt>
                <c:pt idx="302">
                  <c:v>64457.72</c:v>
                </c:pt>
                <c:pt idx="303">
                  <c:v>63545.25</c:v>
                </c:pt>
                <c:pt idx="304">
                  <c:v>63889.41</c:v>
                </c:pt>
                <c:pt idx="305">
                  <c:v>66389.8</c:v>
                </c:pt>
                <c:pt idx="306">
                  <c:v>65465.64</c:v>
                </c:pt>
                <c:pt idx="307">
                  <c:v>66462.259999999995</c:v>
                </c:pt>
                <c:pt idx="308">
                  <c:v>65570.34</c:v>
                </c:pt>
                <c:pt idx="309">
                  <c:v>66691.12</c:v>
                </c:pt>
                <c:pt idx="310">
                  <c:v>66433.19</c:v>
                </c:pt>
                <c:pt idx="311">
                  <c:v>64798.06</c:v>
                </c:pt>
                <c:pt idx="312">
                  <c:v>61116.56</c:v>
                </c:pt>
                <c:pt idx="313">
                  <c:v>62699.59</c:v>
                </c:pt>
                <c:pt idx="314">
                  <c:v>61529.13</c:v>
                </c:pt>
                <c:pt idx="315">
                  <c:v>61529.13</c:v>
                </c:pt>
                <c:pt idx="316">
                  <c:v>61306.58</c:v>
                </c:pt>
                <c:pt idx="317">
                  <c:v>60795.14</c:v>
                </c:pt>
                <c:pt idx="318">
                  <c:v>60123.95</c:v>
                </c:pt>
                <c:pt idx="319">
                  <c:v>58028.23</c:v>
                </c:pt>
                <c:pt idx="320">
                  <c:v>57306.23</c:v>
                </c:pt>
                <c:pt idx="321">
                  <c:v>59229.71</c:v>
                </c:pt>
                <c:pt idx="322">
                  <c:v>60656.29</c:v>
                </c:pt>
                <c:pt idx="323">
                  <c:v>60656.29</c:v>
                </c:pt>
                <c:pt idx="324">
                  <c:v>60656.29</c:v>
                </c:pt>
                <c:pt idx="325">
                  <c:v>61271.29</c:v>
                </c:pt>
                <c:pt idx="326">
                  <c:v>60495.63</c:v>
                </c:pt>
                <c:pt idx="327">
                  <c:v>58830.04</c:v>
                </c:pt>
                <c:pt idx="328">
                  <c:v>58128.86</c:v>
                </c:pt>
                <c:pt idx="329">
                  <c:v>58003.76</c:v>
                </c:pt>
                <c:pt idx="330">
                  <c:v>57955.66</c:v>
                </c:pt>
                <c:pt idx="331">
                  <c:v>56194.84</c:v>
                </c:pt>
                <c:pt idx="332">
                  <c:v>55931.89</c:v>
                </c:pt>
                <c:pt idx="333">
                  <c:v>53035.3</c:v>
                </c:pt>
                <c:pt idx="334">
                  <c:v>53806.93</c:v>
                </c:pt>
                <c:pt idx="335">
                  <c:v>51280.47</c:v>
                </c:pt>
                <c:pt idx="336">
                  <c:v>51201.23</c:v>
                </c:pt>
                <c:pt idx="337">
                  <c:v>49606.5</c:v>
                </c:pt>
                <c:pt idx="338">
                  <c:v>48673.65</c:v>
                </c:pt>
                <c:pt idx="339">
                  <c:v>48673.65</c:v>
                </c:pt>
                <c:pt idx="340">
                  <c:v>48224.13</c:v>
                </c:pt>
                <c:pt idx="341">
                  <c:v>47696.41</c:v>
                </c:pt>
                <c:pt idx="342">
                  <c:v>47941.440000000002</c:v>
                </c:pt>
                <c:pt idx="343">
                  <c:v>47941.440000000002</c:v>
                </c:pt>
                <c:pt idx="344">
                  <c:v>48788.15</c:v>
                </c:pt>
                <c:pt idx="345">
                  <c:v>48038.63</c:v>
                </c:pt>
                <c:pt idx="346">
                  <c:v>48038.63</c:v>
                </c:pt>
                <c:pt idx="347">
                  <c:v>48381.120000000003</c:v>
                </c:pt>
                <c:pt idx="348">
                  <c:v>47671.53</c:v>
                </c:pt>
                <c:pt idx="349">
                  <c:v>44959.56</c:v>
                </c:pt>
                <c:pt idx="350">
                  <c:v>44959.56</c:v>
                </c:pt>
                <c:pt idx="351">
                  <c:v>45611.87</c:v>
                </c:pt>
                <c:pt idx="352">
                  <c:v>44380.93</c:v>
                </c:pt>
                <c:pt idx="353">
                  <c:v>41465.949999999997</c:v>
                </c:pt>
                <c:pt idx="354">
                  <c:v>40957.360000000001</c:v>
                </c:pt>
                <c:pt idx="355" formatCode="_(&quot;€&quot;* #\ ##0.00_);_(&quot;€&quot;* \(#\ ##0.00\);_(&quot;€&quot;* &quot;-&quot;??_);_(@_)">
                  <c:v>39933.629999999997</c:v>
                </c:pt>
                <c:pt idx="356" formatCode="_(&quot;€&quot;* #\ ##0.00_);_(&quot;€&quot;* \(#\ ##0.00\);_(&quot;€&quot;* &quot;-&quot;??_);_(@_)">
                  <c:v>40921.410000000003</c:v>
                </c:pt>
                <c:pt idx="357" formatCode="_(&quot;€&quot;* #\ ##0.00_);_(&quot;€&quot;* \(#\ ##0.00\);_(&quot;€&quot;* &quot;-&quot;??_);_(@_)">
                  <c:v>40921.410000000003</c:v>
                </c:pt>
                <c:pt idx="358" formatCode="_(&quot;€&quot;* #\ ##0.00_);_(&quot;€&quot;* \(#\ ##0.00\);_(&quot;€&quot;* &quot;-&quot;??_);_(@_)">
                  <c:v>40921.410000000003</c:v>
                </c:pt>
                <c:pt idx="359" formatCode="_(&quot;€&quot;* #\ ##0.00_);_(&quot;€&quot;* \(#\ ##0.00\);_(&quot;€&quot;* &quot;-&quot;??_);_(@_)">
                  <c:v>41530.980000000003</c:v>
                </c:pt>
                <c:pt idx="360" formatCode="_(&quot;€&quot;* #\ ##0.00_);_(&quot;€&quot;* \(#\ ##0.00\);_(&quot;€&quot;* &quot;-&quot;??_);_(@_)">
                  <c:v>41236.019999999997</c:v>
                </c:pt>
                <c:pt idx="361" formatCode="_(&quot;€&quot;* #\ ##0.00_);_(&quot;€&quot;* \(#\ ##0.00\);_(&quot;€&quot;* &quot;-&quot;??_);_(@_)">
                  <c:v>41236.019999999997</c:v>
                </c:pt>
                <c:pt idx="362" formatCode="_(&quot;€&quot;* #\ ##0.00_);_(&quot;€&quot;* \(#\ ##0.00\);_(&quot;€&quot;* &quot;-&quot;??_);_(@_)">
                  <c:v>43104.34</c:v>
                </c:pt>
                <c:pt idx="363" formatCode="_(&quot;€&quot;* #\ ##0.00_);_(&quot;€&quot;* \(#\ ##0.00\);_(&quot;€&quot;* &quot;-&quot;??_);_(@_)">
                  <c:v>40038.06</c:v>
                </c:pt>
                <c:pt idx="364" formatCode="_(&quot;€&quot;* #\ ##0.00_);_(&quot;€&quot;* \(#\ ##0.00\);_(&quot;€&quot;* &quot;-&quot;??_);_(@_)">
                  <c:v>41861.050000000003</c:v>
                </c:pt>
                <c:pt idx="365" formatCode="_(&quot;€&quot;* #\ ##0.00_);_(&quot;€&quot;* \(#\ ##0.00\);_(&quot;€&quot;* &quot;-&quot;??_);_(@_)">
                  <c:v>42418.52</c:v>
                </c:pt>
                <c:pt idx="366" formatCode="_(&quot;€&quot;* #\ ##0.00_);_(&quot;€&quot;* \(#\ ##0.00\);_(&quot;€&quot;* &quot;-&quot;??_);_(@_)">
                  <c:v>40224.300000000003</c:v>
                </c:pt>
                <c:pt idx="367" formatCode="_(&quot;€&quot;* #\ ##0.00_);_(&quot;€&quot;* \(#\ ##0.00\);_(&quot;€&quot;* &quot;-&quot;??_);_(@_)">
                  <c:v>40694.550000000003</c:v>
                </c:pt>
                <c:pt idx="368" formatCode="_(&quot;€&quot;* #\ ##0.00_);_(&quot;€&quot;* \(#\ ##0.00\);_(&quot;€&quot;* &quot;-&quot;??_);_(@_)">
                  <c:v>38870.949999999997</c:v>
                </c:pt>
                <c:pt idx="369" formatCode="_(&quot;€&quot;* #\ ##0.00_);_(&quot;€&quot;* \(#\ ##0.00\);_(&quot;€&quot;* &quot;-&quot;??_);_(@_)">
                  <c:v>38870.949999999997</c:v>
                </c:pt>
                <c:pt idx="370" formatCode="_(&quot;€&quot;* #\ ##0.00_);_(&quot;€&quot;* \(#\ ##0.00\);_(&quot;€&quot;* &quot;-&quot;??_);_(@_)">
                  <c:v>39261.29</c:v>
                </c:pt>
                <c:pt idx="371" formatCode="_(&quot;€&quot;* #\ ##0.00_);_(&quot;€&quot;* \(#\ ##0.00\);_(&quot;€&quot;* &quot;-&quot;??_);_(@_)">
                  <c:v>38492.67</c:v>
                </c:pt>
                <c:pt idx="372" formatCode="_(&quot;€&quot;* #\ ##0.00_);_(&quot;€&quot;* \(#\ ##0.00\);_(&quot;€&quot;* &quot;-&quot;??_);_(@_)">
                  <c:v>38492.67</c:v>
                </c:pt>
                <c:pt idx="373" formatCode="_(&quot;€&quot;* #\ ##0.00_);_(&quot;€&quot;* \(#\ ##0.00\);_(&quot;€&quot;* &quot;-&quot;??_);_(@_)">
                  <c:v>38492.67</c:v>
                </c:pt>
                <c:pt idx="374" formatCode="_(&quot;€&quot;* #\ ##0.00_);_(&quot;€&quot;* \(#\ ##0.00\);_(&quot;€&quot;* &quot;-&quot;??_);_(@_)">
                  <c:v>40076.28</c:v>
                </c:pt>
                <c:pt idx="375" formatCode="_(&quot;€&quot;* #\ ##0.00_);_(&quot;€&quot;* \(#\ ##0.00\);_(&quot;€&quot;* &quot;-&quot;??_);_(@_)">
                  <c:v>39743.93</c:v>
                </c:pt>
                <c:pt idx="376" formatCode="_(&quot;€&quot;* #\ ##0.00_);_(&quot;€&quot;* \(#\ ##0.00\);_(&quot;€&quot;* &quot;-&quot;??_);_(@_)">
                  <c:v>42156.58</c:v>
                </c:pt>
                <c:pt idx="377" formatCode="_(&quot;€&quot;* #\ ##0.00_);_(&quot;€&quot;* \(#\ ##0.00\);_(&quot;€&quot;* &quot;-&quot;??_);_(@_)">
                  <c:v>41656.44</c:v>
                </c:pt>
                <c:pt idx="378" formatCode="_(&quot;€&quot;* #\ ##0.00_);_(&quot;€&quot;* \(#\ ##0.00\);_(&quot;€&quot;* &quot;-&quot;??_);_(@_)">
                  <c:v>42257.75</c:v>
                </c:pt>
                <c:pt idx="379" formatCode="_(&quot;€&quot;* #\ ##0.00_);_(&quot;€&quot;* \(#\ ##0.00\);_(&quot;€&quot;* &quot;-&quot;??_);_(@_)">
                  <c:v>42351.67</c:v>
                </c:pt>
                <c:pt idx="380" formatCode="_(&quot;€&quot;* #\ ##0.00_);_(&quot;€&quot;* \(#\ ##0.00\);_(&quot;€&quot;* &quot;-&quot;??_);_(@_)">
                  <c:v>41827.699999999997</c:v>
                </c:pt>
                <c:pt idx="381" formatCode="_(&quot;€&quot;* #\ ##0.00_);_(&quot;€&quot;* \(#\ ##0.00\);_(&quot;€&quot;* &quot;-&quot;??_);_(@_)">
                  <c:v>40504.379999999997</c:v>
                </c:pt>
                <c:pt idx="382" formatCode="_(&quot;€&quot;* #\ ##0.00_);_(&quot;€&quot;* \(#\ ##0.00\);_(&quot;€&quot;* &quot;-&quot;??_);_(@_)">
                  <c:v>39244.71</c:v>
                </c:pt>
                <c:pt idx="383" formatCode="_(&quot;€&quot;* #\ ##0.00_);_(&quot;€&quot;* \(#\ ##0.00\);_(&quot;€&quot;* &quot;-&quot;??_);_(@_)">
                  <c:v>37770.51</c:v>
                </c:pt>
                <c:pt idx="384" formatCode="_(&quot;€&quot;* #\ ##0.00_);_(&quot;€&quot;* \(#\ ##0.00\);_(&quot;€&quot;* &quot;-&quot;??_);_(@_)">
                  <c:v>38383.21</c:v>
                </c:pt>
                <c:pt idx="385" formatCode="_(&quot;€&quot;* #\ ##0.00_);_(&quot;€&quot;* \(#\ ##0.00\);_(&quot;€&quot;* &quot;-&quot;??_);_(@_)">
                  <c:v>38271.360000000001</c:v>
                </c:pt>
                <c:pt idx="386" formatCode="_(&quot;€&quot;* #\ ##0.00_);_(&quot;€&quot;* \(#\ ##0.00\);_(&quot;€&quot;* &quot;-&quot;??_);_(@_)">
                  <c:v>38271.360000000001</c:v>
                </c:pt>
                <c:pt idx="387" formatCode="_(&quot;€&quot;* #\ ##0.00_);_(&quot;€&quot;* \(#\ ##0.00\);_(&quot;€&quot;* &quot;-&quot;??_);_(@_)">
                  <c:v>35522.339999999997</c:v>
                </c:pt>
                <c:pt idx="388" formatCode="_(&quot;€&quot;* #\ ##0.00_);_(&quot;€&quot;* \(#\ ##0.00\);_(&quot;€&quot;* &quot;-&quot;??_);_(@_)">
                  <c:v>35522.339999999997</c:v>
                </c:pt>
                <c:pt idx="389" formatCode="_(&quot;€&quot;* #\ ##0.00_);_(&quot;€&quot;* \(#\ ##0.00\);_(&quot;€&quot;* &quot;-&quot;??_);_(@_)">
                  <c:v>36407.769999999997</c:v>
                </c:pt>
                <c:pt idx="390" formatCode="_(&quot;€&quot;* #\ ##0.00_);_(&quot;€&quot;* \(#\ ##0.00\);_(&quot;€&quot;* &quot;-&quot;??_);_(@_)">
                  <c:v>36152.17</c:v>
                </c:pt>
                <c:pt idx="391" formatCode="_(&quot;€&quot;* #\ ##0.00_);_(&quot;€&quot;* \(#\ ##0.00\);_(&quot;€&quot;* &quot;-&quot;??_);_(@_)">
                  <c:v>36426.86</c:v>
                </c:pt>
                <c:pt idx="392" formatCode="_(&quot;€&quot;* #\ ##0.00_);_(&quot;€&quot;* \(#\ ##0.00\);_(&quot;€&quot;* &quot;-&quot;??_);_(@_)">
                  <c:v>36426.86</c:v>
                </c:pt>
                <c:pt idx="393" formatCode="_(&quot;€&quot;* #\ ##0.00_);_(&quot;€&quot;* \(#\ ##0.00\);_(&quot;€&quot;* &quot;-&quot;??_);_(@_)">
                  <c:v>37211.06</c:v>
                </c:pt>
                <c:pt idx="394" formatCode="_(&quot;€&quot;* #\ ##0.00_);_(&quot;€&quot;* \(#\ ##0.00\);_(&quot;€&quot;* &quot;-&quot;??_);_(@_)">
                  <c:v>35671.83</c:v>
                </c:pt>
                <c:pt idx="395" formatCode="_(&quot;€&quot;* #\ ##0.00_);_(&quot;€&quot;* \(#\ ##0.00\);_(&quot;€&quot;* &quot;-&quot;??_);_(@_)">
                  <c:v>34982.019999999997</c:v>
                </c:pt>
                <c:pt idx="396" formatCode="_(&quot;€&quot;* #\ ##0.00_);_(&quot;€&quot;* \(#\ ##0.00\);_(&quot;€&quot;* &quot;-&quot;??_);_(@_)">
                  <c:v>34982.019999999997</c:v>
                </c:pt>
                <c:pt idx="397" formatCode="_(&quot;€&quot;* #\ ##0.00_);_(&quot;€&quot;* \(#\ ##0.00\);_(&quot;€&quot;* &quot;-&quot;??_);_(@_)">
                  <c:v>36400.32</c:v>
                </c:pt>
                <c:pt idx="398" formatCode="_(&quot;€&quot;* #\ ##0.00_);_(&quot;€&quot;* \(#\ ##0.00\);_(&quot;€&quot;* &quot;-&quot;??_);_(@_)">
                  <c:v>36400.32</c:v>
                </c:pt>
                <c:pt idx="399" formatCode="_(&quot;€&quot;* #\ ##0.00_);_(&quot;€&quot;* \(#\ ##0.00\);_(&quot;€&quot;* &quot;-&quot;??_);_(@_)">
                  <c:v>35169.93</c:v>
                </c:pt>
                <c:pt idx="400" formatCode="_(&quot;€&quot;* #\ ##0.00_);_(&quot;€&quot;* \(#\ ##0.00\);_(&quot;€&quot;* &quot;-&quot;??_);_(@_)">
                  <c:v>35169.93</c:v>
                </c:pt>
                <c:pt idx="401" formatCode="_(&quot;€&quot;* #\ ##0.00_);_(&quot;€&quot;* \(#\ ##0.00\);_(&quot;€&quot;* &quot;-&quot;??_);_(@_)">
                  <c:v>34035.919999999998</c:v>
                </c:pt>
                <c:pt idx="402" formatCode="_(&quot;€&quot;* #\ ##0.00_);_(&quot;€&quot;* \(#\ ##0.00\);_(&quot;€&quot;* &quot;-&quot;??_);_(@_)">
                  <c:v>34035.919999999998</c:v>
                </c:pt>
                <c:pt idx="403" formatCode="_(&quot;€&quot;* #\ ##0.00_);_(&quot;€&quot;* \(#\ ##0.00\);_(&quot;€&quot;* &quot;-&quot;??_);_(@_)">
                  <c:v>33347.21</c:v>
                </c:pt>
                <c:pt idx="404" formatCode="_(&quot;€&quot;* #\ ##0.00_);_(&quot;€&quot;* \(#\ ##0.00\);_(&quot;€&quot;* &quot;-&quot;??_);_(@_)">
                  <c:v>33347.21</c:v>
                </c:pt>
                <c:pt idx="405" formatCode="_(&quot;€&quot;* #\ ##0.00_);_(&quot;€&quot;* \(#\ ##0.00\);_(&quot;€&quot;* &quot;-&quot;??_);_(@_)">
                  <c:v>33969.870000000003</c:v>
                </c:pt>
                <c:pt idx="406" formatCode="_(&quot;€&quot;* #\ ##0.00_);_(&quot;€&quot;* \(#\ ##0.00\);_(&quot;€&quot;* &quot;-&quot;??_);_(@_)">
                  <c:v>33969.870000000003</c:v>
                </c:pt>
                <c:pt idx="407" formatCode="_(&quot;€&quot;* #\ ##0.00_);_(&quot;€&quot;* \(#\ ##0.00\);_(&quot;€&quot;* &quot;-&quot;??_);_(@_)">
                  <c:v>31819.38</c:v>
                </c:pt>
                <c:pt idx="408" formatCode="_(&quot;€&quot;* #\ ##0.00_);_(&quot;€&quot;* \(#\ ##0.00\);_(&quot;€&quot;* &quot;-&quot;??_);_(@_)">
                  <c:v>33074.199999999997</c:v>
                </c:pt>
                <c:pt idx="409" formatCode="_(&quot;€&quot;* #\ ##0.00_);_(&quot;€&quot;* \(#\ ##0.00\);_(&quot;€&quot;* &quot;-&quot;??_);_(@_)">
                  <c:v>33240.78</c:v>
                </c:pt>
                <c:pt idx="410" formatCode="_(&quot;€&quot;* #\ ##0.00_);_(&quot;€&quot;* \(#\ ##0.00\);_(&quot;€&quot;* &quot;-&quot;??_);_(@_)">
                  <c:v>34353.800000000003</c:v>
                </c:pt>
                <c:pt idx="411" formatCode="_(&quot;€&quot;* #\ ##0.00_);_(&quot;€&quot;* \(#\ ##0.00\);_(&quot;€&quot;* &quot;-&quot;??_);_(@_)">
                  <c:v>34277.660000000003</c:v>
                </c:pt>
                <c:pt idx="412" formatCode="_(&quot;€&quot;* #\ ##0.00_);_(&quot;€&quot;* \(#\ ##0.00\);_(&quot;€&quot;* &quot;-&quot;??_);_(@_)">
                  <c:v>34277.660000000003</c:v>
                </c:pt>
                <c:pt idx="413" formatCode="_(&quot;€&quot;* #\ ##0.00_);_(&quot;€&quot;* \(#\ ##0.00\);_(&quot;€&quot;* &quot;-&quot;??_);_(@_)">
                  <c:v>35657.21</c:v>
                </c:pt>
                <c:pt idx="414" formatCode="_(&quot;€&quot;* #\ ##0.00_);_(&quot;€&quot;* \(#\ ##0.00\);_(&quot;€&quot;* &quot;-&quot;??_);_(@_)">
                  <c:v>35290.28</c:v>
                </c:pt>
                <c:pt idx="415" formatCode="_(&quot;€&quot;* #\ ##0.00_);_(&quot;€&quot;* \(#\ ##0.00\);_(&quot;€&quot;* &quot;-&quot;??_);_(@_)">
                  <c:v>36200.79</c:v>
                </c:pt>
                <c:pt idx="416" formatCode="_(&quot;€&quot;* #\ ##0.00_);_(&quot;€&quot;* \(#\ ##0.00\);_(&quot;€&quot;* &quot;-&quot;??_);_(@_)">
                  <c:v>36579.74</c:v>
                </c:pt>
                <c:pt idx="417" formatCode="_(&quot;€&quot;* #\ ##0.00_);_(&quot;€&quot;* \(#\ ##0.00\);_(&quot;€&quot;* &quot;-&quot;??_);_(@_)">
                  <c:v>36786.910000000003</c:v>
                </c:pt>
                <c:pt idx="418" formatCode="_(&quot;€&quot;* #\ ##0.00_);_(&quot;€&quot;* \(#\ ##0.00\);_(&quot;€&quot;* &quot;-&quot;??_);_(@_)">
                  <c:v>36786.910000000003</c:v>
                </c:pt>
                <c:pt idx="419" formatCode="_(&quot;€&quot;* #\ ##0.00_);_(&quot;€&quot;* \(#\ ##0.00\);_(&quot;€&quot;* &quot;-&quot;??_);_(@_)">
                  <c:v>36786.910000000003</c:v>
                </c:pt>
                <c:pt idx="420" formatCode="_(&quot;€&quot;* #\ ##0.00_);_(&quot;€&quot;* \(#\ ##0.00\);_(&quot;€&quot;* &quot;-&quot;??_);_(@_)">
                  <c:v>35269.94</c:v>
                </c:pt>
                <c:pt idx="421" formatCode="_(&quot;€&quot;* #\ ##0.00_);_(&quot;€&quot;* \(#\ ##0.00\);_(&quot;€&quot;* &quot;-&quot;??_);_(@_)">
                  <c:v>35078.589999999997</c:v>
                </c:pt>
                <c:pt idx="422" formatCode="_(&quot;€&quot;* #\ ##0.00_);_(&quot;€&quot;* \(#\ ##0.00\);_(&quot;€&quot;* &quot;-&quot;??_);_(@_)">
                  <c:v>35078.589999999997</c:v>
                </c:pt>
                <c:pt idx="423" formatCode="_(&quot;€&quot;* #\ ##0.00_);_(&quot;€&quot;* \(#\ ##0.00\);_(&quot;€&quot;* &quot;-&quot;??_);_(@_)">
                  <c:v>35078.589999999997</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7-4AA0-45C4-827A-38317B3E1C33}"/>
            </c:ext>
          </c:extLst>
        </c:ser>
        <c:dLbls>
          <c:showLegendKey val="0"/>
          <c:showVal val="0"/>
          <c:showCatName val="0"/>
          <c:showSerName val="0"/>
          <c:showPercent val="0"/>
          <c:showBubbleSize val="0"/>
        </c:dLbls>
        <c:smooth val="0"/>
        <c:axId val="1418891919"/>
        <c:axId val="1418893359"/>
        <c:extLst>
          <c:ext xmlns:c15="http://schemas.microsoft.com/office/drawing/2012/chart" uri="{02D57815-91ED-43cb-92C2-25804820EDAC}">
            <c15:filteredLineSeries>
              <c15:ser>
                <c:idx val="3"/>
                <c:order val="0"/>
                <c:spPr>
                  <a:effectLst>
                    <a:outerShdw blurRad="50800" dist="38100" dir="2700000" algn="tl" rotWithShape="0">
                      <a:prstClr val="black">
                        <a:alpha val="40000"/>
                      </a:prstClr>
                    </a:outerShdw>
                  </a:effectLst>
                </c:spPr>
                <c:marker>
                  <c:symbol val="none"/>
                </c:marker>
                <c:dPt>
                  <c:idx val="11"/>
                  <c:bubble3D val="0"/>
                  <c:extLst>
                    <c:ext xmlns:c16="http://schemas.microsoft.com/office/drawing/2014/chart" uri="{C3380CC4-5D6E-409C-BE32-E72D297353CC}">
                      <c16:uniqueId val="{00000000-3358-4ABF-8AD4-737F422E6BA5}"/>
                    </c:ext>
                  </c:extLst>
                </c:dPt>
                <c:cat>
                  <c:numRef>
                    <c:extLst>
                      <c:ext uri="{02D57815-91ED-43cb-92C2-25804820EDAC}">
                        <c15:formulaRef>
                          <c15:sqref>Accueil!$O$4:$O$492</c15:sqref>
                        </c15:formulaRef>
                      </c:ext>
                    </c:extLst>
                    <c:numCache>
                      <c:formatCode>m/d/yyyy</c:formatCode>
                      <c:ptCount val="489"/>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45613</c:v>
                      </c:pt>
                      <c:pt idx="395">
                        <c:v>45612</c:v>
                      </c:pt>
                      <c:pt idx="396">
                        <c:v>45611</c:v>
                      </c:pt>
                      <c:pt idx="397">
                        <c:v>45610</c:v>
                      </c:pt>
                      <c:pt idx="398">
                        <c:v>45609</c:v>
                      </c:pt>
                      <c:pt idx="399">
                        <c:v>45608</c:v>
                      </c:pt>
                      <c:pt idx="400">
                        <c:v>45607</c:v>
                      </c:pt>
                      <c:pt idx="401">
                        <c:v>45606</c:v>
                      </c:pt>
                      <c:pt idx="402">
                        <c:v>45605</c:v>
                      </c:pt>
                      <c:pt idx="403">
                        <c:v>45604</c:v>
                      </c:pt>
                      <c:pt idx="404">
                        <c:v>45603</c:v>
                      </c:pt>
                      <c:pt idx="405">
                        <c:v>45602</c:v>
                      </c:pt>
                      <c:pt idx="406">
                        <c:v>45601</c:v>
                      </c:pt>
                      <c:pt idx="407">
                        <c:v>45600</c:v>
                      </c:pt>
                      <c:pt idx="408">
                        <c:v>45599</c:v>
                      </c:pt>
                      <c:pt idx="409">
                        <c:v>45598</c:v>
                      </c:pt>
                      <c:pt idx="410">
                        <c:v>45597</c:v>
                      </c:pt>
                      <c:pt idx="411">
                        <c:v>45594</c:v>
                      </c:pt>
                      <c:pt idx="412">
                        <c:v>45593</c:v>
                      </c:pt>
                      <c:pt idx="413">
                        <c:v>45592</c:v>
                      </c:pt>
                      <c:pt idx="414">
                        <c:v>45591</c:v>
                      </c:pt>
                      <c:pt idx="415">
                        <c:v>45590</c:v>
                      </c:pt>
                      <c:pt idx="416">
                        <c:v>45589</c:v>
                      </c:pt>
                      <c:pt idx="417">
                        <c:v>45588</c:v>
                      </c:pt>
                      <c:pt idx="418">
                        <c:v>45587</c:v>
                      </c:pt>
                      <c:pt idx="419">
                        <c:v>45586</c:v>
                      </c:pt>
                      <c:pt idx="420">
                        <c:v>45585</c:v>
                      </c:pt>
                      <c:pt idx="421">
                        <c:v>45584</c:v>
                      </c:pt>
                      <c:pt idx="422">
                        <c:v>45583</c:v>
                      </c:pt>
                      <c:pt idx="423">
                        <c:v>45582</c:v>
                      </c:pt>
                      <c:pt idx="424">
                        <c:v>45581</c:v>
                      </c:pt>
                      <c:pt idx="425">
                        <c:v>45580</c:v>
                      </c:pt>
                      <c:pt idx="426">
                        <c:v>45579</c:v>
                      </c:pt>
                      <c:pt idx="427">
                        <c:v>45578</c:v>
                      </c:pt>
                      <c:pt idx="428">
                        <c:v>45577</c:v>
                      </c:pt>
                      <c:pt idx="429">
                        <c:v>45576</c:v>
                      </c:pt>
                      <c:pt idx="430">
                        <c:v>45575</c:v>
                      </c:pt>
                      <c:pt idx="431">
                        <c:v>45574</c:v>
                      </c:pt>
                      <c:pt idx="432">
                        <c:v>45573</c:v>
                      </c:pt>
                      <c:pt idx="433">
                        <c:v>45572</c:v>
                      </c:pt>
                      <c:pt idx="434">
                        <c:v>45571</c:v>
                      </c:pt>
                      <c:pt idx="435">
                        <c:v>45570</c:v>
                      </c:pt>
                      <c:pt idx="436">
                        <c:v>45569</c:v>
                      </c:pt>
                      <c:pt idx="437">
                        <c:v>45568</c:v>
                      </c:pt>
                      <c:pt idx="438">
                        <c:v>45567</c:v>
                      </c:pt>
                      <c:pt idx="439">
                        <c:v>45566</c:v>
                      </c:pt>
                      <c:pt idx="440">
                        <c:v>45565</c:v>
                      </c:pt>
                      <c:pt idx="441">
                        <c:v>45564</c:v>
                      </c:pt>
                      <c:pt idx="442">
                        <c:v>45563</c:v>
                      </c:pt>
                      <c:pt idx="443">
                        <c:v>45562</c:v>
                      </c:pt>
                      <c:pt idx="444">
                        <c:v>45561</c:v>
                      </c:pt>
                      <c:pt idx="445">
                        <c:v>45560</c:v>
                      </c:pt>
                      <c:pt idx="446">
                        <c:v>45559</c:v>
                      </c:pt>
                      <c:pt idx="447">
                        <c:v>45558</c:v>
                      </c:pt>
                      <c:pt idx="448">
                        <c:v>45557</c:v>
                      </c:pt>
                      <c:pt idx="449">
                        <c:v>45556</c:v>
                      </c:pt>
                      <c:pt idx="450">
                        <c:v>45555</c:v>
                      </c:pt>
                      <c:pt idx="451">
                        <c:v>45554</c:v>
                      </c:pt>
                      <c:pt idx="452">
                        <c:v>45553</c:v>
                      </c:pt>
                      <c:pt idx="453">
                        <c:v>45552</c:v>
                      </c:pt>
                      <c:pt idx="454">
                        <c:v>45551</c:v>
                      </c:pt>
                      <c:pt idx="455">
                        <c:v>45550</c:v>
                      </c:pt>
                      <c:pt idx="456">
                        <c:v>45549</c:v>
                      </c:pt>
                      <c:pt idx="457">
                        <c:v>45548</c:v>
                      </c:pt>
                      <c:pt idx="458">
                        <c:v>45547</c:v>
                      </c:pt>
                      <c:pt idx="459">
                        <c:v>45546</c:v>
                      </c:pt>
                      <c:pt idx="460">
                        <c:v>45545</c:v>
                      </c:pt>
                      <c:pt idx="461">
                        <c:v>45544</c:v>
                      </c:pt>
                      <c:pt idx="462">
                        <c:v>45543</c:v>
                      </c:pt>
                      <c:pt idx="463">
                        <c:v>45542</c:v>
                      </c:pt>
                      <c:pt idx="464">
                        <c:v>45541</c:v>
                      </c:pt>
                      <c:pt idx="465">
                        <c:v>45540</c:v>
                      </c:pt>
                      <c:pt idx="466">
                        <c:v>45539</c:v>
                      </c:pt>
                      <c:pt idx="467">
                        <c:v>45538</c:v>
                      </c:pt>
                      <c:pt idx="468">
                        <c:v>45537</c:v>
                      </c:pt>
                      <c:pt idx="469">
                        <c:v>45536</c:v>
                      </c:pt>
                      <c:pt idx="470">
                        <c:v>45535</c:v>
                      </c:pt>
                      <c:pt idx="471">
                        <c:v>45534</c:v>
                      </c:pt>
                      <c:pt idx="472">
                        <c:v>45533</c:v>
                      </c:pt>
                      <c:pt idx="473">
                        <c:v>45532</c:v>
                      </c:pt>
                      <c:pt idx="474">
                        <c:v>45531</c:v>
                      </c:pt>
                      <c:pt idx="475">
                        <c:v>45530</c:v>
                      </c:pt>
                      <c:pt idx="476">
                        <c:v>45529</c:v>
                      </c:pt>
                      <c:pt idx="477">
                        <c:v>45528</c:v>
                      </c:pt>
                      <c:pt idx="478">
                        <c:v>45527</c:v>
                      </c:pt>
                      <c:pt idx="479">
                        <c:v>45526</c:v>
                      </c:pt>
                      <c:pt idx="480">
                        <c:v>45525</c:v>
                      </c:pt>
                      <c:pt idx="481">
                        <c:v>45524</c:v>
                      </c:pt>
                      <c:pt idx="482">
                        <c:v>45523</c:v>
                      </c:pt>
                      <c:pt idx="483">
                        <c:v>45522</c:v>
                      </c:pt>
                      <c:pt idx="484">
                        <c:v>45521</c:v>
                      </c:pt>
                      <c:pt idx="485">
                        <c:v>45520</c:v>
                      </c:pt>
                      <c:pt idx="486">
                        <c:v>45519</c:v>
                      </c:pt>
                      <c:pt idx="487">
                        <c:v>45516</c:v>
                      </c:pt>
                      <c:pt idx="488">
                        <c:v>45515</c:v>
                      </c:pt>
                    </c:numCache>
                  </c:numRef>
                </c:cat>
                <c:val>
                  <c:numRef>
                    <c:extLst>
                      <c:ext uri="{02D57815-91ED-43cb-92C2-25804820EDAC}">
                        <c15:formulaRef>
                          <c15:sqref>Accueil!$P$4:$P$492</c15:sqref>
                        </c15:formulaRef>
                      </c:ext>
                    </c:extLst>
                    <c:numCache>
                      <c:formatCode>_("€"* #\ ##0.00_);_("€"* \(#\ ##0.00\);_("€"* "-"??_);_(@_)</c:formatCode>
                      <c:ptCount val="489"/>
                      <c:pt idx="0">
                        <c:v>114397.26</c:v>
                      </c:pt>
                      <c:pt idx="1">
                        <c:v>114407.67</c:v>
                      </c:pt>
                      <c:pt idx="2">
                        <c:v>114422.72</c:v>
                      </c:pt>
                      <c:pt idx="3">
                        <c:v>114437.78</c:v>
                      </c:pt>
                      <c:pt idx="4">
                        <c:v>114564.84</c:v>
                      </c:pt>
                      <c:pt idx="5">
                        <c:v>114568.65</c:v>
                      </c:pt>
                      <c:pt idx="6">
                        <c:v>114594.15</c:v>
                      </c:pt>
                      <c:pt idx="7">
                        <c:v>114742.63</c:v>
                      </c:pt>
                      <c:pt idx="8">
                        <c:v>114751.26</c:v>
                      </c:pt>
                      <c:pt idx="9">
                        <c:v>114919.23</c:v>
                      </c:pt>
                      <c:pt idx="10">
                        <c:v>114906.24000000001</c:v>
                      </c:pt>
                      <c:pt idx="11">
                        <c:v>114893.25</c:v>
                      </c:pt>
                      <c:pt idx="12">
                        <c:v>114931.52</c:v>
                      </c:pt>
                      <c:pt idx="13">
                        <c:v>115046.73</c:v>
                      </c:pt>
                      <c:pt idx="14">
                        <c:v>115135.1</c:v>
                      </c:pt>
                      <c:pt idx="15">
                        <c:v>115176.36</c:v>
                      </c:pt>
                      <c:pt idx="16">
                        <c:v>115217.61</c:v>
                      </c:pt>
                      <c:pt idx="17">
                        <c:v>115258.86</c:v>
                      </c:pt>
                      <c:pt idx="18">
                        <c:v>115253.99</c:v>
                      </c:pt>
                      <c:pt idx="19">
                        <c:v>115249.11</c:v>
                      </c:pt>
                      <c:pt idx="20">
                        <c:v>115092.54</c:v>
                      </c:pt>
                      <c:pt idx="21">
                        <c:v>115145.12</c:v>
                      </c:pt>
                      <c:pt idx="22">
                        <c:v>115185.8</c:v>
                      </c:pt>
                      <c:pt idx="23">
                        <c:v>115182.69</c:v>
                      </c:pt>
                      <c:pt idx="24">
                        <c:v>115179.85</c:v>
                      </c:pt>
                      <c:pt idx="25">
                        <c:v>115177</c:v>
                      </c:pt>
                      <c:pt idx="26">
                        <c:v>115326.28</c:v>
                      </c:pt>
                      <c:pt idx="27">
                        <c:v>115322.87</c:v>
                      </c:pt>
                      <c:pt idx="28">
                        <c:v>115203.66</c:v>
                      </c:pt>
                      <c:pt idx="29">
                        <c:v>115330.98</c:v>
                      </c:pt>
                      <c:pt idx="30">
                        <c:v>115611</c:v>
                      </c:pt>
                      <c:pt idx="31">
                        <c:v>115891.02</c:v>
                      </c:pt>
                      <c:pt idx="32">
                        <c:v>115921.57</c:v>
                      </c:pt>
                      <c:pt idx="33">
                        <c:v>115800.55</c:v>
                      </c:pt>
                      <c:pt idx="34">
                        <c:v>115845.53</c:v>
                      </c:pt>
                      <c:pt idx="35">
                        <c:v>115890.5</c:v>
                      </c:pt>
                      <c:pt idx="36">
                        <c:v>115807.02</c:v>
                      </c:pt>
                      <c:pt idx="37">
                        <c:v>115871.54</c:v>
                      </c:pt>
                      <c:pt idx="38">
                        <c:v>116197.22</c:v>
                      </c:pt>
                      <c:pt idx="39">
                        <c:v>116190.21</c:v>
                      </c:pt>
                      <c:pt idx="40">
                        <c:v>115918.9</c:v>
                      </c:pt>
                      <c:pt idx="41">
                        <c:v>115895.72</c:v>
                      </c:pt>
                      <c:pt idx="42">
                        <c:v>116042.37</c:v>
                      </c:pt>
                      <c:pt idx="43">
                        <c:v>116189.03</c:v>
                      </c:pt>
                      <c:pt idx="44">
                        <c:v>116335.67999999999</c:v>
                      </c:pt>
                      <c:pt idx="45">
                        <c:v>116219.8</c:v>
                      </c:pt>
                      <c:pt idx="46">
                        <c:v>116103.92</c:v>
                      </c:pt>
                      <c:pt idx="47">
                        <c:v>115918.82</c:v>
                      </c:pt>
                      <c:pt idx="48">
                        <c:v>115901.95</c:v>
                      </c:pt>
                      <c:pt idx="49">
                        <c:v>116219.12</c:v>
                      </c:pt>
                      <c:pt idx="50">
                        <c:v>116476.28</c:v>
                      </c:pt>
                      <c:pt idx="51">
                        <c:v>116239.95</c:v>
                      </c:pt>
                      <c:pt idx="52">
                        <c:v>116287.02</c:v>
                      </c:pt>
                      <c:pt idx="53">
                        <c:v>116236.03</c:v>
                      </c:pt>
                      <c:pt idx="54">
                        <c:v>116185.04</c:v>
                      </c:pt>
                      <c:pt idx="55">
                        <c:v>116355.46</c:v>
                      </c:pt>
                      <c:pt idx="56">
                        <c:v>116410.93</c:v>
                      </c:pt>
                      <c:pt idx="57">
                        <c:v>116466.4</c:v>
                      </c:pt>
                      <c:pt idx="58">
                        <c:v>116433.99</c:v>
                      </c:pt>
                      <c:pt idx="59">
                        <c:v>116245.11</c:v>
                      </c:pt>
                      <c:pt idx="60">
                        <c:v>116167.87</c:v>
                      </c:pt>
                      <c:pt idx="61">
                        <c:v>116058.62</c:v>
                      </c:pt>
                      <c:pt idx="62">
                        <c:v>115826.26</c:v>
                      </c:pt>
                      <c:pt idx="63">
                        <c:v>115906.73</c:v>
                      </c:pt>
                      <c:pt idx="64">
                        <c:v>116095.05</c:v>
                      </c:pt>
                      <c:pt idx="65">
                        <c:v>116216.46</c:v>
                      </c:pt>
                      <c:pt idx="66">
                        <c:v>116459.29</c:v>
                      </c:pt>
                      <c:pt idx="67">
                        <c:v>116702.31</c:v>
                      </c:pt>
                      <c:pt idx="68">
                        <c:v>116622.78</c:v>
                      </c:pt>
                      <c:pt idx="69">
                        <c:v>116543.25</c:v>
                      </c:pt>
                      <c:pt idx="70">
                        <c:v>116463.72</c:v>
                      </c:pt>
                      <c:pt idx="71">
                        <c:v>116522.8</c:v>
                      </c:pt>
                      <c:pt idx="72">
                        <c:v>116581.77</c:v>
                      </c:pt>
                      <c:pt idx="73">
                        <c:v>116629.29</c:v>
                      </c:pt>
                      <c:pt idx="74">
                        <c:v>116676.8</c:v>
                      </c:pt>
                      <c:pt idx="75">
                        <c:v>116775.89</c:v>
                      </c:pt>
                      <c:pt idx="76">
                        <c:v>116982.61</c:v>
                      </c:pt>
                      <c:pt idx="77">
                        <c:v>116793.23</c:v>
                      </c:pt>
                      <c:pt idx="79">
                        <c:v>116771.03</c:v>
                      </c:pt>
                      <c:pt idx="80">
                        <c:v>116897.18</c:v>
                      </c:pt>
                      <c:pt idx="81">
                        <c:v>117023.33</c:v>
                      </c:pt>
                      <c:pt idx="82">
                        <c:v>116941.7</c:v>
                      </c:pt>
                      <c:pt idx="83">
                        <c:v>116692.9</c:v>
                      </c:pt>
                      <c:pt idx="84">
                        <c:v>116880.67</c:v>
                      </c:pt>
                      <c:pt idx="85">
                        <c:v>117185.43</c:v>
                      </c:pt>
                      <c:pt idx="86">
                        <c:v>117370.49</c:v>
                      </c:pt>
                      <c:pt idx="87">
                        <c:v>117420.12</c:v>
                      </c:pt>
                      <c:pt idx="88">
                        <c:v>117512.34</c:v>
                      </c:pt>
                      <c:pt idx="89">
                        <c:v>117632.5</c:v>
                      </c:pt>
                      <c:pt idx="90">
                        <c:v>117585.72</c:v>
                      </c:pt>
                      <c:pt idx="91">
                        <c:v>117609.45</c:v>
                      </c:pt>
                      <c:pt idx="92">
                        <c:v>117672.92</c:v>
                      </c:pt>
                      <c:pt idx="93">
                        <c:v>117800.33</c:v>
                      </c:pt>
                      <c:pt idx="94">
                        <c:v>117948.22</c:v>
                      </c:pt>
                      <c:pt idx="95">
                        <c:v>117959.54</c:v>
                      </c:pt>
                      <c:pt idx="96">
                        <c:v>117998.13</c:v>
                      </c:pt>
                      <c:pt idx="97">
                        <c:v>118375.35</c:v>
                      </c:pt>
                      <c:pt idx="98">
                        <c:v>118540.47</c:v>
                      </c:pt>
                      <c:pt idx="99">
                        <c:v>118486.59</c:v>
                      </c:pt>
                      <c:pt idx="100">
                        <c:v>118576.33</c:v>
                      </c:pt>
                      <c:pt idx="101">
                        <c:v>118667.75</c:v>
                      </c:pt>
                      <c:pt idx="102">
                        <c:v>118589.55</c:v>
                      </c:pt>
                      <c:pt idx="103">
                        <c:v>118576.43</c:v>
                      </c:pt>
                      <c:pt idx="104">
                        <c:v>118563.31</c:v>
                      </c:pt>
                      <c:pt idx="105">
                        <c:v>118400.69</c:v>
                      </c:pt>
                      <c:pt idx="106">
                        <c:v>118266.48</c:v>
                      </c:pt>
                      <c:pt idx="107">
                        <c:v>118538.33</c:v>
                      </c:pt>
                      <c:pt idx="108">
                        <c:v>118581.77</c:v>
                      </c:pt>
                      <c:pt idx="109">
                        <c:v>118625.2</c:v>
                      </c:pt>
                      <c:pt idx="110">
                        <c:v>118668.64</c:v>
                      </c:pt>
                      <c:pt idx="111">
                        <c:v>118712.08</c:v>
                      </c:pt>
                      <c:pt idx="112">
                        <c:v>118923.33</c:v>
                      </c:pt>
                      <c:pt idx="113">
                        <c:v>118881.86</c:v>
                      </c:pt>
                      <c:pt idx="114">
                        <c:v>118840.4</c:v>
                      </c:pt>
                      <c:pt idx="115">
                        <c:v>118859.93</c:v>
                      </c:pt>
                      <c:pt idx="116">
                        <c:v>118574.01</c:v>
                      </c:pt>
                      <c:pt idx="117">
                        <c:v>118524.03</c:v>
                      </c:pt>
                      <c:pt idx="118">
                        <c:v>118490.74</c:v>
                      </c:pt>
                      <c:pt idx="119">
                        <c:v>118456.37</c:v>
                      </c:pt>
                      <c:pt idx="120">
                        <c:v>118192.38</c:v>
                      </c:pt>
                      <c:pt idx="121">
                        <c:v>118087.31</c:v>
                      </c:pt>
                      <c:pt idx="122">
                        <c:v>117982.23</c:v>
                      </c:pt>
                      <c:pt idx="123">
                        <c:v>118155.03</c:v>
                      </c:pt>
                      <c:pt idx="124">
                        <c:v>118098.38</c:v>
                      </c:pt>
                      <c:pt idx="125">
                        <c:v>118041.73</c:v>
                      </c:pt>
                      <c:pt idx="126">
                        <c:v>117985.09</c:v>
                      </c:pt>
                      <c:pt idx="127">
                        <c:v>117872.01</c:v>
                      </c:pt>
                      <c:pt idx="128">
                        <c:v>117656.02</c:v>
                      </c:pt>
                      <c:pt idx="129">
                        <c:v>117658.21</c:v>
                      </c:pt>
                      <c:pt idx="130">
                        <c:v>117740.91</c:v>
                      </c:pt>
                      <c:pt idx="131">
                        <c:v>117812.64</c:v>
                      </c:pt>
                      <c:pt idx="132">
                        <c:v>117806.93</c:v>
                      </c:pt>
                      <c:pt idx="133">
                        <c:v>117801.21</c:v>
                      </c:pt>
                      <c:pt idx="134">
                        <c:v>117795.5</c:v>
                      </c:pt>
                      <c:pt idx="135">
                        <c:v>117675.65</c:v>
                      </c:pt>
                      <c:pt idx="136">
                        <c:v>117556.82</c:v>
                      </c:pt>
                      <c:pt idx="137">
                        <c:v>117437.99</c:v>
                      </c:pt>
                      <c:pt idx="138">
                        <c:v>117329.68</c:v>
                      </c:pt>
                      <c:pt idx="139">
                        <c:v>117277.81</c:v>
                      </c:pt>
                      <c:pt idx="140">
                        <c:v>117205.54</c:v>
                      </c:pt>
                      <c:pt idx="141">
                        <c:v>117133.27</c:v>
                      </c:pt>
                      <c:pt idx="142">
                        <c:v>117164.72</c:v>
                      </c:pt>
                      <c:pt idx="143">
                        <c:v>117274.94</c:v>
                      </c:pt>
                      <c:pt idx="144">
                        <c:v>117312.83</c:v>
                      </c:pt>
                      <c:pt idx="145">
                        <c:v>117350.73</c:v>
                      </c:pt>
                      <c:pt idx="146">
                        <c:v>117563.22</c:v>
                      </c:pt>
                      <c:pt idx="147">
                        <c:v>117468.26</c:v>
                      </c:pt>
                      <c:pt idx="148">
                        <c:v>117443.21</c:v>
                      </c:pt>
                      <c:pt idx="149">
                        <c:v>117418.17</c:v>
                      </c:pt>
                      <c:pt idx="150">
                        <c:v>117422.64</c:v>
                      </c:pt>
                      <c:pt idx="151">
                        <c:v>117217.84</c:v>
                      </c:pt>
                      <c:pt idx="152">
                        <c:v>117216.42</c:v>
                      </c:pt>
                      <c:pt idx="153">
                        <c:v>117197.92</c:v>
                      </c:pt>
                      <c:pt idx="154">
                        <c:v>117179.41</c:v>
                      </c:pt>
                      <c:pt idx="155">
                        <c:v>116994.03</c:v>
                      </c:pt>
                      <c:pt idx="156">
                        <c:v>116954.89</c:v>
                      </c:pt>
                      <c:pt idx="157">
                        <c:v>116971.86</c:v>
                      </c:pt>
                      <c:pt idx="158">
                        <c:v>116914.76</c:v>
                      </c:pt>
                      <c:pt idx="159">
                        <c:v>116794.74</c:v>
                      </c:pt>
                      <c:pt idx="160">
                        <c:v>116902.15</c:v>
                      </c:pt>
                      <c:pt idx="161">
                        <c:v>116777.75</c:v>
                      </c:pt>
                      <c:pt idx="162">
                        <c:v>116653.35</c:v>
                      </c:pt>
                      <c:pt idx="163">
                        <c:v>116386.77</c:v>
                      </c:pt>
                      <c:pt idx="164">
                        <c:v>116261.99</c:v>
                      </c:pt>
                      <c:pt idx="165">
                        <c:v>116574.37</c:v>
                      </c:pt>
                      <c:pt idx="166">
                        <c:v>116444.2</c:v>
                      </c:pt>
                      <c:pt idx="167">
                        <c:v>116314.03</c:v>
                      </c:pt>
                      <c:pt idx="168">
                        <c:v>116183.86</c:v>
                      </c:pt>
                      <c:pt idx="169">
                        <c:v>116324.23</c:v>
                      </c:pt>
                      <c:pt idx="170">
                        <c:v>116483.52</c:v>
                      </c:pt>
                      <c:pt idx="171">
                        <c:v>116664.38</c:v>
                      </c:pt>
                      <c:pt idx="172">
                        <c:v>116984.53</c:v>
                      </c:pt>
                      <c:pt idx="173">
                        <c:v>117180.24</c:v>
                      </c:pt>
                      <c:pt idx="174">
                        <c:v>117180.24</c:v>
                      </c:pt>
                      <c:pt idx="175">
                        <c:v>116953.35</c:v>
                      </c:pt>
                      <c:pt idx="176">
                        <c:v>117192.12</c:v>
                      </c:pt>
                      <c:pt idx="177">
                        <c:v>117430.89</c:v>
                      </c:pt>
                      <c:pt idx="178">
                        <c:v>117669.6</c:v>
                      </c:pt>
                      <c:pt idx="179">
                        <c:v>118012.26</c:v>
                      </c:pt>
                      <c:pt idx="180">
                        <c:v>118354.92</c:v>
                      </c:pt>
                      <c:pt idx="181">
                        <c:v>118674.04</c:v>
                      </c:pt>
                      <c:pt idx="182">
                        <c:v>118841.01</c:v>
                      </c:pt>
                      <c:pt idx="183">
                        <c:v>118542.33</c:v>
                      </c:pt>
                      <c:pt idx="184">
                        <c:v>118798.59</c:v>
                      </c:pt>
                      <c:pt idx="185">
                        <c:v>119198.05</c:v>
                      </c:pt>
                      <c:pt idx="186">
                        <c:v>119553.3</c:v>
                      </c:pt>
                      <c:pt idx="187">
                        <c:v>119908.56</c:v>
                      </c:pt>
                      <c:pt idx="188">
                        <c:v>120220.84</c:v>
                      </c:pt>
                      <c:pt idx="189">
                        <c:v>120583.09</c:v>
                      </c:pt>
                      <c:pt idx="190">
                        <c:v>120978.58</c:v>
                      </c:pt>
                      <c:pt idx="191">
                        <c:v>121411.69</c:v>
                      </c:pt>
                      <c:pt idx="192">
                        <c:v>121397.68</c:v>
                      </c:pt>
                      <c:pt idx="193">
                        <c:v>121383.67</c:v>
                      </c:pt>
                      <c:pt idx="194">
                        <c:v>121369.66</c:v>
                      </c:pt>
                      <c:pt idx="195">
                        <c:v>121021.44</c:v>
                      </c:pt>
                      <c:pt idx="196">
                        <c:v>120654.57</c:v>
                      </c:pt>
                      <c:pt idx="197">
                        <c:v>120627.42</c:v>
                      </c:pt>
                      <c:pt idx="198">
                        <c:v>120962.83</c:v>
                      </c:pt>
                      <c:pt idx="199">
                        <c:v>120951.12</c:v>
                      </c:pt>
                      <c:pt idx="200">
                        <c:v>121112.17</c:v>
                      </c:pt>
                      <c:pt idx="201">
                        <c:v>121273.22</c:v>
                      </c:pt>
                      <c:pt idx="202">
                        <c:v>121434.27</c:v>
                      </c:pt>
                      <c:pt idx="203">
                        <c:v>121571.33</c:v>
                      </c:pt>
                      <c:pt idx="204">
                        <c:v>121368.66</c:v>
                      </c:pt>
                      <c:pt idx="205">
                        <c:v>121378.5</c:v>
                      </c:pt>
                      <c:pt idx="206">
                        <c:v>121180.79</c:v>
                      </c:pt>
                      <c:pt idx="207">
                        <c:v>120983.08</c:v>
                      </c:pt>
                      <c:pt idx="208">
                        <c:v>121008.23</c:v>
                      </c:pt>
                      <c:pt idx="209">
                        <c:v>121033.39</c:v>
                      </c:pt>
                      <c:pt idx="210">
                        <c:v>121010.46</c:v>
                      </c:pt>
                      <c:pt idx="211">
                        <c:v>121071.43</c:v>
                      </c:pt>
                      <c:pt idx="212">
                        <c:v>121132.4</c:v>
                      </c:pt>
                      <c:pt idx="213">
                        <c:v>121240.08</c:v>
                      </c:pt>
                      <c:pt idx="214">
                        <c:v>121109.55</c:v>
                      </c:pt>
                      <c:pt idx="215">
                        <c:v>121156.39</c:v>
                      </c:pt>
                      <c:pt idx="216">
                        <c:v>121203.24</c:v>
                      </c:pt>
                      <c:pt idx="217">
                        <c:v>121426.83</c:v>
                      </c:pt>
                      <c:pt idx="218">
                        <c:v>121312.7</c:v>
                      </c:pt>
                      <c:pt idx="219">
                        <c:v>121265.83</c:v>
                      </c:pt>
                      <c:pt idx="220">
                        <c:v>121311.52</c:v>
                      </c:pt>
                      <c:pt idx="221">
                        <c:v>121302.49</c:v>
                      </c:pt>
                      <c:pt idx="222">
                        <c:v>121293.47</c:v>
                      </c:pt>
                      <c:pt idx="223">
                        <c:v>121065.93</c:v>
                      </c:pt>
                      <c:pt idx="224">
                        <c:v>121043.87</c:v>
                      </c:pt>
                      <c:pt idx="225">
                        <c:v>121010.29</c:v>
                      </c:pt>
                      <c:pt idx="226">
                        <c:v>120976.7</c:v>
                      </c:pt>
                      <c:pt idx="227">
                        <c:v>120990.67</c:v>
                      </c:pt>
                      <c:pt idx="228">
                        <c:v>121016.34</c:v>
                      </c:pt>
                      <c:pt idx="229">
                        <c:v>121009.82</c:v>
                      </c:pt>
                      <c:pt idx="230">
                        <c:v>121000</c:v>
                      </c:pt>
                      <c:pt idx="231">
                        <c:v>120990.18</c:v>
                      </c:pt>
                      <c:pt idx="232">
                        <c:v>121407.41</c:v>
                      </c:pt>
                      <c:pt idx="233">
                        <c:v>121392.8</c:v>
                      </c:pt>
                      <c:pt idx="234">
                        <c:v>121193.60000000001</c:v>
                      </c:pt>
                      <c:pt idx="235">
                        <c:v>120994.4</c:v>
                      </c:pt>
                      <c:pt idx="236">
                        <c:v>121144.69</c:v>
                      </c:pt>
                      <c:pt idx="237">
                        <c:v>121094.52</c:v>
                      </c:pt>
                      <c:pt idx="238">
                        <c:v>121009.49</c:v>
                      </c:pt>
                      <c:pt idx="239">
                        <c:v>121017.97</c:v>
                      </c:pt>
                      <c:pt idx="240">
                        <c:v>121037.21</c:v>
                      </c:pt>
                      <c:pt idx="241">
                        <c:v>121056.44</c:v>
                      </c:pt>
                      <c:pt idx="242">
                        <c:v>121046.15</c:v>
                      </c:pt>
                      <c:pt idx="243">
                        <c:v>120759.11</c:v>
                      </c:pt>
                      <c:pt idx="244">
                        <c:v>120904.46</c:v>
                      </c:pt>
                      <c:pt idx="245">
                        <c:v>121022.85</c:v>
                      </c:pt>
                      <c:pt idx="246">
                        <c:v>121192.78</c:v>
                      </c:pt>
                      <c:pt idx="247">
                        <c:v>121146.08</c:v>
                      </c:pt>
                      <c:pt idx="248">
                        <c:v>121088.31</c:v>
                      </c:pt>
                      <c:pt idx="249">
                        <c:v>121001.65</c:v>
                      </c:pt>
                      <c:pt idx="250">
                        <c:v>121047.91</c:v>
                      </c:pt>
                      <c:pt idx="251">
                        <c:v>120961.77</c:v>
                      </c:pt>
                      <c:pt idx="252">
                        <c:v>121121.53</c:v>
                      </c:pt>
                      <c:pt idx="253">
                        <c:v>121363.54</c:v>
                      </c:pt>
                      <c:pt idx="254">
                        <c:v>121902.03</c:v>
                      </c:pt>
                      <c:pt idx="255">
                        <c:v>121923.8</c:v>
                      </c:pt>
                      <c:pt idx="256">
                        <c:v>121820.71</c:v>
                      </c:pt>
                      <c:pt idx="257">
                        <c:v>121997.2</c:v>
                      </c:pt>
                      <c:pt idx="258">
                        <c:v>122041.29</c:v>
                      </c:pt>
                      <c:pt idx="259">
                        <c:v>122129.45</c:v>
                      </c:pt>
                      <c:pt idx="260">
                        <c:v>122079.65</c:v>
                      </c:pt>
                      <c:pt idx="261">
                        <c:v>122370.16</c:v>
                      </c:pt>
                      <c:pt idx="262">
                        <c:v>122371.18</c:v>
                      </c:pt>
                      <c:pt idx="263">
                        <c:v>122608.91</c:v>
                      </c:pt>
                      <c:pt idx="264">
                        <c:v>122610.15</c:v>
                      </c:pt>
                      <c:pt idx="265">
                        <c:v>122691.89</c:v>
                      </c:pt>
                      <c:pt idx="266">
                        <c:v>122718.73</c:v>
                      </c:pt>
                      <c:pt idx="267">
                        <c:v>122806.41</c:v>
                      </c:pt>
                      <c:pt idx="268">
                        <c:v>123003.93</c:v>
                      </c:pt>
                      <c:pt idx="269">
                        <c:v>122931.12</c:v>
                      </c:pt>
                      <c:pt idx="270">
                        <c:v>122964.47</c:v>
                      </c:pt>
                      <c:pt idx="271">
                        <c:v>123040.89</c:v>
                      </c:pt>
                      <c:pt idx="272">
                        <c:v>123117.3</c:v>
                      </c:pt>
                      <c:pt idx="273">
                        <c:v>123361.52</c:v>
                      </c:pt>
                      <c:pt idx="274">
                        <c:v>124540.25</c:v>
                      </c:pt>
                      <c:pt idx="275">
                        <c:v>124771.46</c:v>
                      </c:pt>
                      <c:pt idx="276">
                        <c:v>124965.3</c:v>
                      </c:pt>
                      <c:pt idx="277">
                        <c:v>125021.05</c:v>
                      </c:pt>
                      <c:pt idx="278">
                        <c:v>125231.83</c:v>
                      </c:pt>
                      <c:pt idx="279">
                        <c:v>125442.61</c:v>
                      </c:pt>
                      <c:pt idx="280">
                        <c:v>125549.55</c:v>
                      </c:pt>
                      <c:pt idx="281">
                        <c:v>125656.48</c:v>
                      </c:pt>
                      <c:pt idx="282">
                        <c:v>125763.42</c:v>
                      </c:pt>
                      <c:pt idx="283">
                        <c:v>125789.68</c:v>
                      </c:pt>
                      <c:pt idx="284">
                        <c:v>125954.03</c:v>
                      </c:pt>
                      <c:pt idx="285">
                        <c:v>125987.22</c:v>
                      </c:pt>
                      <c:pt idx="286">
                        <c:v>126020.42</c:v>
                      </c:pt>
                      <c:pt idx="287">
                        <c:v>126053.61</c:v>
                      </c:pt>
                      <c:pt idx="288">
                        <c:v>126007.91</c:v>
                      </c:pt>
                      <c:pt idx="289">
                        <c:v>125962.21</c:v>
                      </c:pt>
                      <c:pt idx="290">
                        <c:v>126057.13</c:v>
                      </c:pt>
                      <c:pt idx="291">
                        <c:v>126043.74</c:v>
                      </c:pt>
                      <c:pt idx="292">
                        <c:v>125921.69</c:v>
                      </c:pt>
                      <c:pt idx="293">
                        <c:v>125742.39</c:v>
                      </c:pt>
                      <c:pt idx="294">
                        <c:v>125799.4</c:v>
                      </c:pt>
                      <c:pt idx="295">
                        <c:v>125798.36</c:v>
                      </c:pt>
                      <c:pt idx="296">
                        <c:v>125846.92</c:v>
                      </c:pt>
                      <c:pt idx="297">
                        <c:v>125783.65</c:v>
                      </c:pt>
                      <c:pt idx="298">
                        <c:v>125792.06</c:v>
                      </c:pt>
                      <c:pt idx="299">
                        <c:v>125800.47</c:v>
                      </c:pt>
                      <c:pt idx="300">
                        <c:v>125848.88</c:v>
                      </c:pt>
                      <c:pt idx="301">
                        <c:v>125927.7</c:v>
                      </c:pt>
                      <c:pt idx="302">
                        <c:v>126006.53</c:v>
                      </c:pt>
                      <c:pt idx="303">
                        <c:v>126327.38</c:v>
                      </c:pt>
                      <c:pt idx="304">
                        <c:v>126258.89</c:v>
                      </c:pt>
                      <c:pt idx="305">
                        <c:v>126606.63</c:v>
                      </c:pt>
                      <c:pt idx="306">
                        <c:v>126725.38</c:v>
                      </c:pt>
                      <c:pt idx="307">
                        <c:v>126794.02</c:v>
                      </c:pt>
                      <c:pt idx="308">
                        <c:v>126862.67</c:v>
                      </c:pt>
                      <c:pt idx="309">
                        <c:v>126691.26</c:v>
                      </c:pt>
                      <c:pt idx="310">
                        <c:v>126649.78</c:v>
                      </c:pt>
                      <c:pt idx="311">
                        <c:v>126608.3</c:v>
                      </c:pt>
                      <c:pt idx="312">
                        <c:v>126442.29</c:v>
                      </c:pt>
                      <c:pt idx="313">
                        <c:v>126246.18</c:v>
                      </c:pt>
                      <c:pt idx="314">
                        <c:v>126050.07</c:v>
                      </c:pt>
                      <c:pt idx="315">
                        <c:v>125853.97</c:v>
                      </c:pt>
                      <c:pt idx="316">
                        <c:v>125754.12</c:v>
                      </c:pt>
                      <c:pt idx="317">
                        <c:v>125681.04</c:v>
                      </c:pt>
                      <c:pt idx="318">
                        <c:v>125693.35</c:v>
                      </c:pt>
                      <c:pt idx="319">
                        <c:v>125586.38</c:v>
                      </c:pt>
                      <c:pt idx="320">
                        <c:v>125465.67</c:v>
                      </c:pt>
                      <c:pt idx="321">
                        <c:v>125597.66</c:v>
                      </c:pt>
                      <c:pt idx="322">
                        <c:v>125678.14</c:v>
                      </c:pt>
                      <c:pt idx="323">
                        <c:v>125640.23</c:v>
                      </c:pt>
                      <c:pt idx="324">
                        <c:v>125576.98</c:v>
                      </c:pt>
                      <c:pt idx="325">
                        <c:v>125629.53</c:v>
                      </c:pt>
                      <c:pt idx="326">
                        <c:v>125543.21</c:v>
                      </c:pt>
                      <c:pt idx="327">
                        <c:v>125576.8</c:v>
                      </c:pt>
                      <c:pt idx="328">
                        <c:v>125610.39</c:v>
                      </c:pt>
                      <c:pt idx="329">
                        <c:v>125643.97</c:v>
                      </c:pt>
                      <c:pt idx="330">
                        <c:v>125643.48</c:v>
                      </c:pt>
                      <c:pt idx="331">
                        <c:v>125613.26</c:v>
                      </c:pt>
                      <c:pt idx="332">
                        <c:v>125683.77</c:v>
                      </c:pt>
                      <c:pt idx="333">
                        <c:v>125901.6</c:v>
                      </c:pt>
                      <c:pt idx="334">
                        <c:v>125999.53</c:v>
                      </c:pt>
                      <c:pt idx="335">
                        <c:v>125982.27</c:v>
                      </c:pt>
                      <c:pt idx="336">
                        <c:v>125965.01</c:v>
                      </c:pt>
                      <c:pt idx="337">
                        <c:v>125947.76</c:v>
                      </c:pt>
                      <c:pt idx="338">
                        <c:v>126194.81</c:v>
                      </c:pt>
                      <c:pt idx="339">
                        <c:v>126166.24</c:v>
                      </c:pt>
                      <c:pt idx="340">
                        <c:v>126137.67</c:v>
                      </c:pt>
                      <c:pt idx="341">
                        <c:v>126152.6</c:v>
                      </c:pt>
                      <c:pt idx="342">
                        <c:v>126119.34</c:v>
                      </c:pt>
                      <c:pt idx="343">
                        <c:v>126086.07</c:v>
                      </c:pt>
                      <c:pt idx="344">
                        <c:v>126355.42</c:v>
                      </c:pt>
                      <c:pt idx="345">
                        <c:v>126624.78</c:v>
                      </c:pt>
                      <c:pt idx="346">
                        <c:v>126560.08</c:v>
                      </c:pt>
                      <c:pt idx="347">
                        <c:v>126383.23</c:v>
                      </c:pt>
                      <c:pt idx="348">
                        <c:v>126290.36</c:v>
                      </c:pt>
                      <c:pt idx="349">
                        <c:v>126406.99</c:v>
                      </c:pt>
                      <c:pt idx="350">
                        <c:v>126523.62</c:v>
                      </c:pt>
                      <c:pt idx="351">
                        <c:v>126178.89</c:v>
                      </c:pt>
                      <c:pt idx="352">
                        <c:v>126372.74</c:v>
                      </c:pt>
                      <c:pt idx="353">
                        <c:v>126769.62</c:v>
                      </c:pt>
                      <c:pt idx="354">
                        <c:v>126872.4</c:v>
                      </c:pt>
                      <c:pt idx="355">
                        <c:v>126975.17</c:v>
                      </c:pt>
                      <c:pt idx="356">
                        <c:v>126897.02</c:v>
                      </c:pt>
                      <c:pt idx="357">
                        <c:v>126588.37</c:v>
                      </c:pt>
                      <c:pt idx="358">
                        <c:v>126279.72</c:v>
                      </c:pt>
                      <c:pt idx="359">
                        <c:v>126344.48</c:v>
                      </c:pt>
                      <c:pt idx="360">
                        <c:v>126430.47</c:v>
                      </c:pt>
                      <c:pt idx="361">
                        <c:v>125683.21</c:v>
                      </c:pt>
                      <c:pt idx="362">
                        <c:v>125886.23</c:v>
                      </c:pt>
                      <c:pt idx="363">
                        <c:v>125921.72</c:v>
                      </c:pt>
                      <c:pt idx="364">
                        <c:v>125957.22</c:v>
                      </c:pt>
                      <c:pt idx="365">
                        <c:v>125992.71</c:v>
                      </c:pt>
                      <c:pt idx="366">
                        <c:v>126247.86</c:v>
                      </c:pt>
                      <c:pt idx="367">
                        <c:v>126385.54</c:v>
                      </c:pt>
                      <c:pt idx="368">
                        <c:v>126302.37</c:v>
                      </c:pt>
                      <c:pt idx="369">
                        <c:v>126212.38</c:v>
                      </c:pt>
                      <c:pt idx="370">
                        <c:v>126122.39</c:v>
                      </c:pt>
                      <c:pt idx="371">
                        <c:v>126032.4</c:v>
                      </c:pt>
                      <c:pt idx="372">
                        <c:v>125887.71</c:v>
                      </c:pt>
                      <c:pt idx="373">
                        <c:v>125768.25</c:v>
                      </c:pt>
                      <c:pt idx="374">
                        <c:v>125527.34</c:v>
                      </c:pt>
                      <c:pt idx="375">
                        <c:v>125521.21</c:v>
                      </c:pt>
                      <c:pt idx="376">
                        <c:v>125678.39</c:v>
                      </c:pt>
                      <c:pt idx="377">
                        <c:v>125882.29</c:v>
                      </c:pt>
                      <c:pt idx="378">
                        <c:v>125914.68</c:v>
                      </c:pt>
                      <c:pt idx="379">
                        <c:v>125947.19</c:v>
                      </c:pt>
                      <c:pt idx="380">
                        <c:v>125862.76</c:v>
                      </c:pt>
                      <c:pt idx="381">
                        <c:v>125786.35</c:v>
                      </c:pt>
                      <c:pt idx="382">
                        <c:v>125643.31</c:v>
                      </c:pt>
                      <c:pt idx="383">
                        <c:v>125500.27</c:v>
                      </c:pt>
                      <c:pt idx="384">
                        <c:v>125293.31</c:v>
                      </c:pt>
                      <c:pt idx="385">
                        <c:v>125376.66</c:v>
                      </c:pt>
                      <c:pt idx="386">
                        <c:v>125292.84</c:v>
                      </c:pt>
                      <c:pt idx="387">
                        <c:v>125276.62</c:v>
                      </c:pt>
                      <c:pt idx="388">
                        <c:v>125342.16</c:v>
                      </c:pt>
                      <c:pt idx="389">
                        <c:v>125467.96</c:v>
                      </c:pt>
                      <c:pt idx="390">
                        <c:v>125760.93</c:v>
                      </c:pt>
                      <c:pt idx="391">
                        <c:v>125810.17</c:v>
                      </c:pt>
                      <c:pt idx="392">
                        <c:v>125767.48</c:v>
                      </c:pt>
                      <c:pt idx="393">
                        <c:v>125724.79</c:v>
                      </c:pt>
                      <c:pt idx="394">
                        <c:v>125925.84</c:v>
                      </c:pt>
                      <c:pt idx="395">
                        <c:v>125658.05</c:v>
                      </c:pt>
                      <c:pt idx="396">
                        <c:v>125390.26</c:v>
                      </c:pt>
                      <c:pt idx="397">
                        <c:v>125503.3</c:v>
                      </c:pt>
                      <c:pt idx="398">
                        <c:v>125783.29</c:v>
                      </c:pt>
                      <c:pt idx="399">
                        <c:v>125870.93</c:v>
                      </c:pt>
                      <c:pt idx="400">
                        <c:v>125958.57</c:v>
                      </c:pt>
                      <c:pt idx="401">
                        <c:v>125730.45</c:v>
                      </c:pt>
                      <c:pt idx="402">
                        <c:v>125502.33</c:v>
                      </c:pt>
                      <c:pt idx="403">
                        <c:v>125509.67</c:v>
                      </c:pt>
                      <c:pt idx="404">
                        <c:v>125397.13</c:v>
                      </c:pt>
                      <c:pt idx="405">
                        <c:v>125440.25</c:v>
                      </c:pt>
                      <c:pt idx="406">
                        <c:v>125330.08</c:v>
                      </c:pt>
                      <c:pt idx="407">
                        <c:v>125219.92</c:v>
                      </c:pt>
                      <c:pt idx="408">
                        <c:v>125109.07</c:v>
                      </c:pt>
                      <c:pt idx="409">
                        <c:v>125229.42</c:v>
                      </c:pt>
                      <c:pt idx="410">
                        <c:v>125349.78</c:v>
                      </c:pt>
                      <c:pt idx="411">
                        <c:v>125691.55</c:v>
                      </c:pt>
                      <c:pt idx="412">
                        <c:v>125499.08</c:v>
                      </c:pt>
                      <c:pt idx="413">
                        <c:v>125695.36</c:v>
                      </c:pt>
                      <c:pt idx="414">
                        <c:v>125765.33</c:v>
                      </c:pt>
                      <c:pt idx="415">
                        <c:v>125646.85</c:v>
                      </c:pt>
                      <c:pt idx="416">
                        <c:v>125842.78</c:v>
                      </c:pt>
                      <c:pt idx="417">
                        <c:v>126010.29</c:v>
                      </c:pt>
                      <c:pt idx="418">
                        <c:v>125761.01</c:v>
                      </c:pt>
                      <c:pt idx="419">
                        <c:v>125511.73</c:v>
                      </c:pt>
                      <c:pt idx="420">
                        <c:v>125207.13</c:v>
                      </c:pt>
                      <c:pt idx="421">
                        <c:v>124902.54</c:v>
                      </c:pt>
                      <c:pt idx="422">
                        <c:v>124597.95</c:v>
                      </c:pt>
                      <c:pt idx="423">
                        <c:v>124349.71</c:v>
                      </c:pt>
                      <c:pt idx="424">
                        <c:v>124159.9</c:v>
                      </c:pt>
                      <c:pt idx="425">
                        <c:v>123970.09</c:v>
                      </c:pt>
                      <c:pt idx="426">
                        <c:v>123780.28</c:v>
                      </c:pt>
                      <c:pt idx="427">
                        <c:v>123616.33</c:v>
                      </c:pt>
                      <c:pt idx="428">
                        <c:v>123637.21</c:v>
                      </c:pt>
                      <c:pt idx="429">
                        <c:v>123428.48</c:v>
                      </c:pt>
                      <c:pt idx="430" formatCode="&quot;€&quot;* #\ ##0.00;&quot;€&quot;* \-#\ ##0.00">
                        <c:v>123202.01</c:v>
                      </c:pt>
                      <c:pt idx="431" formatCode="&quot;€&quot;* #\ ##0.00;&quot;€&quot;* \-#\ ##0.00">
                        <c:v>122975.55</c:v>
                      </c:pt>
                      <c:pt idx="432" formatCode="&quot;€&quot;* #\ ##0.00;&quot;€&quot;* \-#\ ##0.00">
                        <c:v>122978.7</c:v>
                      </c:pt>
                      <c:pt idx="433" formatCode="&quot;€&quot;* #\ ##0.00;&quot;€&quot;* \-#\ ##0.00">
                        <c:v>122822.94</c:v>
                      </c:pt>
                      <c:pt idx="434" formatCode="&quot;€&quot;* #\ ##0.00;&quot;€&quot;* \-#\ ##0.00">
                        <c:v>122668.93</c:v>
                      </c:pt>
                      <c:pt idx="435" formatCode="&quot;€&quot;* #\ ##0.00;&quot;€&quot;* \-#\ ##0.00">
                        <c:v>122514.93</c:v>
                      </c:pt>
                      <c:pt idx="436" formatCode="&quot;€&quot;* #\ ##0.00;&quot;€&quot;* \-#\ ##0.00">
                        <c:v>122360.93</c:v>
                      </c:pt>
                      <c:pt idx="437" formatCode="&quot;€&quot;* #\ ##0.00;&quot;€&quot;* \-#\ ##0.00">
                        <c:v>122014.8</c:v>
                      </c:pt>
                      <c:pt idx="438" formatCode="&quot;€&quot;* #\ ##0.00;&quot;€&quot;* \-#\ ##0.00">
                        <c:v>121902.61</c:v>
                      </c:pt>
                      <c:pt idx="439" formatCode="&quot;€&quot;* #\ ##0.00;&quot;€&quot;* \-#\ ##0.00">
                        <c:v>121790.43</c:v>
                      </c:pt>
                      <c:pt idx="440" formatCode="&quot;€&quot;* #\ ##0.00;&quot;€&quot;* \-#\ ##0.00">
                        <c:v>121837.15</c:v>
                      </c:pt>
                      <c:pt idx="441" formatCode="&quot;€&quot;* #\ ##0.00;&quot;€&quot;* \-#\ ##0.00">
                        <c:v>121665.69</c:v>
                      </c:pt>
                      <c:pt idx="442" formatCode="&quot;€&quot;* #\ ##0.00;&quot;€&quot;* \-#\ ##0.00">
                        <c:v>121260.3</c:v>
                      </c:pt>
                      <c:pt idx="443" formatCode="&quot;€&quot;* #\ ##0.00;&quot;€&quot;* \-#\ ##0.00">
                        <c:v>120865.87</c:v>
                      </c:pt>
                      <c:pt idx="444" formatCode="&quot;€&quot;* #\ ##0.00;&quot;€&quot;* \-#\ ##0.00">
                        <c:v>120456.85</c:v>
                      </c:pt>
                      <c:pt idx="445" formatCode="&quot;€&quot;* #\ ##0.00;&quot;€&quot;* \-#\ ##0.00">
                        <c:v>120047.84</c:v>
                      </c:pt>
                      <c:pt idx="446" formatCode="&quot;€&quot;* #\ ##0.00;&quot;€&quot;* \-#\ ##0.00">
                        <c:v>119887.43</c:v>
                      </c:pt>
                      <c:pt idx="447" formatCode="&quot;€&quot;* #\ ##0.00;&quot;€&quot;* \-#\ ##0.00">
                        <c:v>119841.14</c:v>
                      </c:pt>
                      <c:pt idx="448" formatCode="&quot;€&quot;* #\ ##0.00;&quot;€&quot;* \-#\ ##0.00">
                        <c:v>119793.84</c:v>
                      </c:pt>
                      <c:pt idx="449" formatCode="&quot;€&quot;* #\ ##0.00;&quot;€&quot;* \-#\ ##0.00">
                        <c:v>119746.54</c:v>
                      </c:pt>
                      <c:pt idx="450" formatCode="&quot;€&quot;* #\ ##0.00;&quot;€&quot;* \-#\ ##0.00">
                        <c:v>119658.02</c:v>
                      </c:pt>
                      <c:pt idx="451" formatCode="&quot;€&quot;* #\ ##0.00;&quot;€&quot;* \-#\ ##0.00">
                        <c:v>119513.06</c:v>
                      </c:pt>
                      <c:pt idx="452" formatCode="&quot;€&quot;* #\ ##0.00;&quot;€&quot;* \-#\ ##0.00">
                        <c:v>119368.1</c:v>
                      </c:pt>
                      <c:pt idx="453" formatCode="&quot;€&quot;* #\ ##0.00;&quot;€&quot;* \-#\ ##0.00">
                        <c:v>119223.14</c:v>
                      </c:pt>
                      <c:pt idx="454" formatCode="&quot;€&quot;* #\ ##0.00;&quot;€&quot;* \-#\ ##0.00">
                        <c:v>119078.17</c:v>
                      </c:pt>
                      <c:pt idx="455" formatCode="&quot;€&quot;* #\ ##0.00;&quot;€&quot;* \-#\ ##0.00">
                        <c:v>118819.08</c:v>
                      </c:pt>
                      <c:pt idx="456" formatCode="&quot;€&quot;* #\ ##0.00;&quot;€&quot;* \-#\ ##0.00">
                        <c:v>118988.46</c:v>
                      </c:pt>
                      <c:pt idx="457" formatCode="&quot;€&quot;* #\ ##0.00;&quot;€&quot;* \-#\ ##0.00">
                        <c:v>118770.95</c:v>
                      </c:pt>
                      <c:pt idx="458" formatCode="&quot;€&quot;* #\ ##0.00;&quot;€&quot;* \-#\ ##0.00">
                        <c:v>118553.43</c:v>
                      </c:pt>
                      <c:pt idx="459" formatCode="&quot;€&quot;* #\ ##0.00;&quot;€&quot;* \-#\ ##0.00">
                        <c:v>118570.03</c:v>
                      </c:pt>
                      <c:pt idx="460" formatCode="&quot;€&quot;* #\ ##0.00;&quot;€&quot;* \-#\ ##0.00">
                        <c:v>118871.45</c:v>
                      </c:pt>
                      <c:pt idx="461" formatCode="&quot;€&quot;* #\ ##0.00;&quot;€&quot;* \-#\ ##0.00">
                        <c:v>119102.95</c:v>
                      </c:pt>
                      <c:pt idx="462" formatCode="&quot;€&quot;* #\ ##0.00;&quot;€&quot;* \-#\ ##0.00">
                        <c:v>119334.46</c:v>
                      </c:pt>
                      <c:pt idx="463" formatCode="&quot;€&quot;* #\ ##0.00;&quot;€&quot;* \-#\ ##0.00">
                        <c:v>119319.47</c:v>
                      </c:pt>
                      <c:pt idx="464" formatCode="&quot;€&quot;* #\ ##0.00;&quot;€&quot;* \-#\ ##0.00">
                        <c:v>119486.03</c:v>
                      </c:pt>
                      <c:pt idx="465" formatCode="&quot;€&quot;* #\ ##0.00;&quot;€&quot;* \-#\ ##0.00">
                        <c:v>119215.09</c:v>
                      </c:pt>
                      <c:pt idx="466" formatCode="&quot;€&quot;* #\ ##0.00;&quot;€&quot;* \-#\ ##0.00">
                        <c:v>119071.77</c:v>
                      </c:pt>
                      <c:pt idx="467" formatCode="&quot;€&quot;* #\ ##0.00;&quot;€&quot;* \-#\ ##0.00">
                        <c:v>118805.63</c:v>
                      </c:pt>
                      <c:pt idx="468" formatCode="&quot;€&quot;* #\ ##0.00;&quot;€&quot;* \-#\ ##0.00">
                        <c:v>118844.97</c:v>
                      </c:pt>
                      <c:pt idx="469" formatCode="&quot;€&quot;* #\ ##0.00;&quot;€&quot;* \-#\ ##0.00">
                        <c:v>118738.06</c:v>
                      </c:pt>
                      <c:pt idx="470" formatCode="&quot;€&quot;* #\ ##0.00;&quot;€&quot;* \-#\ ##0.00">
                        <c:v>118664.19</c:v>
                      </c:pt>
                      <c:pt idx="471" formatCode="&quot;€&quot;* #\ ##0.00;&quot;€&quot;* \-#\ ##0.00">
                        <c:v>118585.43</c:v>
                      </c:pt>
                      <c:pt idx="472" formatCode="&quot;€&quot;* #\ ##0.00;&quot;€&quot;* \-#\ ##0.00">
                        <c:v>118537.81</c:v>
                      </c:pt>
                      <c:pt idx="473" formatCode="&quot;€&quot;* #\ ##0.00;&quot;€&quot;* \-#\ ##0.00">
                        <c:v>118394.07</c:v>
                      </c:pt>
                      <c:pt idx="474" formatCode="&quot;€&quot;* #\ ##0.00;&quot;€&quot;* \-#\ ##0.00">
                        <c:v>118263.23</c:v>
                      </c:pt>
                      <c:pt idx="475" formatCode="&quot;€&quot;* #\ ##0.00;&quot;€&quot;* \-#\ ##0.00">
                        <c:v>118132.39</c:v>
                      </c:pt>
                      <c:pt idx="476" formatCode="&quot;€&quot;* #\ ##0.00;&quot;€&quot;* \-#\ ##0.00">
                        <c:v>118001.55</c:v>
                      </c:pt>
                      <c:pt idx="477" formatCode="&quot;€&quot;* #\ ##0.00;&quot;€&quot;* \-#\ ##0.00">
                        <c:v>118012.9</c:v>
                      </c:pt>
                      <c:pt idx="478" formatCode="&quot;€&quot;* #\ ##0.00;&quot;€&quot;* \-#\ ##0.00">
                        <c:v>117746.83</c:v>
                      </c:pt>
                      <c:pt idx="479" formatCode="&quot;€&quot;* #\ ##0.00;&quot;€&quot;* \-#\ ##0.00">
                        <c:v>117479.89</c:v>
                      </c:pt>
                      <c:pt idx="480" formatCode="&quot;€&quot;* #\ ##0.00;&quot;€&quot;* \-#\ ##0.00">
                        <c:v>117254.43</c:v>
                      </c:pt>
                      <c:pt idx="481" formatCode="&quot;€&quot;* #\ ##0.00;&quot;€&quot;* \-#\ ##0.00">
                        <c:v>117028.98</c:v>
                      </c:pt>
                      <c:pt idx="482" formatCode="&quot;€&quot;* #\ ##0.00;&quot;€&quot;* \-#\ ##0.00">
                        <c:v>116928.63</c:v>
                      </c:pt>
                      <c:pt idx="483" formatCode="&quot;€&quot;* #\ ##0.00;&quot;€&quot;* \-#\ ##0.00">
                        <c:v>116828.28</c:v>
                      </c:pt>
                      <c:pt idx="484" formatCode="&quot;€&quot;* #\ ##0.00;&quot;€&quot;* \-#\ ##0.00">
                        <c:v>116654.83</c:v>
                      </c:pt>
                      <c:pt idx="485" formatCode="&quot;€&quot;* #\ ##0.00;&quot;€&quot;* \-#\ ##0.00">
                        <c:v>116481.37</c:v>
                      </c:pt>
                      <c:pt idx="486" formatCode="&quot;€&quot;* #\ ##0.00;&quot;€&quot;* \-#\ ##0.00">
                        <c:v>116074.18</c:v>
                      </c:pt>
                      <c:pt idx="487" formatCode="&quot;€&quot;* #\ ##0.00;&quot;€&quot;* \-#\ ##0.00">
                        <c:v>115486.38</c:v>
                      </c:pt>
                      <c:pt idx="488" formatCode="&quot;€&quot;* #\ ##0.00;&quot;€&quot;* \-#\ ##0.00">
                        <c:v>115421.22</c:v>
                      </c:pt>
                    </c:numCache>
                  </c:numRef>
                </c:val>
                <c:smooth val="1"/>
                <c:extLst>
                  <c:ex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8-4AA0-45C4-827A-38317B3E1C33}"/>
                  </c:ext>
                </c:extLst>
              </c15:ser>
            </c15:filteredLineSeries>
            <c15:filteredLineSeries>
              <c15:ser>
                <c:idx val="4"/>
                <c:order val="1"/>
                <c:marker>
                  <c:symbol val="none"/>
                </c:marker>
                <c:cat>
                  <c:numRef>
                    <c:extLst xmlns:c15="http://schemas.microsoft.com/office/drawing/2012/chart">
                      <c:ext xmlns:c15="http://schemas.microsoft.com/office/drawing/2012/chart" uri="{02D57815-91ED-43cb-92C2-25804820EDAC}">
                        <c15:formulaRef>
                          <c15:sqref>Accueil!$O$4:$O$492</c15:sqref>
                        </c15:formulaRef>
                      </c:ext>
                    </c:extLst>
                    <c:numCache>
                      <c:formatCode>m/d/yyyy</c:formatCode>
                      <c:ptCount val="489"/>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45613</c:v>
                      </c:pt>
                      <c:pt idx="395">
                        <c:v>45612</c:v>
                      </c:pt>
                      <c:pt idx="396">
                        <c:v>45611</c:v>
                      </c:pt>
                      <c:pt idx="397">
                        <c:v>45610</c:v>
                      </c:pt>
                      <c:pt idx="398">
                        <c:v>45609</c:v>
                      </c:pt>
                      <c:pt idx="399">
                        <c:v>45608</c:v>
                      </c:pt>
                      <c:pt idx="400">
                        <c:v>45607</c:v>
                      </c:pt>
                      <c:pt idx="401">
                        <c:v>45606</c:v>
                      </c:pt>
                      <c:pt idx="402">
                        <c:v>45605</c:v>
                      </c:pt>
                      <c:pt idx="403">
                        <c:v>45604</c:v>
                      </c:pt>
                      <c:pt idx="404">
                        <c:v>45603</c:v>
                      </c:pt>
                      <c:pt idx="405">
                        <c:v>45602</c:v>
                      </c:pt>
                      <c:pt idx="406">
                        <c:v>45601</c:v>
                      </c:pt>
                      <c:pt idx="407">
                        <c:v>45600</c:v>
                      </c:pt>
                      <c:pt idx="408">
                        <c:v>45599</c:v>
                      </c:pt>
                      <c:pt idx="409">
                        <c:v>45598</c:v>
                      </c:pt>
                      <c:pt idx="410">
                        <c:v>45597</c:v>
                      </c:pt>
                      <c:pt idx="411">
                        <c:v>45594</c:v>
                      </c:pt>
                      <c:pt idx="412">
                        <c:v>45593</c:v>
                      </c:pt>
                      <c:pt idx="413">
                        <c:v>45592</c:v>
                      </c:pt>
                      <c:pt idx="414">
                        <c:v>45591</c:v>
                      </c:pt>
                      <c:pt idx="415">
                        <c:v>45590</c:v>
                      </c:pt>
                      <c:pt idx="416">
                        <c:v>45589</c:v>
                      </c:pt>
                      <c:pt idx="417">
                        <c:v>45588</c:v>
                      </c:pt>
                      <c:pt idx="418">
                        <c:v>45587</c:v>
                      </c:pt>
                      <c:pt idx="419">
                        <c:v>45586</c:v>
                      </c:pt>
                      <c:pt idx="420">
                        <c:v>45585</c:v>
                      </c:pt>
                      <c:pt idx="421">
                        <c:v>45584</c:v>
                      </c:pt>
                      <c:pt idx="422">
                        <c:v>45583</c:v>
                      </c:pt>
                      <c:pt idx="423">
                        <c:v>45582</c:v>
                      </c:pt>
                      <c:pt idx="424">
                        <c:v>45581</c:v>
                      </c:pt>
                      <c:pt idx="425">
                        <c:v>45580</c:v>
                      </c:pt>
                      <c:pt idx="426">
                        <c:v>45579</c:v>
                      </c:pt>
                      <c:pt idx="427">
                        <c:v>45578</c:v>
                      </c:pt>
                      <c:pt idx="428">
                        <c:v>45577</c:v>
                      </c:pt>
                      <c:pt idx="429">
                        <c:v>45576</c:v>
                      </c:pt>
                      <c:pt idx="430">
                        <c:v>45575</c:v>
                      </c:pt>
                      <c:pt idx="431">
                        <c:v>45574</c:v>
                      </c:pt>
                      <c:pt idx="432">
                        <c:v>45573</c:v>
                      </c:pt>
                      <c:pt idx="433">
                        <c:v>45572</c:v>
                      </c:pt>
                      <c:pt idx="434">
                        <c:v>45571</c:v>
                      </c:pt>
                      <c:pt idx="435">
                        <c:v>45570</c:v>
                      </c:pt>
                      <c:pt idx="436">
                        <c:v>45569</c:v>
                      </c:pt>
                      <c:pt idx="437">
                        <c:v>45568</c:v>
                      </c:pt>
                      <c:pt idx="438">
                        <c:v>45567</c:v>
                      </c:pt>
                      <c:pt idx="439">
                        <c:v>45566</c:v>
                      </c:pt>
                      <c:pt idx="440">
                        <c:v>45565</c:v>
                      </c:pt>
                      <c:pt idx="441">
                        <c:v>45564</c:v>
                      </c:pt>
                      <c:pt idx="442">
                        <c:v>45563</c:v>
                      </c:pt>
                      <c:pt idx="443">
                        <c:v>45562</c:v>
                      </c:pt>
                      <c:pt idx="444">
                        <c:v>45561</c:v>
                      </c:pt>
                      <c:pt idx="445">
                        <c:v>45560</c:v>
                      </c:pt>
                      <c:pt idx="446">
                        <c:v>45559</c:v>
                      </c:pt>
                      <c:pt idx="447">
                        <c:v>45558</c:v>
                      </c:pt>
                      <c:pt idx="448">
                        <c:v>45557</c:v>
                      </c:pt>
                      <c:pt idx="449">
                        <c:v>45556</c:v>
                      </c:pt>
                      <c:pt idx="450">
                        <c:v>45555</c:v>
                      </c:pt>
                      <c:pt idx="451">
                        <c:v>45554</c:v>
                      </c:pt>
                      <c:pt idx="452">
                        <c:v>45553</c:v>
                      </c:pt>
                      <c:pt idx="453">
                        <c:v>45552</c:v>
                      </c:pt>
                      <c:pt idx="454">
                        <c:v>45551</c:v>
                      </c:pt>
                      <c:pt idx="455">
                        <c:v>45550</c:v>
                      </c:pt>
                      <c:pt idx="456">
                        <c:v>45549</c:v>
                      </c:pt>
                      <c:pt idx="457">
                        <c:v>45548</c:v>
                      </c:pt>
                      <c:pt idx="458">
                        <c:v>45547</c:v>
                      </c:pt>
                      <c:pt idx="459">
                        <c:v>45546</c:v>
                      </c:pt>
                      <c:pt idx="460">
                        <c:v>45545</c:v>
                      </c:pt>
                      <c:pt idx="461">
                        <c:v>45544</c:v>
                      </c:pt>
                      <c:pt idx="462">
                        <c:v>45543</c:v>
                      </c:pt>
                      <c:pt idx="463">
                        <c:v>45542</c:v>
                      </c:pt>
                      <c:pt idx="464">
                        <c:v>45541</c:v>
                      </c:pt>
                      <c:pt idx="465">
                        <c:v>45540</c:v>
                      </c:pt>
                      <c:pt idx="466">
                        <c:v>45539</c:v>
                      </c:pt>
                      <c:pt idx="467">
                        <c:v>45538</c:v>
                      </c:pt>
                      <c:pt idx="468">
                        <c:v>45537</c:v>
                      </c:pt>
                      <c:pt idx="469">
                        <c:v>45536</c:v>
                      </c:pt>
                      <c:pt idx="470">
                        <c:v>45535</c:v>
                      </c:pt>
                      <c:pt idx="471">
                        <c:v>45534</c:v>
                      </c:pt>
                      <c:pt idx="472">
                        <c:v>45533</c:v>
                      </c:pt>
                      <c:pt idx="473">
                        <c:v>45532</c:v>
                      </c:pt>
                      <c:pt idx="474">
                        <c:v>45531</c:v>
                      </c:pt>
                      <c:pt idx="475">
                        <c:v>45530</c:v>
                      </c:pt>
                      <c:pt idx="476">
                        <c:v>45529</c:v>
                      </c:pt>
                      <c:pt idx="477">
                        <c:v>45528</c:v>
                      </c:pt>
                      <c:pt idx="478">
                        <c:v>45527</c:v>
                      </c:pt>
                      <c:pt idx="479">
                        <c:v>45526</c:v>
                      </c:pt>
                      <c:pt idx="480">
                        <c:v>45525</c:v>
                      </c:pt>
                      <c:pt idx="481">
                        <c:v>45524</c:v>
                      </c:pt>
                      <c:pt idx="482">
                        <c:v>45523</c:v>
                      </c:pt>
                      <c:pt idx="483">
                        <c:v>45522</c:v>
                      </c:pt>
                      <c:pt idx="484">
                        <c:v>45521</c:v>
                      </c:pt>
                      <c:pt idx="485">
                        <c:v>45520</c:v>
                      </c:pt>
                      <c:pt idx="486">
                        <c:v>45519</c:v>
                      </c:pt>
                      <c:pt idx="487">
                        <c:v>45516</c:v>
                      </c:pt>
                      <c:pt idx="488">
                        <c:v>45515</c:v>
                      </c:pt>
                    </c:numCache>
                  </c:numRef>
                </c:cat>
                <c:val>
                  <c:numRef>
                    <c:extLst xmlns:c15="http://schemas.microsoft.com/office/drawing/2012/chart">
                      <c:ext xmlns:c15="http://schemas.microsoft.com/office/drawing/2012/chart" uri="{02D57815-91ED-43cb-92C2-25804820EDAC}">
                        <c15:formulaRef>
                          <c15:sqref>Accueil!$Q$4:$Q$492</c15:sqref>
                        </c15:formulaRef>
                      </c:ext>
                    </c:extLst>
                    <c:numCache>
                      <c:formatCode>#\ ##0.00\ "€"</c:formatCode>
                      <c:ptCount val="489"/>
                      <c:pt idx="0">
                        <c:v>138736.82</c:v>
                      </c:pt>
                      <c:pt idx="1">
                        <c:v>138740.42000000001</c:v>
                      </c:pt>
                      <c:pt idx="2">
                        <c:v>138744.01</c:v>
                      </c:pt>
                      <c:pt idx="3">
                        <c:v>138848.14000000001</c:v>
                      </c:pt>
                      <c:pt idx="4">
                        <c:v>138840.5</c:v>
                      </c:pt>
                      <c:pt idx="5">
                        <c:v>138843.07</c:v>
                      </c:pt>
                      <c:pt idx="6">
                        <c:v>138980.07999999999</c:v>
                      </c:pt>
                      <c:pt idx="7">
                        <c:v>138977.25</c:v>
                      </c:pt>
                      <c:pt idx="8">
                        <c:v>139133.75</c:v>
                      </c:pt>
                      <c:pt idx="9">
                        <c:v>139109.31</c:v>
                      </c:pt>
                      <c:pt idx="10">
                        <c:v>139084.85999999999</c:v>
                      </c:pt>
                      <c:pt idx="11">
                        <c:v>139111.67000000001</c:v>
                      </c:pt>
                      <c:pt idx="12">
                        <c:v>139215.42000000001</c:v>
                      </c:pt>
                      <c:pt idx="13">
                        <c:v>139292.32</c:v>
                      </c:pt>
                      <c:pt idx="14">
                        <c:v>139322.10999999999</c:v>
                      </c:pt>
                      <c:pt idx="15">
                        <c:v>139351.91</c:v>
                      </c:pt>
                      <c:pt idx="16">
                        <c:v>139381.70000000001</c:v>
                      </c:pt>
                      <c:pt idx="17">
                        <c:v>139365.35999999999</c:v>
                      </c:pt>
                      <c:pt idx="18">
                        <c:v>139349.01999999999</c:v>
                      </c:pt>
                      <c:pt idx="19">
                        <c:v>139180.99</c:v>
                      </c:pt>
                      <c:pt idx="20">
                        <c:v>139222.10999999999</c:v>
                      </c:pt>
                      <c:pt idx="21">
                        <c:v>139251.32999999999</c:v>
                      </c:pt>
                      <c:pt idx="22">
                        <c:v>139236.76</c:v>
                      </c:pt>
                      <c:pt idx="23">
                        <c:v>139281.75</c:v>
                      </c:pt>
                      <c:pt idx="24">
                        <c:v>139326.75</c:v>
                      </c:pt>
                      <c:pt idx="25">
                        <c:v>139523.87</c:v>
                      </c:pt>
                      <c:pt idx="26">
                        <c:v>139568.29999999999</c:v>
                      </c:pt>
                      <c:pt idx="27">
                        <c:v>139496.93</c:v>
                      </c:pt>
                      <c:pt idx="28">
                        <c:v>139672.1</c:v>
                      </c:pt>
                      <c:pt idx="29">
                        <c:v>139999.95000000001</c:v>
                      </c:pt>
                      <c:pt idx="30">
                        <c:v>140327.81</c:v>
                      </c:pt>
                      <c:pt idx="31">
                        <c:v>140406.20000000001</c:v>
                      </c:pt>
                      <c:pt idx="32">
                        <c:v>140333.01999999999</c:v>
                      </c:pt>
                      <c:pt idx="33">
                        <c:v>140425.84</c:v>
                      </c:pt>
                      <c:pt idx="34">
                        <c:v>140425.84</c:v>
                      </c:pt>
                      <c:pt idx="35">
                        <c:v>140483.01999999999</c:v>
                      </c:pt>
                      <c:pt idx="36">
                        <c:v>140595.38</c:v>
                      </c:pt>
                      <c:pt idx="37">
                        <c:v>141016.74</c:v>
                      </c:pt>
                      <c:pt idx="38">
                        <c:v>141057.57</c:v>
                      </c:pt>
                      <c:pt idx="39">
                        <c:v>140834.1</c:v>
                      </c:pt>
                      <c:pt idx="40">
                        <c:v>140858.76</c:v>
                      </c:pt>
                      <c:pt idx="41">
                        <c:v>141053.25</c:v>
                      </c:pt>
                      <c:pt idx="42">
                        <c:v>141247.75</c:v>
                      </c:pt>
                      <c:pt idx="43">
                        <c:v>141442.25</c:v>
                      </c:pt>
                      <c:pt idx="44">
                        <c:v>141374.20000000001</c:v>
                      </c:pt>
                      <c:pt idx="45">
                        <c:v>141306.17000000001</c:v>
                      </c:pt>
                      <c:pt idx="46">
                        <c:v>141168.9</c:v>
                      </c:pt>
                      <c:pt idx="47">
                        <c:v>141263.62</c:v>
                      </c:pt>
                      <c:pt idx="48">
                        <c:v>141692.35999999999</c:v>
                      </c:pt>
                      <c:pt idx="49">
                        <c:v>142172.68</c:v>
                      </c:pt>
                      <c:pt idx="50">
                        <c:v>142100.21</c:v>
                      </c:pt>
                      <c:pt idx="51">
                        <c:v>143071.69</c:v>
                      </c:pt>
                      <c:pt idx="52">
                        <c:v>143328.85</c:v>
                      </c:pt>
                      <c:pt idx="53">
                        <c:v>143585.99</c:v>
                      </c:pt>
                      <c:pt idx="54">
                        <c:v>144372.69</c:v>
                      </c:pt>
                      <c:pt idx="55">
                        <c:v>144736.29999999999</c:v>
                      </c:pt>
                      <c:pt idx="56">
                        <c:v>145099.93</c:v>
                      </c:pt>
                      <c:pt idx="57">
                        <c:v>145282.76</c:v>
                      </c:pt>
                      <c:pt idx="58">
                        <c:v>145309.14000000001</c:v>
                      </c:pt>
                      <c:pt idx="59">
                        <c:v>145339.51999999999</c:v>
                      </c:pt>
                      <c:pt idx="60">
                        <c:v>145553.15</c:v>
                      </c:pt>
                      <c:pt idx="61">
                        <c:v>145536.03</c:v>
                      </c:pt>
                      <c:pt idx="62">
                        <c:v>145831.76999999999</c:v>
                      </c:pt>
                      <c:pt idx="63">
                        <c:v>146127.72</c:v>
                      </c:pt>
                      <c:pt idx="64">
                        <c:v>146356.75</c:v>
                      </c:pt>
                      <c:pt idx="65">
                        <c:v>146814.82</c:v>
                      </c:pt>
                      <c:pt idx="66">
                        <c:v>147165.49</c:v>
                      </c:pt>
                      <c:pt idx="67">
                        <c:v>147193.57999999999</c:v>
                      </c:pt>
                      <c:pt idx="68">
                        <c:v>147221.67000000001</c:v>
                      </c:pt>
                      <c:pt idx="69">
                        <c:v>147249.76999999999</c:v>
                      </c:pt>
                      <c:pt idx="70">
                        <c:v>147416.48000000001</c:v>
                      </c:pt>
                      <c:pt idx="71">
                        <c:v>147524.15</c:v>
                      </c:pt>
                      <c:pt idx="72">
                        <c:v>147620.38</c:v>
                      </c:pt>
                      <c:pt idx="73">
                        <c:v>147716.59</c:v>
                      </c:pt>
                      <c:pt idx="74">
                        <c:v>147913.1</c:v>
                      </c:pt>
                      <c:pt idx="75">
                        <c:v>148168.51</c:v>
                      </c:pt>
                      <c:pt idx="76">
                        <c:v>148027.85999999999</c:v>
                      </c:pt>
                      <c:pt idx="77">
                        <c:v>148054.35</c:v>
                      </c:pt>
                      <c:pt idx="79">
                        <c:v>148054.35</c:v>
                      </c:pt>
                      <c:pt idx="80">
                        <c:v>148404.04999999999</c:v>
                      </c:pt>
                      <c:pt idx="81">
                        <c:v>148315.76999999999</c:v>
                      </c:pt>
                      <c:pt idx="82">
                        <c:v>148060.32999999999</c:v>
                      </c:pt>
                      <c:pt idx="83">
                        <c:v>148241.46</c:v>
                      </c:pt>
                      <c:pt idx="84">
                        <c:v>148539.56</c:v>
                      </c:pt>
                      <c:pt idx="85">
                        <c:v>148784.01999999999</c:v>
                      </c:pt>
                      <c:pt idx="86">
                        <c:v>148952.41</c:v>
                      </c:pt>
                      <c:pt idx="87">
                        <c:v>149104.03</c:v>
                      </c:pt>
                      <c:pt idx="88">
                        <c:v>149283.57</c:v>
                      </c:pt>
                      <c:pt idx="89">
                        <c:v>149296.18</c:v>
                      </c:pt>
                      <c:pt idx="90">
                        <c:v>149379.29</c:v>
                      </c:pt>
                      <c:pt idx="91">
                        <c:v>149502.15</c:v>
                      </c:pt>
                      <c:pt idx="92">
                        <c:v>149688.95000000001</c:v>
                      </c:pt>
                      <c:pt idx="93">
                        <c:v>149896.23000000001</c:v>
                      </c:pt>
                      <c:pt idx="94">
                        <c:v>150026.32</c:v>
                      </c:pt>
                      <c:pt idx="95">
                        <c:v>150183.67999999999</c:v>
                      </c:pt>
                      <c:pt idx="96">
                        <c:v>150679.67000000001</c:v>
                      </c:pt>
                      <c:pt idx="97">
                        <c:v>150904.19</c:v>
                      </c:pt>
                      <c:pt idx="98">
                        <c:v>150969.07999999999</c:v>
                      </c:pt>
                      <c:pt idx="99">
                        <c:v>151121.81</c:v>
                      </c:pt>
                      <c:pt idx="100">
                        <c:v>151339.26</c:v>
                      </c:pt>
                      <c:pt idx="101">
                        <c:v>151324.09</c:v>
                      </c:pt>
                      <c:pt idx="102">
                        <c:v>151373.97</c:v>
                      </c:pt>
                      <c:pt idx="103">
                        <c:v>151423.85999999999</c:v>
                      </c:pt>
                      <c:pt idx="104">
                        <c:v>151324.25</c:v>
                      </c:pt>
                      <c:pt idx="105">
                        <c:v>151253.06</c:v>
                      </c:pt>
                      <c:pt idx="106">
                        <c:v>151587.91</c:v>
                      </c:pt>
                      <c:pt idx="107">
                        <c:v>151694.37</c:v>
                      </c:pt>
                      <c:pt idx="108">
                        <c:v>151800.82</c:v>
                      </c:pt>
                      <c:pt idx="109">
                        <c:v>151907.26</c:v>
                      </c:pt>
                      <c:pt idx="110">
                        <c:v>152013.72</c:v>
                      </c:pt>
                      <c:pt idx="111">
                        <c:v>152287.97</c:v>
                      </c:pt>
                      <c:pt idx="112">
                        <c:v>152309.53</c:v>
                      </c:pt>
                      <c:pt idx="113">
                        <c:v>152331.06</c:v>
                      </c:pt>
                      <c:pt idx="114">
                        <c:v>152413.60999999999</c:v>
                      </c:pt>
                      <c:pt idx="115">
                        <c:v>152253.71</c:v>
                      </c:pt>
                      <c:pt idx="116">
                        <c:v>152266.74</c:v>
                      </c:pt>
                      <c:pt idx="117">
                        <c:v>152296.46</c:v>
                      </c:pt>
                      <c:pt idx="118">
                        <c:v>152341.5</c:v>
                      </c:pt>
                      <c:pt idx="119">
                        <c:v>152156.9</c:v>
                      </c:pt>
                      <c:pt idx="120">
                        <c:v>152131.24</c:v>
                      </c:pt>
                      <c:pt idx="121">
                        <c:v>152105.54999999999</c:v>
                      </c:pt>
                      <c:pt idx="122">
                        <c:v>152357.75</c:v>
                      </c:pt>
                      <c:pt idx="123">
                        <c:v>152380.5</c:v>
                      </c:pt>
                      <c:pt idx="124">
                        <c:v>152403.26</c:v>
                      </c:pt>
                      <c:pt idx="125">
                        <c:v>152426</c:v>
                      </c:pt>
                      <c:pt idx="126">
                        <c:v>152392.32999999999</c:v>
                      </c:pt>
                      <c:pt idx="127">
                        <c:v>152311.03</c:v>
                      </c:pt>
                      <c:pt idx="128">
                        <c:v>152388.76</c:v>
                      </c:pt>
                      <c:pt idx="129">
                        <c:v>152547.01</c:v>
                      </c:pt>
                      <c:pt idx="130">
                        <c:v>152694.28</c:v>
                      </c:pt>
                      <c:pt idx="131">
                        <c:v>152764.10999999999</c:v>
                      </c:pt>
                      <c:pt idx="132">
                        <c:v>152833.95000000001</c:v>
                      </c:pt>
                      <c:pt idx="133">
                        <c:v>152903.76999999999</c:v>
                      </c:pt>
                      <c:pt idx="134">
                        <c:v>152859.46</c:v>
                      </c:pt>
                      <c:pt idx="135">
                        <c:v>152816.18</c:v>
                      </c:pt>
                      <c:pt idx="136">
                        <c:v>152772.89000000001</c:v>
                      </c:pt>
                      <c:pt idx="137">
                        <c:v>152740.13</c:v>
                      </c:pt>
                      <c:pt idx="138">
                        <c:v>152763.79</c:v>
                      </c:pt>
                      <c:pt idx="139">
                        <c:v>152767.07</c:v>
                      </c:pt>
                      <c:pt idx="140">
                        <c:v>152770.32999999999</c:v>
                      </c:pt>
                      <c:pt idx="141">
                        <c:v>152952.88</c:v>
                      </c:pt>
                      <c:pt idx="142">
                        <c:v>153138.63</c:v>
                      </c:pt>
                      <c:pt idx="143">
                        <c:v>153138.63</c:v>
                      </c:pt>
                      <c:pt idx="144">
                        <c:v>153365.51</c:v>
                      </c:pt>
                      <c:pt idx="145">
                        <c:v>153653.54</c:v>
                      </c:pt>
                      <c:pt idx="146">
                        <c:v>153634.12</c:v>
                      </c:pt>
                      <c:pt idx="147">
                        <c:v>153637.21</c:v>
                      </c:pt>
                      <c:pt idx="148">
                        <c:v>151235.57</c:v>
                      </c:pt>
                      <c:pt idx="149">
                        <c:v>153672.89000000001</c:v>
                      </c:pt>
                      <c:pt idx="150">
                        <c:v>153496.22</c:v>
                      </c:pt>
                      <c:pt idx="151">
                        <c:v>153522.93</c:v>
                      </c:pt>
                      <c:pt idx="152">
                        <c:v>153522.93</c:v>
                      </c:pt>
                      <c:pt idx="153">
                        <c:v>153532.54999999999</c:v>
                      </c:pt>
                      <c:pt idx="154">
                        <c:v>153542.18</c:v>
                      </c:pt>
                      <c:pt idx="155">
                        <c:v>153384.93</c:v>
                      </c:pt>
                      <c:pt idx="156">
                        <c:v>153373.92000000001</c:v>
                      </c:pt>
                      <c:pt idx="157">
                        <c:v>153447.14000000001</c:v>
                      </c:pt>
                      <c:pt idx="158">
                        <c:v>153326.26999999999</c:v>
                      </c:pt>
                      <c:pt idx="159">
                        <c:v>153326.26999999999</c:v>
                      </c:pt>
                      <c:pt idx="160">
                        <c:v>153461.82</c:v>
                      </c:pt>
                      <c:pt idx="161">
                        <c:v>153269.26999999999</c:v>
                      </c:pt>
                      <c:pt idx="162">
                        <c:v>153030.82999999999</c:v>
                      </c:pt>
                      <c:pt idx="163">
                        <c:v>152934.16</c:v>
                      </c:pt>
                      <c:pt idx="164">
                        <c:v>152934.16</c:v>
                      </c:pt>
                      <c:pt idx="165">
                        <c:v>153302.81</c:v>
                      </c:pt>
                      <c:pt idx="166">
                        <c:v>153200.76999999999</c:v>
                      </c:pt>
                      <c:pt idx="167">
                        <c:v>153098.73000000001</c:v>
                      </c:pt>
                      <c:pt idx="168">
                        <c:v>152996.69</c:v>
                      </c:pt>
                      <c:pt idx="169">
                        <c:v>153165.19</c:v>
                      </c:pt>
                      <c:pt idx="170">
                        <c:v>153352.6</c:v>
                      </c:pt>
                      <c:pt idx="171">
                        <c:v>153223.56</c:v>
                      </c:pt>
                      <c:pt idx="172">
                        <c:v>153233.81</c:v>
                      </c:pt>
                      <c:pt idx="173">
                        <c:v>153119.60999999999</c:v>
                      </c:pt>
                      <c:pt idx="174">
                        <c:v>152899.29999999999</c:v>
                      </c:pt>
                      <c:pt idx="175">
                        <c:v>152452.1</c:v>
                      </c:pt>
                      <c:pt idx="176">
                        <c:v>153025.29999999999</c:v>
                      </c:pt>
                      <c:pt idx="177">
                        <c:v>153598.51</c:v>
                      </c:pt>
                      <c:pt idx="178">
                        <c:v>154509.69</c:v>
                      </c:pt>
                      <c:pt idx="179">
                        <c:v>155524.81</c:v>
                      </c:pt>
                      <c:pt idx="180">
                        <c:v>156539.95000000001</c:v>
                      </c:pt>
                      <c:pt idx="181">
                        <c:v>156976.79</c:v>
                      </c:pt>
                      <c:pt idx="182">
                        <c:v>157320.65</c:v>
                      </c:pt>
                      <c:pt idx="183">
                        <c:v>157198.85</c:v>
                      </c:pt>
                      <c:pt idx="184">
                        <c:v>158271.54</c:v>
                      </c:pt>
                      <c:pt idx="185">
                        <c:v>159487.45000000001</c:v>
                      </c:pt>
                      <c:pt idx="186">
                        <c:v>160659.14000000001</c:v>
                      </c:pt>
                      <c:pt idx="187">
                        <c:v>161830.85999999999</c:v>
                      </c:pt>
                      <c:pt idx="188">
                        <c:v>162959.57999999999</c:v>
                      </c:pt>
                      <c:pt idx="189">
                        <c:v>164138.26999999999</c:v>
                      </c:pt>
                      <c:pt idx="190">
                        <c:v>165350.20000000001</c:v>
                      </c:pt>
                      <c:pt idx="191">
                        <c:v>166942.06</c:v>
                      </c:pt>
                      <c:pt idx="192">
                        <c:v>168086.79</c:v>
                      </c:pt>
                      <c:pt idx="193">
                        <c:v>168190.64</c:v>
                      </c:pt>
                      <c:pt idx="194">
                        <c:v>168294.49</c:v>
                      </c:pt>
                      <c:pt idx="195">
                        <c:v>168182</c:v>
                      </c:pt>
                      <c:pt idx="196">
                        <c:v>167932.98</c:v>
                      </c:pt>
                      <c:pt idx="197">
                        <c:v>168023.71</c:v>
                      </c:pt>
                      <c:pt idx="198">
                        <c:v>168476.98</c:v>
                      </c:pt>
                      <c:pt idx="199">
                        <c:v>168583.13</c:v>
                      </c:pt>
                      <c:pt idx="200">
                        <c:v>168862.04</c:v>
                      </c:pt>
                      <c:pt idx="201">
                        <c:v>169140.95</c:v>
                      </c:pt>
                      <c:pt idx="202">
                        <c:v>169419.87</c:v>
                      </c:pt>
                      <c:pt idx="203">
                        <c:v>169674.79</c:v>
                      </c:pt>
                      <c:pt idx="204">
                        <c:v>169589.99</c:v>
                      </c:pt>
                      <c:pt idx="205">
                        <c:v>169717.7</c:v>
                      </c:pt>
                      <c:pt idx="206">
                        <c:v>169637.84</c:v>
                      </c:pt>
                      <c:pt idx="207">
                        <c:v>169468.4</c:v>
                      </c:pt>
                      <c:pt idx="208">
                        <c:v>169521.81</c:v>
                      </c:pt>
                      <c:pt idx="209">
                        <c:v>169487.96</c:v>
                      </c:pt>
                      <c:pt idx="210">
                        <c:v>169406.01</c:v>
                      </c:pt>
                      <c:pt idx="211">
                        <c:v>169407.96</c:v>
                      </c:pt>
                      <c:pt idx="212">
                        <c:v>169409.93</c:v>
                      </c:pt>
                      <c:pt idx="213">
                        <c:v>169458.58</c:v>
                      </c:pt>
                      <c:pt idx="214">
                        <c:v>169328.04</c:v>
                      </c:pt>
                      <c:pt idx="215">
                        <c:v>169374.89</c:v>
                      </c:pt>
                      <c:pt idx="216">
                        <c:v>169489.22</c:v>
                      </c:pt>
                      <c:pt idx="217">
                        <c:v>169728.52</c:v>
                      </c:pt>
                      <c:pt idx="218">
                        <c:v>169645.83</c:v>
                      </c:pt>
                      <c:pt idx="219">
                        <c:v>169614.68</c:v>
                      </c:pt>
                      <c:pt idx="220">
                        <c:v>169676.09</c:v>
                      </c:pt>
                      <c:pt idx="221">
                        <c:v>169763.56</c:v>
                      </c:pt>
                      <c:pt idx="222">
                        <c:v>169851.02</c:v>
                      </c:pt>
                      <c:pt idx="223">
                        <c:v>169719.97</c:v>
                      </c:pt>
                      <c:pt idx="224">
                        <c:v>169794.39</c:v>
                      </c:pt>
                      <c:pt idx="225">
                        <c:v>169857.3</c:v>
                      </c:pt>
                      <c:pt idx="226">
                        <c:v>169920.21</c:v>
                      </c:pt>
                      <c:pt idx="227">
                        <c:v>170030.67</c:v>
                      </c:pt>
                      <c:pt idx="228">
                        <c:v>170152.82</c:v>
                      </c:pt>
                      <c:pt idx="229">
                        <c:v>170242.79</c:v>
                      </c:pt>
                      <c:pt idx="230">
                        <c:v>170329.47</c:v>
                      </c:pt>
                      <c:pt idx="231">
                        <c:v>170416.14</c:v>
                      </c:pt>
                      <c:pt idx="232">
                        <c:v>170929.85</c:v>
                      </c:pt>
                      <c:pt idx="233">
                        <c:v>171011.74</c:v>
                      </c:pt>
                      <c:pt idx="234">
                        <c:v>170909.03</c:v>
                      </c:pt>
                      <c:pt idx="235">
                        <c:v>170806.32</c:v>
                      </c:pt>
                      <c:pt idx="236">
                        <c:v>171053.1</c:v>
                      </c:pt>
                      <c:pt idx="237">
                        <c:v>171292.41</c:v>
                      </c:pt>
                      <c:pt idx="238">
                        <c:v>171303.87</c:v>
                      </c:pt>
                      <c:pt idx="239">
                        <c:v>171408.85</c:v>
                      </c:pt>
                      <c:pt idx="240">
                        <c:v>171524.56</c:v>
                      </c:pt>
                      <c:pt idx="241">
                        <c:v>171640.29</c:v>
                      </c:pt>
                      <c:pt idx="242">
                        <c:v>171726.49</c:v>
                      </c:pt>
                      <c:pt idx="243">
                        <c:v>171942.85</c:v>
                      </c:pt>
                      <c:pt idx="244">
                        <c:v>172170.98</c:v>
                      </c:pt>
                      <c:pt idx="245">
                        <c:v>172290.36</c:v>
                      </c:pt>
                      <c:pt idx="246">
                        <c:v>172461.29</c:v>
                      </c:pt>
                      <c:pt idx="247">
                        <c:v>172415.61</c:v>
                      </c:pt>
                      <c:pt idx="248">
                        <c:v>172358.83</c:v>
                      </c:pt>
                      <c:pt idx="249">
                        <c:v>172342.97</c:v>
                      </c:pt>
                      <c:pt idx="250">
                        <c:v>172592.58</c:v>
                      </c:pt>
                      <c:pt idx="251">
                        <c:v>172574.22</c:v>
                      </c:pt>
                      <c:pt idx="252">
                        <c:v>172937.33</c:v>
                      </c:pt>
                      <c:pt idx="253">
                        <c:v>173382.68</c:v>
                      </c:pt>
                      <c:pt idx="254">
                        <c:v>174056.73</c:v>
                      </c:pt>
                      <c:pt idx="255">
                        <c:v>174214.06</c:v>
                      </c:pt>
                      <c:pt idx="256">
                        <c:v>174178.75</c:v>
                      </c:pt>
                      <c:pt idx="257">
                        <c:v>174649.86</c:v>
                      </c:pt>
                      <c:pt idx="258">
                        <c:v>174767.6</c:v>
                      </c:pt>
                      <c:pt idx="259">
                        <c:v>175003.06</c:v>
                      </c:pt>
                      <c:pt idx="260">
                        <c:v>175100.56</c:v>
                      </c:pt>
                      <c:pt idx="261">
                        <c:v>175464.73</c:v>
                      </c:pt>
                      <c:pt idx="262">
                        <c:v>175539.4</c:v>
                      </c:pt>
                      <c:pt idx="263">
                        <c:v>176071.73</c:v>
                      </c:pt>
                      <c:pt idx="264">
                        <c:v>176146.64</c:v>
                      </c:pt>
                      <c:pt idx="265">
                        <c:v>176522.99</c:v>
                      </c:pt>
                      <c:pt idx="266">
                        <c:v>176623.47</c:v>
                      </c:pt>
                      <c:pt idx="267">
                        <c:v>176784.81</c:v>
                      </c:pt>
                      <c:pt idx="268">
                        <c:v>177055.98</c:v>
                      </c:pt>
                      <c:pt idx="269">
                        <c:v>177056.81</c:v>
                      </c:pt>
                      <c:pt idx="270">
                        <c:v>177163.82</c:v>
                      </c:pt>
                      <c:pt idx="271">
                        <c:v>177313.89</c:v>
                      </c:pt>
                      <c:pt idx="272">
                        <c:v>177463.96</c:v>
                      </c:pt>
                      <c:pt idx="273">
                        <c:v>177781.83</c:v>
                      </c:pt>
                      <c:pt idx="274">
                        <c:v>179066.79</c:v>
                      </c:pt>
                      <c:pt idx="275">
                        <c:v>179306.14</c:v>
                      </c:pt>
                      <c:pt idx="276">
                        <c:v>179508.13</c:v>
                      </c:pt>
                      <c:pt idx="277">
                        <c:v>179572.02</c:v>
                      </c:pt>
                      <c:pt idx="278">
                        <c:v>179790.94</c:v>
                      </c:pt>
                      <c:pt idx="279">
                        <c:v>180009.87</c:v>
                      </c:pt>
                      <c:pt idx="280">
                        <c:v>180124.95</c:v>
                      </c:pt>
                      <c:pt idx="281">
                        <c:v>180240.03</c:v>
                      </c:pt>
                      <c:pt idx="282">
                        <c:v>180355.11</c:v>
                      </c:pt>
                      <c:pt idx="283">
                        <c:v>180389.51</c:v>
                      </c:pt>
                      <c:pt idx="284">
                        <c:v>180562.01</c:v>
                      </c:pt>
                      <c:pt idx="285">
                        <c:v>180603.34</c:v>
                      </c:pt>
                      <c:pt idx="286">
                        <c:v>180644.68</c:v>
                      </c:pt>
                      <c:pt idx="287">
                        <c:v>180686.02</c:v>
                      </c:pt>
                      <c:pt idx="288">
                        <c:v>180648.46</c:v>
                      </c:pt>
                      <c:pt idx="289">
                        <c:v>180610.91</c:v>
                      </c:pt>
                      <c:pt idx="290">
                        <c:v>180713.97</c:v>
                      </c:pt>
                      <c:pt idx="291">
                        <c:v>180708.72</c:v>
                      </c:pt>
                      <c:pt idx="292">
                        <c:v>180594.82</c:v>
                      </c:pt>
                      <c:pt idx="293">
                        <c:v>180423.66</c:v>
                      </c:pt>
                      <c:pt idx="294">
                        <c:v>180488.82</c:v>
                      </c:pt>
                      <c:pt idx="295">
                        <c:v>180443.64</c:v>
                      </c:pt>
                      <c:pt idx="296">
                        <c:v>180493.32</c:v>
                      </c:pt>
                      <c:pt idx="297">
                        <c:v>180431.19</c:v>
                      </c:pt>
                      <c:pt idx="298">
                        <c:v>180440.73</c:v>
                      </c:pt>
                      <c:pt idx="299">
                        <c:v>180450.25</c:v>
                      </c:pt>
                      <c:pt idx="300">
                        <c:v>180499.81</c:v>
                      </c:pt>
                      <c:pt idx="301">
                        <c:v>180579.76</c:v>
                      </c:pt>
                      <c:pt idx="302">
                        <c:v>180659.72</c:v>
                      </c:pt>
                      <c:pt idx="303">
                        <c:v>181093.73</c:v>
                      </c:pt>
                      <c:pt idx="304">
                        <c:v>181085.01</c:v>
                      </c:pt>
                      <c:pt idx="305">
                        <c:v>181671.79</c:v>
                      </c:pt>
                      <c:pt idx="306">
                        <c:v>181850.3</c:v>
                      </c:pt>
                      <c:pt idx="307">
                        <c:v>181978.7</c:v>
                      </c:pt>
                      <c:pt idx="308">
                        <c:v>182178.1</c:v>
                      </c:pt>
                      <c:pt idx="309">
                        <c:v>182066.02</c:v>
                      </c:pt>
                      <c:pt idx="310">
                        <c:v>182083.87</c:v>
                      </c:pt>
                      <c:pt idx="311">
                        <c:v>182101.72</c:v>
                      </c:pt>
                      <c:pt idx="312">
                        <c:v>181995.04</c:v>
                      </c:pt>
                      <c:pt idx="313">
                        <c:v>181858.25</c:v>
                      </c:pt>
                      <c:pt idx="314">
                        <c:v>181721.47</c:v>
                      </c:pt>
                      <c:pt idx="315">
                        <c:v>181584.69</c:v>
                      </c:pt>
                      <c:pt idx="316">
                        <c:v>181544.16</c:v>
                      </c:pt>
                      <c:pt idx="317">
                        <c:v>181589.76000000001</c:v>
                      </c:pt>
                      <c:pt idx="318">
                        <c:v>181661.38</c:v>
                      </c:pt>
                      <c:pt idx="319">
                        <c:v>181613.75</c:v>
                      </c:pt>
                      <c:pt idx="320">
                        <c:v>181611.69</c:v>
                      </c:pt>
                      <c:pt idx="321">
                        <c:v>181803</c:v>
                      </c:pt>
                      <c:pt idx="322">
                        <c:v>181942.8</c:v>
                      </c:pt>
                      <c:pt idx="323">
                        <c:v>181689.73</c:v>
                      </c:pt>
                      <c:pt idx="324">
                        <c:v>181559.73</c:v>
                      </c:pt>
                      <c:pt idx="325">
                        <c:v>181613.05</c:v>
                      </c:pt>
                      <c:pt idx="326">
                        <c:v>181527.48</c:v>
                      </c:pt>
                      <c:pt idx="327">
                        <c:v>181561.84</c:v>
                      </c:pt>
                      <c:pt idx="328">
                        <c:v>181596.18</c:v>
                      </c:pt>
                      <c:pt idx="329">
                        <c:v>181630.54</c:v>
                      </c:pt>
                      <c:pt idx="330">
                        <c:v>181630.81</c:v>
                      </c:pt>
                      <c:pt idx="331">
                        <c:v>181601.36</c:v>
                      </c:pt>
                      <c:pt idx="332">
                        <c:v>181672.63</c:v>
                      </c:pt>
                      <c:pt idx="333">
                        <c:v>181891.23</c:v>
                      </c:pt>
                      <c:pt idx="334">
                        <c:v>181989.93</c:v>
                      </c:pt>
                      <c:pt idx="335">
                        <c:v>181973.42</c:v>
                      </c:pt>
                      <c:pt idx="336">
                        <c:v>181956.93</c:v>
                      </c:pt>
                      <c:pt idx="337">
                        <c:v>181940.43</c:v>
                      </c:pt>
                      <c:pt idx="338">
                        <c:v>182188.26</c:v>
                      </c:pt>
                      <c:pt idx="339">
                        <c:v>182160.45</c:v>
                      </c:pt>
                      <c:pt idx="340">
                        <c:v>182132.65</c:v>
                      </c:pt>
                      <c:pt idx="341">
                        <c:v>182149.11</c:v>
                      </c:pt>
                      <c:pt idx="342">
                        <c:v>182116.6</c:v>
                      </c:pt>
                      <c:pt idx="343">
                        <c:v>182084.1</c:v>
                      </c:pt>
                      <c:pt idx="344">
                        <c:v>182354.22</c:v>
                      </c:pt>
                      <c:pt idx="345">
                        <c:v>182629.69</c:v>
                      </c:pt>
                      <c:pt idx="346">
                        <c:v>182571.11</c:v>
                      </c:pt>
                      <c:pt idx="347">
                        <c:v>182400.37</c:v>
                      </c:pt>
                      <c:pt idx="348">
                        <c:v>182313.62</c:v>
                      </c:pt>
                      <c:pt idx="349">
                        <c:v>182436.36</c:v>
                      </c:pt>
                      <c:pt idx="350">
                        <c:v>182618.41</c:v>
                      </c:pt>
                      <c:pt idx="351">
                        <c:v>182083.25</c:v>
                      </c:pt>
                      <c:pt idx="352">
                        <c:v>182086.63</c:v>
                      </c:pt>
                      <c:pt idx="353">
                        <c:v>182102.62</c:v>
                      </c:pt>
                      <c:pt idx="354">
                        <c:v>181947.43</c:v>
                      </c:pt>
                      <c:pt idx="355" formatCode="&quot;€&quot;* #\ ##0.00;&quot;€&quot;* \-#\ ##0.00">
                        <c:v>181866.08</c:v>
                      </c:pt>
                      <c:pt idx="356" formatCode="&quot;€&quot;* #\ ##0.00;&quot;€&quot;* \-#\ ##0.00">
                        <c:v>181603.8</c:v>
                      </c:pt>
                      <c:pt idx="357" formatCode="&quot;€&quot;* #\ ##0.00;&quot;€&quot;* \-#\ ##0.00">
                        <c:v>180910.52</c:v>
                      </c:pt>
                      <c:pt idx="358" formatCode="&quot;€&quot;* #\ ##0.00;&quot;€&quot;* \-#\ ##0.00">
                        <c:v>180618.25</c:v>
                      </c:pt>
                      <c:pt idx="359" formatCode="&quot;€&quot;* #\ ##0.00;&quot;€&quot;* \-#\ ##0.00">
                        <c:v>180699.4</c:v>
                      </c:pt>
                      <c:pt idx="360" formatCode="&quot;€&quot;* #\ ##0.00;&quot;€&quot;* \-#\ ##0.00">
                        <c:v>180801.78</c:v>
                      </c:pt>
                      <c:pt idx="361" formatCode="&quot;€&quot;* #\ ##0.00;&quot;€&quot;* \-#\ ##0.00">
                        <c:v>180070.9</c:v>
                      </c:pt>
                      <c:pt idx="362" formatCode="&quot;€&quot;* #\ ##0.00;&quot;€&quot;* \-#\ ##0.00">
                        <c:v>180290.31</c:v>
                      </c:pt>
                      <c:pt idx="363" formatCode="&quot;€&quot;* #\ ##0.00;&quot;€&quot;* \-#\ ##0.00">
                        <c:v>180342.18</c:v>
                      </c:pt>
                      <c:pt idx="364" formatCode="&quot;€&quot;* #\ ##0.00;&quot;€&quot;* \-#\ ##0.00">
                        <c:v>180394.06</c:v>
                      </c:pt>
                      <c:pt idx="365" formatCode="&quot;€&quot;* #\ ##0.00;&quot;€&quot;* \-#\ ##0.00">
                        <c:v>180445.94</c:v>
                      </c:pt>
                      <c:pt idx="366" formatCode="&quot;€&quot;* #\ ##0.00;&quot;€&quot;* \-#\ ##0.00">
                        <c:v>180717.47</c:v>
                      </c:pt>
                      <c:pt idx="367" formatCode="&quot;€&quot;* #\ ##0.00;&quot;€&quot;* \-#\ ##0.00">
                        <c:v>180871.54</c:v>
                      </c:pt>
                      <c:pt idx="368" formatCode="&quot;€&quot;* #\ ##0.00;&quot;€&quot;* \-#\ ##0.00">
                        <c:v>180804.76</c:v>
                      </c:pt>
                      <c:pt idx="369" formatCode="&quot;€&quot;* #\ ##0.00;&quot;€&quot;* \-#\ ##0.00">
                        <c:v>180731.15</c:v>
                      </c:pt>
                      <c:pt idx="370" formatCode="&quot;€&quot;* #\ ##0.00;&quot;€&quot;* \-#\ ##0.00">
                        <c:v>180657.55</c:v>
                      </c:pt>
                      <c:pt idx="371" formatCode="&quot;€&quot;* #\ ##0.00;&quot;€&quot;* \-#\ ##0.00">
                        <c:v>180583.95</c:v>
                      </c:pt>
                      <c:pt idx="372" formatCode="&quot;€&quot;* #\ ##0.00;&quot;€&quot;* \-#\ ##0.00">
                        <c:v>180455.63</c:v>
                      </c:pt>
                      <c:pt idx="373" formatCode="&quot;€&quot;* #\ ##0.00;&quot;€&quot;* \-#\ ##0.00">
                        <c:v>180352.56</c:v>
                      </c:pt>
                      <c:pt idx="374" formatCode="&quot;€&quot;* #\ ##0.00;&quot;€&quot;* \-#\ ##0.00">
                        <c:v>180138.15</c:v>
                      </c:pt>
                      <c:pt idx="375" formatCode="&quot;€&quot;* #\ ##0.00;&quot;€&quot;* \-#\ ##0.00">
                        <c:v>180158.5</c:v>
                      </c:pt>
                      <c:pt idx="376" formatCode="&quot;€&quot;* #\ ##0.00;&quot;€&quot;* \-#\ ##0.00">
                        <c:v>180342.18</c:v>
                      </c:pt>
                      <c:pt idx="377" formatCode="&quot;€&quot;* #\ ##0.00;&quot;€&quot;* \-#\ ##0.00">
                        <c:v>180599.04000000001</c:v>
                      </c:pt>
                      <c:pt idx="378" formatCode="&quot;€&quot;* #\ ##0.00;&quot;€&quot;* \-#\ ##0.00">
                        <c:v>180657.92000000001</c:v>
                      </c:pt>
                      <c:pt idx="379" formatCode="&quot;€&quot;* #\ ##0.00;&quot;€&quot;* \-#\ ##0.00">
                        <c:v>180716.92</c:v>
                      </c:pt>
                      <c:pt idx="380" formatCode="&quot;€&quot;* #\ ##0.00;&quot;€&quot;* \-#\ ##0.00">
                        <c:v>180658.97</c:v>
                      </c:pt>
                      <c:pt idx="381" formatCode="&quot;€&quot;* #\ ##0.00;&quot;€&quot;* \-#\ ##0.00">
                        <c:v>180609.06</c:v>
                      </c:pt>
                      <c:pt idx="382" formatCode="&quot;€&quot;* #\ ##0.00;&quot;€&quot;* \-#\ ##0.00">
                        <c:v>180492.49</c:v>
                      </c:pt>
                      <c:pt idx="383" formatCode="&quot;€&quot;* #\ ##0.00;&quot;€&quot;* \-#\ ##0.00">
                        <c:v>180375.94</c:v>
                      </c:pt>
                      <c:pt idx="384" formatCode="&quot;€&quot;* #\ ##0.00;&quot;€&quot;* \-#\ ##0.00">
                        <c:v>180195.47</c:v>
                      </c:pt>
                      <c:pt idx="385" formatCode="&quot;€&quot;* #\ ##0.00;&quot;€&quot;* \-#\ ##0.00">
                        <c:v>180305.3</c:v>
                      </c:pt>
                      <c:pt idx="386" formatCode="&quot;€&quot;* #\ ##0.00;&quot;€&quot;* \-#\ ##0.00">
                        <c:v>180247.97</c:v>
                      </c:pt>
                      <c:pt idx="387" formatCode="&quot;€&quot;* #\ ##0.00;&quot;€&quot;* \-#\ ##0.00">
                        <c:v>180258.24</c:v>
                      </c:pt>
                      <c:pt idx="388" formatCode="&quot;€&quot;* #\ ##0.00;&quot;€&quot;* \-#\ ##0.00">
                        <c:v>180350.26</c:v>
                      </c:pt>
                      <c:pt idx="389" formatCode="&quot;€&quot;* #\ ##0.00;&quot;€&quot;* \-#\ ##0.00">
                        <c:v>180557.9</c:v>
                      </c:pt>
                      <c:pt idx="390" formatCode="&quot;€&quot;* #\ ##0.00;&quot;€&quot;* \-#\ ##0.00">
                        <c:v>180932.71</c:v>
                      </c:pt>
                      <c:pt idx="391" formatCode="&quot;€&quot;* #\ ##0.00;&quot;€&quot;* \-#\ ##0.00">
                        <c:v>181063.79</c:v>
                      </c:pt>
                      <c:pt idx="392" formatCode="&quot;€&quot;* #\ ##0.00;&quot;€&quot;* \-#\ ##0.00">
                        <c:v>181102.94</c:v>
                      </c:pt>
                      <c:pt idx="393" formatCode="&quot;€&quot;* #\ ##0.00;&quot;€&quot;* \-#\ ##0.00">
                        <c:v>181076.05</c:v>
                      </c:pt>
                      <c:pt idx="394" formatCode="&quot;€&quot;* #\ ##0.00;&quot;€&quot;* \-#\ ##0.00">
                        <c:v>181292.91</c:v>
                      </c:pt>
                      <c:pt idx="395" formatCode="&quot;€&quot;* #\ ##0.00;&quot;€&quot;* \-#\ ##0.00">
                        <c:v>181040.92</c:v>
                      </c:pt>
                      <c:pt idx="396" formatCode="&quot;€&quot;* #\ ##0.00;&quot;€&quot;* \-#\ ##0.00">
                        <c:v>180788.93</c:v>
                      </c:pt>
                      <c:pt idx="397" formatCode="&quot;€&quot;* #\ ##0.00;&quot;€&quot;* \-#\ ##0.00">
                        <c:v>180917.78</c:v>
                      </c:pt>
                      <c:pt idx="398" formatCode="&quot;€&quot;* #\ ##0.00;&quot;€&quot;* \-#\ ##0.00">
                        <c:v>181213.57</c:v>
                      </c:pt>
                      <c:pt idx="399" formatCode="&quot;€&quot;* #\ ##0.00;&quot;€&quot;* \-#\ ##0.00">
                        <c:v>181317.03</c:v>
                      </c:pt>
                      <c:pt idx="400" formatCode="&quot;€&quot;* #\ ##0.00;&quot;€&quot;* \-#\ ##0.00">
                        <c:v>181420.46</c:v>
                      </c:pt>
                      <c:pt idx="401" formatCode="&quot;€&quot;* #\ ##0.00;&quot;€&quot;* \-#\ ##0.00">
                        <c:v>181134.31</c:v>
                      </c:pt>
                      <c:pt idx="402" formatCode="&quot;€&quot;* #\ ##0.00;&quot;€&quot;* \-#\ ##0.00">
                        <c:v>180848.15</c:v>
                      </c:pt>
                      <c:pt idx="403" formatCode="&quot;€&quot;* #\ ##0.00;&quot;€&quot;* \-#\ ##0.00">
                        <c:v>180797.47</c:v>
                      </c:pt>
                      <c:pt idx="404" formatCode="&quot;€&quot;* #\ ##0.00;&quot;€&quot;* \-#\ ##0.00">
                        <c:v>180626.89</c:v>
                      </c:pt>
                      <c:pt idx="405" formatCode="&quot;€&quot;* #\ ##0.00;&quot;€&quot;* \-#\ ##0.00">
                        <c:v>180611.97</c:v>
                      </c:pt>
                      <c:pt idx="406" formatCode="&quot;€&quot;* #\ ##0.00;&quot;€&quot;* \-#\ ##0.00">
                        <c:v>180443.78</c:v>
                      </c:pt>
                      <c:pt idx="407" formatCode="&quot;€&quot;* #\ ##0.00;&quot;€&quot;* \-#\ ##0.00">
                        <c:v>180329.66</c:v>
                      </c:pt>
                      <c:pt idx="408" formatCode="&quot;€&quot;* #\ ##0.00;&quot;€&quot;* \-#\ ##0.00">
                        <c:v>180159.8</c:v>
                      </c:pt>
                      <c:pt idx="409" formatCode="&quot;€&quot;* #\ ##0.00;&quot;€&quot;* \-#\ ##0.00">
                        <c:v>180221.14</c:v>
                      </c:pt>
                      <c:pt idx="410" formatCode="&quot;€&quot;* #\ ##0.00;&quot;€&quot;* \-#\ ##0.00">
                        <c:v>180282.46</c:v>
                      </c:pt>
                      <c:pt idx="411" formatCode="&quot;€&quot;* #\ ##0.00;&quot;€&quot;* \-#\ ##0.00">
                        <c:v>180545.2</c:v>
                      </c:pt>
                      <c:pt idx="412" formatCode="&quot;€&quot;* #\ ##0.00;&quot;€&quot;* \-#\ ##0.00">
                        <c:v>180342.72</c:v>
                      </c:pt>
                      <c:pt idx="413" formatCode="&quot;€&quot;* #\ ##0.00;&quot;€&quot;* \-#\ ##0.00">
                        <c:v>180528.98</c:v>
                      </c:pt>
                      <c:pt idx="414" formatCode="&quot;€&quot;* #\ ##0.00;&quot;€&quot;* \-#\ ##0.00">
                        <c:v>180588.92</c:v>
                      </c:pt>
                      <c:pt idx="415" formatCode="&quot;€&quot;* #\ ##0.00;&quot;€&quot;* \-#\ ##0.00">
                        <c:v>180460.44</c:v>
                      </c:pt>
                      <c:pt idx="416" formatCode="&quot;€&quot;* #\ ##0.00;&quot;€&quot;* \-#\ ##0.00">
                        <c:v>180646.36</c:v>
                      </c:pt>
                      <c:pt idx="417" formatCode="&quot;€&quot;* #\ ##0.00;&quot;€&quot;* \-#\ ##0.00">
                        <c:v>180743.15</c:v>
                      </c:pt>
                      <c:pt idx="418" formatCode="&quot;€&quot;* #\ ##0.00;&quot;€&quot;* \-#\ ##0.00">
                        <c:v>180423.14</c:v>
                      </c:pt>
                      <c:pt idx="419" formatCode="&quot;€&quot;* #\ ##0.00;&quot;€&quot;* \-#\ ##0.00">
                        <c:v>180103.12</c:v>
                      </c:pt>
                      <c:pt idx="420" formatCode="&quot;€&quot;* #\ ##0.00;&quot;€&quot;* \-#\ ##0.00">
                        <c:v>179727.81</c:v>
                      </c:pt>
                      <c:pt idx="421" formatCode="&quot;€&quot;* #\ ##0.00;&quot;€&quot;* \-#\ ##0.00">
                        <c:v>179352.49</c:v>
                      </c:pt>
                      <c:pt idx="422" formatCode="&quot;€&quot;* #\ ##0.00;&quot;€&quot;* \-#\ ##0.00">
                        <c:v>178977.18</c:v>
                      </c:pt>
                      <c:pt idx="423" formatCode="&quot;€&quot;* #\ ##0.00;&quot;€&quot;* \-#\ ##0.00">
                        <c:v>178658.22</c:v>
                      </c:pt>
                      <c:pt idx="424" formatCode="&quot;€&quot;* #\ ##0.00;&quot;€&quot;* \-#\ ##0.00">
                        <c:v>178397.68</c:v>
                      </c:pt>
                      <c:pt idx="425" formatCode="&quot;€&quot;* #\ ##0.00;&quot;€&quot;* \-#\ ##0.00">
                        <c:v>178137.15</c:v>
                      </c:pt>
                      <c:pt idx="426" formatCode="&quot;€&quot;* #\ ##0.00;&quot;€&quot;* \-#\ ##0.00">
                        <c:v>177876.61</c:v>
                      </c:pt>
                      <c:pt idx="427" formatCode="&quot;€&quot;* #\ ##0.00;&quot;€&quot;* \-#\ ##0.00">
                        <c:v>177696.23</c:v>
                      </c:pt>
                      <c:pt idx="428" formatCode="&quot;€&quot;* #\ ##0.00;&quot;€&quot;* \-#\ ##0.00">
                        <c:v>177700.68</c:v>
                      </c:pt>
                      <c:pt idx="429" formatCode="&quot;€&quot;* #\ ##0.00;&quot;€&quot;* \-#\ ##0.00">
                        <c:v>177475.51</c:v>
                      </c:pt>
                      <c:pt idx="430" formatCode="&quot;€&quot;* #\ ##0.00;&quot;€&quot;* \-#\ ##0.00">
                        <c:v>177232.62</c:v>
                      </c:pt>
                      <c:pt idx="431" formatCode="&quot;€&quot;* #\ ##0.00;&quot;€&quot;* \-#\ ##0.00">
                        <c:v>176973.34</c:v>
                      </c:pt>
                      <c:pt idx="432" formatCode="&quot;€&quot;* #\ ##0.00;&quot;€&quot;* \-#\ ##0.00">
                        <c:v>176943.67</c:v>
                      </c:pt>
                      <c:pt idx="433" formatCode="&quot;€&quot;* #\ ##0.00;&quot;€&quot;* \-#\ ##0.00">
                        <c:v>176755.1</c:v>
                      </c:pt>
                      <c:pt idx="434" formatCode="&quot;€&quot;* #\ ##0.00;&quot;€&quot;* \-#\ ##0.00">
                        <c:v>176568.28</c:v>
                      </c:pt>
                      <c:pt idx="435" formatCode="&quot;€&quot;* #\ ##0.00;&quot;€&quot;* \-#\ ##0.00">
                        <c:v>176381.46</c:v>
                      </c:pt>
                      <c:pt idx="436" formatCode="&quot;€&quot;* #\ ##0.00;&quot;€&quot;* \-#\ ##0.00">
                        <c:v>176194.64</c:v>
                      </c:pt>
                      <c:pt idx="437" formatCode="&quot;€&quot;* #\ ##0.00;&quot;€&quot;* \-#\ ##0.00">
                        <c:v>175815.69</c:v>
                      </c:pt>
                      <c:pt idx="438" formatCode="&quot;€&quot;* #\ ##0.00;&quot;€&quot;* \-#\ ##0.00">
                        <c:v>175670.69</c:v>
                      </c:pt>
                      <c:pt idx="439" formatCode="&quot;€&quot;* #\ ##0.00;&quot;€&quot;* \-#\ ##0.00">
                        <c:v>175525.68</c:v>
                      </c:pt>
                      <c:pt idx="440" formatCode="&quot;€&quot;* #\ ##0.00;&quot;€&quot;* \-#\ ##0.00">
                        <c:v>175490.59</c:v>
                      </c:pt>
                      <c:pt idx="441" formatCode="&quot;€&quot;* #\ ##0.00;&quot;€&quot;* \-#\ ##0.00">
                        <c:v>175237.31</c:v>
                      </c:pt>
                      <c:pt idx="442" formatCode="&quot;€&quot;* #\ ##0.00;&quot;€&quot;* \-#\ ##0.00">
                        <c:v>174750.09</c:v>
                      </c:pt>
                      <c:pt idx="443" formatCode="&quot;€&quot;* #\ ##0.00;&quot;€&quot;* \-#\ ##0.00">
                        <c:v>174273.84</c:v>
                      </c:pt>
                      <c:pt idx="444" formatCode="&quot;€&quot;* #\ ##0.00;&quot;€&quot;* \-#\ ##0.00">
                        <c:v>173783.01</c:v>
                      </c:pt>
                      <c:pt idx="445" formatCode="&quot;€&quot;* #\ ##0.00;&quot;€&quot;* \-#\ ##0.00">
                        <c:v>173292.18</c:v>
                      </c:pt>
                      <c:pt idx="446" formatCode="&quot;€&quot;* #\ ##0.00;&quot;€&quot;* \-#\ ##0.00">
                        <c:v>173049.94</c:v>
                      </c:pt>
                      <c:pt idx="447" formatCode="&quot;€&quot;* #\ ##0.00;&quot;€&quot;* \-#\ ##0.00">
                        <c:v>172921.84</c:v>
                      </c:pt>
                      <c:pt idx="448" formatCode="&quot;€&quot;* #\ ##0.00;&quot;€&quot;* \-#\ ##0.00">
                        <c:v>172792.71</c:v>
                      </c:pt>
                      <c:pt idx="449" formatCode="&quot;€&quot;* #\ ##0.00;&quot;€&quot;* \-#\ ##0.00">
                        <c:v>172663.59</c:v>
                      </c:pt>
                      <c:pt idx="450" formatCode="&quot;€&quot;* #\ ##0.00;&quot;€&quot;* \-#\ ##0.00">
                        <c:v>172493.25</c:v>
                      </c:pt>
                      <c:pt idx="451" formatCode="&quot;€&quot;* #\ ##0.00;&quot;€&quot;* \-#\ ##0.00">
                        <c:v>172266.47</c:v>
                      </c:pt>
                      <c:pt idx="452" formatCode="&quot;€&quot;* #\ ##0.00;&quot;€&quot;* \-#\ ##0.00">
                        <c:v>172029.93</c:v>
                      </c:pt>
                      <c:pt idx="453" formatCode="&quot;€&quot;* #\ ##0.00;&quot;€&quot;* \-#\ ##0.00">
                        <c:v>171793.39</c:v>
                      </c:pt>
                      <c:pt idx="454" formatCode="&quot;€&quot;* #\ ##0.00;&quot;€&quot;* \-#\ ##0.00">
                        <c:v>171556.85</c:v>
                      </c:pt>
                      <c:pt idx="455" formatCode="&quot;€&quot;* #\ ##0.00;&quot;€&quot;* \-#\ ##0.00">
                        <c:v>171206.17</c:v>
                      </c:pt>
                      <c:pt idx="456" formatCode="&quot;€&quot;* #\ ##0.00;&quot;€&quot;* \-#\ ##0.00">
                        <c:v>171283.98</c:v>
                      </c:pt>
                      <c:pt idx="457" formatCode="&quot;€&quot;* #\ ##0.00;&quot;€&quot;* \-#\ ##0.00">
                        <c:v>170974.88</c:v>
                      </c:pt>
                      <c:pt idx="458" formatCode="&quot;€&quot;* #\ ##0.00;&quot;€&quot;* \-#\ ##0.00">
                        <c:v>170754.33</c:v>
                      </c:pt>
                      <c:pt idx="459" formatCode="&quot;€&quot;* #\ ##0.00;&quot;€&quot;* \-#\ ##0.00">
                        <c:v>170767.88</c:v>
                      </c:pt>
                      <c:pt idx="460" formatCode="&quot;€&quot;* #\ ##0.00;&quot;€&quot;* \-#\ ##0.00">
                        <c:v>171066.26</c:v>
                      </c:pt>
                      <c:pt idx="461" formatCode="&quot;€&quot;* #\ ##0.00;&quot;€&quot;* \-#\ ##0.00">
                        <c:v>171343.56</c:v>
                      </c:pt>
                      <c:pt idx="462" formatCode="&quot;€&quot;* #\ ##0.00;&quot;€&quot;* \-#\ ##0.00">
                        <c:v>171620.85</c:v>
                      </c:pt>
                      <c:pt idx="463" formatCode="&quot;€&quot;* #\ ##0.00;&quot;€&quot;* \-#\ ##0.00">
                        <c:v>171651.65</c:v>
                      </c:pt>
                      <c:pt idx="464" formatCode="&quot;€&quot;* #\ ##0.00;&quot;€&quot;* \-#\ ##0.00">
                        <c:v>171864.01</c:v>
                      </c:pt>
                      <c:pt idx="465" formatCode="&quot;€&quot;* #\ ##0.00;&quot;€&quot;* \-#\ ##0.00">
                        <c:v>171638.86</c:v>
                      </c:pt>
                      <c:pt idx="466" formatCode="&quot;€&quot;* #\ ##0.00;&quot;€&quot;* \-#\ ##0.00">
                        <c:v>171541.33</c:v>
                      </c:pt>
                      <c:pt idx="467" formatCode="&quot;€&quot;* #\ ##0.00;&quot;€&quot;* \-#\ ##0.00">
                        <c:v>171320.98</c:v>
                      </c:pt>
                      <c:pt idx="468" formatCode="&quot;€&quot;* #\ ##0.00;&quot;€&quot;* \-#\ ##0.00">
                        <c:v>171406.11</c:v>
                      </c:pt>
                      <c:pt idx="469" formatCode="&quot;€&quot;* #\ ##0.00;&quot;€&quot;* \-#\ ##0.00">
                        <c:v>171344.99</c:v>
                      </c:pt>
                      <c:pt idx="470" formatCode="&quot;€&quot;* #\ ##0.00;&quot;€&quot;* \-#\ ##0.00">
                        <c:v>171316.92</c:v>
                      </c:pt>
                      <c:pt idx="471" formatCode="&quot;€&quot;* #\ ##0.00;&quot;€&quot;* \-#\ ##0.00">
                        <c:v>171283.95</c:v>
                      </c:pt>
                      <c:pt idx="472" formatCode="&quot;€&quot;* #\ ##0.00;&quot;€&quot;* \-#\ ##0.00">
                        <c:v>171282.12</c:v>
                      </c:pt>
                      <c:pt idx="473" formatCode="&quot;€&quot;* #\ ##0.00;&quot;€&quot;* \-#\ ##0.00">
                        <c:v>171184.18</c:v>
                      </c:pt>
                      <c:pt idx="474" formatCode="&quot;€&quot;* #\ ##0.00;&quot;€&quot;* \-#\ ##0.00">
                        <c:v>171099.13</c:v>
                      </c:pt>
                      <c:pt idx="475" formatCode="&quot;€&quot;* #\ ##0.00;&quot;€&quot;* \-#\ ##0.00">
                        <c:v>171031.72</c:v>
                      </c:pt>
                      <c:pt idx="476" formatCode="&quot;€&quot;* #\ ##0.00;&quot;€&quot;* \-#\ ##0.00">
                        <c:v>170964.31</c:v>
                      </c:pt>
                      <c:pt idx="477" formatCode="&quot;€&quot;* #\ ##0.00;&quot;€&quot;* \-#\ ##0.00">
                        <c:v>171039.09</c:v>
                      </c:pt>
                      <c:pt idx="478" formatCode="&quot;€&quot;* #\ ##0.00;&quot;€&quot;* \-#\ ##0.00">
                        <c:v>170836.45</c:v>
                      </c:pt>
                      <c:pt idx="479" formatCode="&quot;€&quot;* #\ ##0.00;&quot;€&quot;* \-#\ ##0.00">
                        <c:v>170632.95</c:v>
                      </c:pt>
                      <c:pt idx="480" formatCode="&quot;€&quot;* #\ ##0.00;&quot;€&quot;* \-#\ ##0.00">
                        <c:v>170470.92</c:v>
                      </c:pt>
                      <c:pt idx="481" formatCode="&quot;€&quot;* #\ ##0.00;&quot;€&quot;* \-#\ ##0.00">
                        <c:v>170308.9</c:v>
                      </c:pt>
                      <c:pt idx="482" formatCode="&quot;€&quot;* #\ ##0.00;&quot;€&quot;* \-#\ ##0.00">
                        <c:v>170271.99</c:v>
                      </c:pt>
                      <c:pt idx="483" formatCode="&quot;€&quot;* #\ ##0.00;&quot;€&quot;* \-#\ ##0.00">
                        <c:v>170235.07</c:v>
                      </c:pt>
                      <c:pt idx="484" formatCode="&quot;€&quot;* #\ ##0.00;&quot;€&quot;* \-#\ ##0.00">
                        <c:v>170125.05</c:v>
                      </c:pt>
                      <c:pt idx="485" formatCode="&quot;€&quot;* #\ ##0.00;&quot;€&quot;* \-#\ ##0.00">
                        <c:v>170015.03</c:v>
                      </c:pt>
                      <c:pt idx="486" formatCode="&quot;€&quot;* #\ ##0.00;&quot;€&quot;* \-#\ ##0.00">
                        <c:v>169671.27</c:v>
                      </c:pt>
                      <c:pt idx="487" formatCode="&quot;€&quot;* #\ ##0.00;&quot;€&quot;* \-#\ ##0.00">
                        <c:v>169095.63</c:v>
                      </c:pt>
                      <c:pt idx="488" formatCode="&quot;€&quot;* #\ ##0.00;&quot;€&quot;* \-#\ ##0.00">
                        <c:v>168915.77</c:v>
                      </c:pt>
                    </c:numCache>
                  </c:numRef>
                </c:val>
                <c:smooth val="0"/>
                <c:extLst xmlns:c15="http://schemas.microsoft.com/office/drawing/2012/char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9-4AA0-45C4-827A-38317B3E1C33}"/>
                  </c:ext>
                </c:extLst>
              </c15:ser>
            </c15:filteredLineSeries>
            <c15:filteredLineSeries>
              <c15:ser>
                <c:idx val="5"/>
                <c:order val="2"/>
                <c:marker>
                  <c:symbol val="none"/>
                </c:marker>
                <c:cat>
                  <c:numRef>
                    <c:extLst xmlns:c15="http://schemas.microsoft.com/office/drawing/2012/chart">
                      <c:ext xmlns:c15="http://schemas.microsoft.com/office/drawing/2012/chart" uri="{02D57815-91ED-43cb-92C2-25804820EDAC}">
                        <c15:formulaRef>
                          <c15:sqref>Accueil!$O$4:$O$492</c15:sqref>
                        </c15:formulaRef>
                      </c:ext>
                    </c:extLst>
                    <c:numCache>
                      <c:formatCode>m/d/yyyy</c:formatCode>
                      <c:ptCount val="489"/>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45613</c:v>
                      </c:pt>
                      <c:pt idx="395">
                        <c:v>45612</c:v>
                      </c:pt>
                      <c:pt idx="396">
                        <c:v>45611</c:v>
                      </c:pt>
                      <c:pt idx="397">
                        <c:v>45610</c:v>
                      </c:pt>
                      <c:pt idx="398">
                        <c:v>45609</c:v>
                      </c:pt>
                      <c:pt idx="399">
                        <c:v>45608</c:v>
                      </c:pt>
                      <c:pt idx="400">
                        <c:v>45607</c:v>
                      </c:pt>
                      <c:pt idx="401">
                        <c:v>45606</c:v>
                      </c:pt>
                      <c:pt idx="402">
                        <c:v>45605</c:v>
                      </c:pt>
                      <c:pt idx="403">
                        <c:v>45604</c:v>
                      </c:pt>
                      <c:pt idx="404">
                        <c:v>45603</c:v>
                      </c:pt>
                      <c:pt idx="405">
                        <c:v>45602</c:v>
                      </c:pt>
                      <c:pt idx="406">
                        <c:v>45601</c:v>
                      </c:pt>
                      <c:pt idx="407">
                        <c:v>45600</c:v>
                      </c:pt>
                      <c:pt idx="408">
                        <c:v>45599</c:v>
                      </c:pt>
                      <c:pt idx="409">
                        <c:v>45598</c:v>
                      </c:pt>
                      <c:pt idx="410">
                        <c:v>45597</c:v>
                      </c:pt>
                      <c:pt idx="411">
                        <c:v>45594</c:v>
                      </c:pt>
                      <c:pt idx="412">
                        <c:v>45593</c:v>
                      </c:pt>
                      <c:pt idx="413">
                        <c:v>45592</c:v>
                      </c:pt>
                      <c:pt idx="414">
                        <c:v>45591</c:v>
                      </c:pt>
                      <c:pt idx="415">
                        <c:v>45590</c:v>
                      </c:pt>
                      <c:pt idx="416">
                        <c:v>45589</c:v>
                      </c:pt>
                      <c:pt idx="417">
                        <c:v>45588</c:v>
                      </c:pt>
                      <c:pt idx="418">
                        <c:v>45587</c:v>
                      </c:pt>
                      <c:pt idx="419">
                        <c:v>45586</c:v>
                      </c:pt>
                      <c:pt idx="420">
                        <c:v>45585</c:v>
                      </c:pt>
                      <c:pt idx="421">
                        <c:v>45584</c:v>
                      </c:pt>
                      <c:pt idx="422">
                        <c:v>45583</c:v>
                      </c:pt>
                      <c:pt idx="423">
                        <c:v>45582</c:v>
                      </c:pt>
                      <c:pt idx="424">
                        <c:v>45581</c:v>
                      </c:pt>
                      <c:pt idx="425">
                        <c:v>45580</c:v>
                      </c:pt>
                      <c:pt idx="426">
                        <c:v>45579</c:v>
                      </c:pt>
                      <c:pt idx="427">
                        <c:v>45578</c:v>
                      </c:pt>
                      <c:pt idx="428">
                        <c:v>45577</c:v>
                      </c:pt>
                      <c:pt idx="429">
                        <c:v>45576</c:v>
                      </c:pt>
                      <c:pt idx="430">
                        <c:v>45575</c:v>
                      </c:pt>
                      <c:pt idx="431">
                        <c:v>45574</c:v>
                      </c:pt>
                      <c:pt idx="432">
                        <c:v>45573</c:v>
                      </c:pt>
                      <c:pt idx="433">
                        <c:v>45572</c:v>
                      </c:pt>
                      <c:pt idx="434">
                        <c:v>45571</c:v>
                      </c:pt>
                      <c:pt idx="435">
                        <c:v>45570</c:v>
                      </c:pt>
                      <c:pt idx="436">
                        <c:v>45569</c:v>
                      </c:pt>
                      <c:pt idx="437">
                        <c:v>45568</c:v>
                      </c:pt>
                      <c:pt idx="438">
                        <c:v>45567</c:v>
                      </c:pt>
                      <c:pt idx="439">
                        <c:v>45566</c:v>
                      </c:pt>
                      <c:pt idx="440">
                        <c:v>45565</c:v>
                      </c:pt>
                      <c:pt idx="441">
                        <c:v>45564</c:v>
                      </c:pt>
                      <c:pt idx="442">
                        <c:v>45563</c:v>
                      </c:pt>
                      <c:pt idx="443">
                        <c:v>45562</c:v>
                      </c:pt>
                      <c:pt idx="444">
                        <c:v>45561</c:v>
                      </c:pt>
                      <c:pt idx="445">
                        <c:v>45560</c:v>
                      </c:pt>
                      <c:pt idx="446">
                        <c:v>45559</c:v>
                      </c:pt>
                      <c:pt idx="447">
                        <c:v>45558</c:v>
                      </c:pt>
                      <c:pt idx="448">
                        <c:v>45557</c:v>
                      </c:pt>
                      <c:pt idx="449">
                        <c:v>45556</c:v>
                      </c:pt>
                      <c:pt idx="450">
                        <c:v>45555</c:v>
                      </c:pt>
                      <c:pt idx="451">
                        <c:v>45554</c:v>
                      </c:pt>
                      <c:pt idx="452">
                        <c:v>45553</c:v>
                      </c:pt>
                      <c:pt idx="453">
                        <c:v>45552</c:v>
                      </c:pt>
                      <c:pt idx="454">
                        <c:v>45551</c:v>
                      </c:pt>
                      <c:pt idx="455">
                        <c:v>45550</c:v>
                      </c:pt>
                      <c:pt idx="456">
                        <c:v>45549</c:v>
                      </c:pt>
                      <c:pt idx="457">
                        <c:v>45548</c:v>
                      </c:pt>
                      <c:pt idx="458">
                        <c:v>45547</c:v>
                      </c:pt>
                      <c:pt idx="459">
                        <c:v>45546</c:v>
                      </c:pt>
                      <c:pt idx="460">
                        <c:v>45545</c:v>
                      </c:pt>
                      <c:pt idx="461">
                        <c:v>45544</c:v>
                      </c:pt>
                      <c:pt idx="462">
                        <c:v>45543</c:v>
                      </c:pt>
                      <c:pt idx="463">
                        <c:v>45542</c:v>
                      </c:pt>
                      <c:pt idx="464">
                        <c:v>45541</c:v>
                      </c:pt>
                      <c:pt idx="465">
                        <c:v>45540</c:v>
                      </c:pt>
                      <c:pt idx="466">
                        <c:v>45539</c:v>
                      </c:pt>
                      <c:pt idx="467">
                        <c:v>45538</c:v>
                      </c:pt>
                      <c:pt idx="468">
                        <c:v>45537</c:v>
                      </c:pt>
                      <c:pt idx="469">
                        <c:v>45536</c:v>
                      </c:pt>
                      <c:pt idx="470">
                        <c:v>45535</c:v>
                      </c:pt>
                      <c:pt idx="471">
                        <c:v>45534</c:v>
                      </c:pt>
                      <c:pt idx="472">
                        <c:v>45533</c:v>
                      </c:pt>
                      <c:pt idx="473">
                        <c:v>45532</c:v>
                      </c:pt>
                      <c:pt idx="474">
                        <c:v>45531</c:v>
                      </c:pt>
                      <c:pt idx="475">
                        <c:v>45530</c:v>
                      </c:pt>
                      <c:pt idx="476">
                        <c:v>45529</c:v>
                      </c:pt>
                      <c:pt idx="477">
                        <c:v>45528</c:v>
                      </c:pt>
                      <c:pt idx="478">
                        <c:v>45527</c:v>
                      </c:pt>
                      <c:pt idx="479">
                        <c:v>45526</c:v>
                      </c:pt>
                      <c:pt idx="480">
                        <c:v>45525</c:v>
                      </c:pt>
                      <c:pt idx="481">
                        <c:v>45524</c:v>
                      </c:pt>
                      <c:pt idx="482">
                        <c:v>45523</c:v>
                      </c:pt>
                      <c:pt idx="483">
                        <c:v>45522</c:v>
                      </c:pt>
                      <c:pt idx="484">
                        <c:v>45521</c:v>
                      </c:pt>
                      <c:pt idx="485">
                        <c:v>45520</c:v>
                      </c:pt>
                      <c:pt idx="486">
                        <c:v>45519</c:v>
                      </c:pt>
                      <c:pt idx="487">
                        <c:v>45516</c:v>
                      </c:pt>
                      <c:pt idx="488">
                        <c:v>45515</c:v>
                      </c:pt>
                    </c:numCache>
                  </c:numRef>
                </c:cat>
                <c:val>
                  <c:numRef>
                    <c:extLst xmlns:c15="http://schemas.microsoft.com/office/drawing/2012/chart">
                      <c:ext xmlns:c15="http://schemas.microsoft.com/office/drawing/2012/chart" uri="{02D57815-91ED-43cb-92C2-25804820EDAC}">
                        <c15:formulaRef>
                          <c15:sqref>Accueil!$R$4:$R$492</c15:sqref>
                        </c15:formulaRef>
                      </c:ext>
                    </c:extLst>
                    <c:numCache>
                      <c:formatCode>#\ ##0.00\ "€"</c:formatCode>
                      <c:ptCount val="489"/>
                      <c:pt idx="0">
                        <c:v>43489.25</c:v>
                      </c:pt>
                      <c:pt idx="1">
                        <c:v>42983.68</c:v>
                      </c:pt>
                      <c:pt idx="2">
                        <c:v>42739.51</c:v>
                      </c:pt>
                      <c:pt idx="3">
                        <c:v>42739.51</c:v>
                      </c:pt>
                      <c:pt idx="4">
                        <c:v>41893.22</c:v>
                      </c:pt>
                      <c:pt idx="5">
                        <c:v>42726.21</c:v>
                      </c:pt>
                      <c:pt idx="6">
                        <c:v>42519.11</c:v>
                      </c:pt>
                      <c:pt idx="7">
                        <c:v>42071.92</c:v>
                      </c:pt>
                      <c:pt idx="8">
                        <c:v>41530.230000000003</c:v>
                      </c:pt>
                      <c:pt idx="9">
                        <c:v>42307.17</c:v>
                      </c:pt>
                      <c:pt idx="10">
                        <c:v>42307.17</c:v>
                      </c:pt>
                      <c:pt idx="11">
                        <c:v>42189.87</c:v>
                      </c:pt>
                      <c:pt idx="12">
                        <c:v>42165.919999999998</c:v>
                      </c:pt>
                      <c:pt idx="13">
                        <c:v>42637.66</c:v>
                      </c:pt>
                      <c:pt idx="14">
                        <c:v>43661.120000000003</c:v>
                      </c:pt>
                      <c:pt idx="15">
                        <c:v>43882.16</c:v>
                      </c:pt>
                      <c:pt idx="16">
                        <c:v>40927.910000000003</c:v>
                      </c:pt>
                      <c:pt idx="17">
                        <c:v>39898.29</c:v>
                      </c:pt>
                      <c:pt idx="18">
                        <c:v>39426.06</c:v>
                      </c:pt>
                      <c:pt idx="19">
                        <c:v>39426.06</c:v>
                      </c:pt>
                      <c:pt idx="20">
                        <c:v>39655.96</c:v>
                      </c:pt>
                      <c:pt idx="21">
                        <c:v>39422.83</c:v>
                      </c:pt>
                      <c:pt idx="22">
                        <c:v>39422.83</c:v>
                      </c:pt>
                      <c:pt idx="23">
                        <c:v>37893.69</c:v>
                      </c:pt>
                      <c:pt idx="24">
                        <c:v>36014.97</c:v>
                      </c:pt>
                      <c:pt idx="25">
                        <c:v>32236.58</c:v>
                      </c:pt>
                      <c:pt idx="26">
                        <c:v>32845.07</c:v>
                      </c:pt>
                      <c:pt idx="27">
                        <c:v>31967.18</c:v>
                      </c:pt>
                      <c:pt idx="28">
                        <c:v>31967.18</c:v>
                      </c:pt>
                      <c:pt idx="29">
                        <c:v>32675.69</c:v>
                      </c:pt>
                      <c:pt idx="30">
                        <c:v>31184.799999999999</c:v>
                      </c:pt>
                      <c:pt idx="31">
                        <c:v>30183.82</c:v>
                      </c:pt>
                      <c:pt idx="32">
                        <c:v>29575.55</c:v>
                      </c:pt>
                      <c:pt idx="33">
                        <c:v>29575.55</c:v>
                      </c:pt>
                      <c:pt idx="34">
                        <c:v>28892.43</c:v>
                      </c:pt>
                      <c:pt idx="35">
                        <c:v>28464.59</c:v>
                      </c:pt>
                      <c:pt idx="36">
                        <c:v>29333.94</c:v>
                      </c:pt>
                      <c:pt idx="37">
                        <c:v>30816.28</c:v>
                      </c:pt>
                      <c:pt idx="38">
                        <c:v>30525.439999999999</c:v>
                      </c:pt>
                      <c:pt idx="39">
                        <c:v>30525.439999999999</c:v>
                      </c:pt>
                      <c:pt idx="40">
                        <c:v>28921.26</c:v>
                      </c:pt>
                      <c:pt idx="41">
                        <c:v>28921.26</c:v>
                      </c:pt>
                      <c:pt idx="42">
                        <c:v>28130.33</c:v>
                      </c:pt>
                      <c:pt idx="43">
                        <c:v>28130.33</c:v>
                      </c:pt>
                      <c:pt idx="44">
                        <c:v>27088.75</c:v>
                      </c:pt>
                      <c:pt idx="45">
                        <c:v>27088.75</c:v>
                      </c:pt>
                      <c:pt idx="46">
                        <c:v>27088.75</c:v>
                      </c:pt>
                      <c:pt idx="47">
                        <c:v>26056</c:v>
                      </c:pt>
                      <c:pt idx="48">
                        <c:v>28260.54</c:v>
                      </c:pt>
                      <c:pt idx="49">
                        <c:v>27012.720000000001</c:v>
                      </c:pt>
                      <c:pt idx="50">
                        <c:v>26002.6</c:v>
                      </c:pt>
                      <c:pt idx="51">
                        <c:v>27434.06</c:v>
                      </c:pt>
                      <c:pt idx="52">
                        <c:v>27618.5</c:v>
                      </c:pt>
                      <c:pt idx="53">
                        <c:v>27618.5</c:v>
                      </c:pt>
                      <c:pt idx="54">
                        <c:v>27618.5</c:v>
                      </c:pt>
                      <c:pt idx="55">
                        <c:v>26853.5</c:v>
                      </c:pt>
                      <c:pt idx="56">
                        <c:v>25079.54</c:v>
                      </c:pt>
                      <c:pt idx="57">
                        <c:v>25079.54</c:v>
                      </c:pt>
                      <c:pt idx="58">
                        <c:v>25775.79</c:v>
                      </c:pt>
                      <c:pt idx="59">
                        <c:v>25729.67</c:v>
                      </c:pt>
                      <c:pt idx="60">
                        <c:v>25729.67</c:v>
                      </c:pt>
                      <c:pt idx="61">
                        <c:v>26172.959999999999</c:v>
                      </c:pt>
                      <c:pt idx="62">
                        <c:v>28186.86</c:v>
                      </c:pt>
                      <c:pt idx="63">
                        <c:v>28186.86</c:v>
                      </c:pt>
                      <c:pt idx="64">
                        <c:v>30334.62</c:v>
                      </c:pt>
                      <c:pt idx="65">
                        <c:v>30334.62</c:v>
                      </c:pt>
                      <c:pt idx="66">
                        <c:v>30334.62</c:v>
                      </c:pt>
                      <c:pt idx="67">
                        <c:v>30699.45</c:v>
                      </c:pt>
                      <c:pt idx="68">
                        <c:v>31063.19</c:v>
                      </c:pt>
                      <c:pt idx="69">
                        <c:v>30835.63</c:v>
                      </c:pt>
                      <c:pt idx="70">
                        <c:v>30835.63</c:v>
                      </c:pt>
                      <c:pt idx="71">
                        <c:v>31252.19</c:v>
                      </c:pt>
                      <c:pt idx="72">
                        <c:v>31252.19</c:v>
                      </c:pt>
                      <c:pt idx="73">
                        <c:v>31480.61</c:v>
                      </c:pt>
                      <c:pt idx="74">
                        <c:v>31480.61</c:v>
                      </c:pt>
                      <c:pt idx="75">
                        <c:v>32093.200000000001</c:v>
                      </c:pt>
                      <c:pt idx="76">
                        <c:v>32285.58</c:v>
                      </c:pt>
                      <c:pt idx="77">
                        <c:v>32065.19</c:v>
                      </c:pt>
                      <c:pt idx="79">
                        <c:v>31025.43</c:v>
                      </c:pt>
                      <c:pt idx="80">
                        <c:v>31618.87</c:v>
                      </c:pt>
                      <c:pt idx="81">
                        <c:v>30327.81</c:v>
                      </c:pt>
                      <c:pt idx="82">
                        <c:v>28935.42</c:v>
                      </c:pt>
                      <c:pt idx="83">
                        <c:v>28226.91</c:v>
                      </c:pt>
                      <c:pt idx="84">
                        <c:v>29383.97</c:v>
                      </c:pt>
                      <c:pt idx="85">
                        <c:v>29354.79</c:v>
                      </c:pt>
                      <c:pt idx="86">
                        <c:v>29354.79</c:v>
                      </c:pt>
                      <c:pt idx="87">
                        <c:v>29068.49</c:v>
                      </c:pt>
                      <c:pt idx="88">
                        <c:v>29558.33</c:v>
                      </c:pt>
                      <c:pt idx="89">
                        <c:v>29710.92</c:v>
                      </c:pt>
                      <c:pt idx="90">
                        <c:v>29710.92</c:v>
                      </c:pt>
                      <c:pt idx="91">
                        <c:v>27693.66</c:v>
                      </c:pt>
                      <c:pt idx="92">
                        <c:v>27451.040000000001</c:v>
                      </c:pt>
                      <c:pt idx="93">
                        <c:v>26711.08</c:v>
                      </c:pt>
                      <c:pt idx="94">
                        <c:v>27274.12</c:v>
                      </c:pt>
                      <c:pt idx="95">
                        <c:v>27076.560000000001</c:v>
                      </c:pt>
                      <c:pt idx="96">
                        <c:v>28303.75</c:v>
                      </c:pt>
                      <c:pt idx="97">
                        <c:v>28303.75</c:v>
                      </c:pt>
                      <c:pt idx="98">
                        <c:v>27695.26</c:v>
                      </c:pt>
                      <c:pt idx="99">
                        <c:v>28323.360000000001</c:v>
                      </c:pt>
                      <c:pt idx="100">
                        <c:v>28077.93</c:v>
                      </c:pt>
                      <c:pt idx="101">
                        <c:v>28775.19</c:v>
                      </c:pt>
                      <c:pt idx="102">
                        <c:v>28775.19</c:v>
                      </c:pt>
                      <c:pt idx="103">
                        <c:v>30278.39</c:v>
                      </c:pt>
                      <c:pt idx="104">
                        <c:v>29788.55</c:v>
                      </c:pt>
                      <c:pt idx="105">
                        <c:v>30500.27</c:v>
                      </c:pt>
                      <c:pt idx="106">
                        <c:v>30500.27</c:v>
                      </c:pt>
                      <c:pt idx="107">
                        <c:v>29061.1</c:v>
                      </c:pt>
                      <c:pt idx="108">
                        <c:v>29061.1</c:v>
                      </c:pt>
                      <c:pt idx="109">
                        <c:v>29061.1</c:v>
                      </c:pt>
                      <c:pt idx="110">
                        <c:v>29061.1</c:v>
                      </c:pt>
                      <c:pt idx="111">
                        <c:v>29291.55</c:v>
                      </c:pt>
                      <c:pt idx="112">
                        <c:v>30466.21</c:v>
                      </c:pt>
                      <c:pt idx="113">
                        <c:v>30466.21</c:v>
                      </c:pt>
                      <c:pt idx="114">
                        <c:v>30466.21</c:v>
                      </c:pt>
                      <c:pt idx="115">
                        <c:v>32065.040000000001</c:v>
                      </c:pt>
                      <c:pt idx="116">
                        <c:v>32250.12</c:v>
                      </c:pt>
                      <c:pt idx="117">
                        <c:v>32250.12</c:v>
                      </c:pt>
                      <c:pt idx="118">
                        <c:v>32824.949999999997</c:v>
                      </c:pt>
                      <c:pt idx="119">
                        <c:v>33671.89</c:v>
                      </c:pt>
                      <c:pt idx="120">
                        <c:v>33671.89</c:v>
                      </c:pt>
                      <c:pt idx="121">
                        <c:v>33245.18</c:v>
                      </c:pt>
                      <c:pt idx="122">
                        <c:v>32152.68</c:v>
                      </c:pt>
                      <c:pt idx="123">
                        <c:v>34479.760000000002</c:v>
                      </c:pt>
                      <c:pt idx="124">
                        <c:v>34344.51</c:v>
                      </c:pt>
                      <c:pt idx="125">
                        <c:v>34344.51</c:v>
                      </c:pt>
                      <c:pt idx="126">
                        <c:v>33993.699999999997</c:v>
                      </c:pt>
                      <c:pt idx="127">
                        <c:v>34687.019999999997</c:v>
                      </c:pt>
                      <c:pt idx="128">
                        <c:v>34687.019999999997</c:v>
                      </c:pt>
                      <c:pt idx="129">
                        <c:v>34687.019999999997</c:v>
                      </c:pt>
                      <c:pt idx="130">
                        <c:v>33329.65</c:v>
                      </c:pt>
                      <c:pt idx="131">
                        <c:v>33329.65</c:v>
                      </c:pt>
                      <c:pt idx="132">
                        <c:v>35752.769999999997</c:v>
                      </c:pt>
                      <c:pt idx="133">
                        <c:v>35752.769999999997</c:v>
                      </c:pt>
                      <c:pt idx="134">
                        <c:v>36272.879999999997</c:v>
                      </c:pt>
                      <c:pt idx="135">
                        <c:v>35713.49</c:v>
                      </c:pt>
                      <c:pt idx="136">
                        <c:v>35526.99</c:v>
                      </c:pt>
                      <c:pt idx="137">
                        <c:v>35293.65</c:v>
                      </c:pt>
                      <c:pt idx="138">
                        <c:v>35693.61</c:v>
                      </c:pt>
                      <c:pt idx="139">
                        <c:v>35693.61</c:v>
                      </c:pt>
                      <c:pt idx="140">
                        <c:v>39364.75</c:v>
                      </c:pt>
                      <c:pt idx="141">
                        <c:v>38075.919999999998</c:v>
                      </c:pt>
                      <c:pt idx="142">
                        <c:v>39700.959999999999</c:v>
                      </c:pt>
                      <c:pt idx="143">
                        <c:v>40671.53</c:v>
                      </c:pt>
                      <c:pt idx="144">
                        <c:v>40860.03</c:v>
                      </c:pt>
                      <c:pt idx="145">
                        <c:v>40671.53</c:v>
                      </c:pt>
                      <c:pt idx="146">
                        <c:v>41369.93</c:v>
                      </c:pt>
                      <c:pt idx="147">
                        <c:v>40447.32</c:v>
                      </c:pt>
                      <c:pt idx="148">
                        <c:v>43816.76</c:v>
                      </c:pt>
                      <c:pt idx="149">
                        <c:v>43816.76</c:v>
                      </c:pt>
                      <c:pt idx="150">
                        <c:v>43816.76</c:v>
                      </c:pt>
                      <c:pt idx="151">
                        <c:v>43816.76</c:v>
                      </c:pt>
                      <c:pt idx="152">
                        <c:v>43816.76</c:v>
                      </c:pt>
                      <c:pt idx="153">
                        <c:v>43358.32</c:v>
                      </c:pt>
                      <c:pt idx="154">
                        <c:v>39741.33</c:v>
                      </c:pt>
                      <c:pt idx="155">
                        <c:v>40745.050000000003</c:v>
                      </c:pt>
                      <c:pt idx="156">
                        <c:v>40745.050000000003</c:v>
                      </c:pt>
                      <c:pt idx="157">
                        <c:v>42312.66</c:v>
                      </c:pt>
                      <c:pt idx="158">
                        <c:v>42312.66</c:v>
                      </c:pt>
                      <c:pt idx="159">
                        <c:v>43804.5</c:v>
                      </c:pt>
                      <c:pt idx="160">
                        <c:v>43804.5</c:v>
                      </c:pt>
                      <c:pt idx="161">
                        <c:v>43804.5</c:v>
                      </c:pt>
                      <c:pt idx="162">
                        <c:v>43804.5</c:v>
                      </c:pt>
                      <c:pt idx="163">
                        <c:v>43804.5</c:v>
                      </c:pt>
                      <c:pt idx="164">
                        <c:v>43804.5</c:v>
                      </c:pt>
                      <c:pt idx="165">
                        <c:v>43488.480000000003</c:v>
                      </c:pt>
                      <c:pt idx="166">
                        <c:v>44879.360000000001</c:v>
                      </c:pt>
                      <c:pt idx="167">
                        <c:v>44879.360000000001</c:v>
                      </c:pt>
                      <c:pt idx="168">
                        <c:v>45733.22</c:v>
                      </c:pt>
                      <c:pt idx="169">
                        <c:v>44672.59</c:v>
                      </c:pt>
                      <c:pt idx="170">
                        <c:v>45305.39</c:v>
                      </c:pt>
                      <c:pt idx="171">
                        <c:v>44504.91</c:v>
                      </c:pt>
                      <c:pt idx="172">
                        <c:v>43937.42</c:v>
                      </c:pt>
                      <c:pt idx="173">
                        <c:v>44573.9</c:v>
                      </c:pt>
                      <c:pt idx="174">
                        <c:v>44573.9</c:v>
                      </c:pt>
                      <c:pt idx="175">
                        <c:v>45026.3</c:v>
                      </c:pt>
                      <c:pt idx="176">
                        <c:v>45026.3</c:v>
                      </c:pt>
                      <c:pt idx="177">
                        <c:v>45673.48</c:v>
                      </c:pt>
                      <c:pt idx="178">
                        <c:v>45644.62</c:v>
                      </c:pt>
                      <c:pt idx="179">
                        <c:v>45052.34</c:v>
                      </c:pt>
                      <c:pt idx="180">
                        <c:v>44948.08</c:v>
                      </c:pt>
                      <c:pt idx="181">
                        <c:v>45214.400000000001</c:v>
                      </c:pt>
                      <c:pt idx="182">
                        <c:v>45214.400000000001</c:v>
                      </c:pt>
                      <c:pt idx="183">
                        <c:v>44511.23</c:v>
                      </c:pt>
                      <c:pt idx="184">
                        <c:v>44511.23</c:v>
                      </c:pt>
                      <c:pt idx="185">
                        <c:v>45513.69</c:v>
                      </c:pt>
                      <c:pt idx="186">
                        <c:v>46944.06</c:v>
                      </c:pt>
                      <c:pt idx="187">
                        <c:v>46232.78</c:v>
                      </c:pt>
                      <c:pt idx="188">
                        <c:v>46610.52</c:v>
                      </c:pt>
                      <c:pt idx="189">
                        <c:v>46610.52</c:v>
                      </c:pt>
                      <c:pt idx="190">
                        <c:v>44391.07</c:v>
                      </c:pt>
                      <c:pt idx="191">
                        <c:v>43058.07</c:v>
                      </c:pt>
                      <c:pt idx="192">
                        <c:v>43347.360000000001</c:v>
                      </c:pt>
                      <c:pt idx="193">
                        <c:v>43898.16</c:v>
                      </c:pt>
                      <c:pt idx="194">
                        <c:v>44869.2</c:v>
                      </c:pt>
                      <c:pt idx="195">
                        <c:v>43474.5</c:v>
                      </c:pt>
                      <c:pt idx="196">
                        <c:v>40683.800000000003</c:v>
                      </c:pt>
                      <c:pt idx="197">
                        <c:v>40683.800000000003</c:v>
                      </c:pt>
                      <c:pt idx="198">
                        <c:v>42878.7</c:v>
                      </c:pt>
                      <c:pt idx="199">
                        <c:v>43449</c:v>
                      </c:pt>
                      <c:pt idx="200">
                        <c:v>43688.2</c:v>
                      </c:pt>
                      <c:pt idx="201">
                        <c:v>43632.68</c:v>
                      </c:pt>
                      <c:pt idx="202">
                        <c:v>42430.74</c:v>
                      </c:pt>
                      <c:pt idx="203">
                        <c:v>40448.85</c:v>
                      </c:pt>
                      <c:pt idx="204">
                        <c:v>42078.21</c:v>
                      </c:pt>
                      <c:pt idx="205">
                        <c:v>42773.73</c:v>
                      </c:pt>
                      <c:pt idx="206">
                        <c:v>39433.43</c:v>
                      </c:pt>
                      <c:pt idx="207">
                        <c:v>40606.29</c:v>
                      </c:pt>
                      <c:pt idx="208">
                        <c:v>40606.29</c:v>
                      </c:pt>
                      <c:pt idx="209">
                        <c:v>39440.949999999997</c:v>
                      </c:pt>
                      <c:pt idx="210">
                        <c:v>40335.22</c:v>
                      </c:pt>
                      <c:pt idx="211">
                        <c:v>38169.89</c:v>
                      </c:pt>
                      <c:pt idx="212">
                        <c:v>39176.769999999997</c:v>
                      </c:pt>
                      <c:pt idx="213">
                        <c:v>39176.769999999997</c:v>
                      </c:pt>
                      <c:pt idx="214">
                        <c:v>37208.839999999997</c:v>
                      </c:pt>
                      <c:pt idx="215">
                        <c:v>37898.65</c:v>
                      </c:pt>
                      <c:pt idx="216">
                        <c:v>38605.599999999999</c:v>
                      </c:pt>
                      <c:pt idx="217">
                        <c:v>39340.480000000003</c:v>
                      </c:pt>
                      <c:pt idx="218">
                        <c:v>39340.480000000003</c:v>
                      </c:pt>
                      <c:pt idx="219">
                        <c:v>39340.480000000003</c:v>
                      </c:pt>
                      <c:pt idx="220">
                        <c:v>38704</c:v>
                      </c:pt>
                      <c:pt idx="221">
                        <c:v>39023.230000000003</c:v>
                      </c:pt>
                      <c:pt idx="222">
                        <c:v>39023.230000000003</c:v>
                      </c:pt>
                      <c:pt idx="223">
                        <c:v>40396.449999999997</c:v>
                      </c:pt>
                      <c:pt idx="224">
                        <c:v>40714.370000000003</c:v>
                      </c:pt>
                      <c:pt idx="225">
                        <c:v>40714.370000000003</c:v>
                      </c:pt>
                      <c:pt idx="226">
                        <c:v>41560.42</c:v>
                      </c:pt>
                      <c:pt idx="227">
                        <c:v>40136.71</c:v>
                      </c:pt>
                      <c:pt idx="228">
                        <c:v>40648.15</c:v>
                      </c:pt>
                      <c:pt idx="229">
                        <c:v>40648.15</c:v>
                      </c:pt>
                      <c:pt idx="230">
                        <c:v>40358.86</c:v>
                      </c:pt>
                      <c:pt idx="231">
                        <c:v>44843.54</c:v>
                      </c:pt>
                      <c:pt idx="232">
                        <c:v>44843.54</c:v>
                      </c:pt>
                      <c:pt idx="233">
                        <c:v>44843.54</c:v>
                      </c:pt>
                      <c:pt idx="234">
                        <c:v>44843.54</c:v>
                      </c:pt>
                      <c:pt idx="235">
                        <c:v>46139.06</c:v>
                      </c:pt>
                      <c:pt idx="236">
                        <c:v>42481.18</c:v>
                      </c:pt>
                      <c:pt idx="237">
                        <c:v>42481.18</c:v>
                      </c:pt>
                      <c:pt idx="238">
                        <c:v>42028.78</c:v>
                      </c:pt>
                      <c:pt idx="239">
                        <c:v>42028.78</c:v>
                      </c:pt>
                      <c:pt idx="240">
                        <c:v>42028.78</c:v>
                      </c:pt>
                      <c:pt idx="241">
                        <c:v>42674.7</c:v>
                      </c:pt>
                      <c:pt idx="242">
                        <c:v>46596.17</c:v>
                      </c:pt>
                      <c:pt idx="243">
                        <c:v>46520.73</c:v>
                      </c:pt>
                      <c:pt idx="244">
                        <c:v>46520.73</c:v>
                      </c:pt>
                      <c:pt idx="245">
                        <c:v>47384.31</c:v>
                      </c:pt>
                      <c:pt idx="246">
                        <c:v>47384.31</c:v>
                      </c:pt>
                      <c:pt idx="247">
                        <c:v>47843.67</c:v>
                      </c:pt>
                      <c:pt idx="248">
                        <c:v>47957.760000000002</c:v>
                      </c:pt>
                      <c:pt idx="249">
                        <c:v>50109.48</c:v>
                      </c:pt>
                      <c:pt idx="250">
                        <c:v>49352.04</c:v>
                      </c:pt>
                      <c:pt idx="251">
                        <c:v>49995.08</c:v>
                      </c:pt>
                      <c:pt idx="252">
                        <c:v>50470.44</c:v>
                      </c:pt>
                      <c:pt idx="253">
                        <c:v>51809</c:v>
                      </c:pt>
                      <c:pt idx="254">
                        <c:v>51100.2</c:v>
                      </c:pt>
                      <c:pt idx="255">
                        <c:v>51100.2</c:v>
                      </c:pt>
                      <c:pt idx="256">
                        <c:v>51673.88</c:v>
                      </c:pt>
                      <c:pt idx="257">
                        <c:v>51561.96</c:v>
                      </c:pt>
                      <c:pt idx="258">
                        <c:v>50676.86</c:v>
                      </c:pt>
                      <c:pt idx="259">
                        <c:v>52143.93</c:v>
                      </c:pt>
                      <c:pt idx="260">
                        <c:v>52373.69</c:v>
                      </c:pt>
                      <c:pt idx="261">
                        <c:v>52373.69</c:v>
                      </c:pt>
                      <c:pt idx="262">
                        <c:v>54213.120000000003</c:v>
                      </c:pt>
                      <c:pt idx="263">
                        <c:v>55651.61</c:v>
                      </c:pt>
                      <c:pt idx="264">
                        <c:v>56323.51</c:v>
                      </c:pt>
                      <c:pt idx="265">
                        <c:v>55989.61</c:v>
                      </c:pt>
                      <c:pt idx="266">
                        <c:v>55989.61</c:v>
                      </c:pt>
                      <c:pt idx="267">
                        <c:v>57535.78</c:v>
                      </c:pt>
                      <c:pt idx="268">
                        <c:v>57768.42</c:v>
                      </c:pt>
                      <c:pt idx="269">
                        <c:v>56692.42</c:v>
                      </c:pt>
                      <c:pt idx="270">
                        <c:v>55996.9</c:v>
                      </c:pt>
                      <c:pt idx="271">
                        <c:v>55996.9</c:v>
                      </c:pt>
                      <c:pt idx="272">
                        <c:v>57580.3</c:v>
                      </c:pt>
                      <c:pt idx="273">
                        <c:v>59380.68</c:v>
                      </c:pt>
                      <c:pt idx="274">
                        <c:v>58154.05</c:v>
                      </c:pt>
                      <c:pt idx="275">
                        <c:v>58418.27</c:v>
                      </c:pt>
                      <c:pt idx="276">
                        <c:v>58418.27</c:v>
                      </c:pt>
                      <c:pt idx="277">
                        <c:v>58418.27</c:v>
                      </c:pt>
                      <c:pt idx="278">
                        <c:v>59215.35</c:v>
                      </c:pt>
                      <c:pt idx="279">
                        <c:v>60889.51</c:v>
                      </c:pt>
                      <c:pt idx="280">
                        <c:v>60889.51</c:v>
                      </c:pt>
                      <c:pt idx="281">
                        <c:v>60889.51</c:v>
                      </c:pt>
                      <c:pt idx="282">
                        <c:v>60889.51</c:v>
                      </c:pt>
                      <c:pt idx="283">
                        <c:v>61496.47</c:v>
                      </c:pt>
                      <c:pt idx="284">
                        <c:v>62463.1</c:v>
                      </c:pt>
                      <c:pt idx="285">
                        <c:v>62463.1</c:v>
                      </c:pt>
                      <c:pt idx="286">
                        <c:v>62844.49</c:v>
                      </c:pt>
                      <c:pt idx="287">
                        <c:v>62844.49</c:v>
                      </c:pt>
                      <c:pt idx="288">
                        <c:v>62844.49</c:v>
                      </c:pt>
                      <c:pt idx="289">
                        <c:v>62844.49</c:v>
                      </c:pt>
                      <c:pt idx="290">
                        <c:v>64789.120000000003</c:v>
                      </c:pt>
                      <c:pt idx="291">
                        <c:v>64261.5</c:v>
                      </c:pt>
                      <c:pt idx="292">
                        <c:v>64261.5</c:v>
                      </c:pt>
                      <c:pt idx="293">
                        <c:v>64071.66</c:v>
                      </c:pt>
                      <c:pt idx="294">
                        <c:v>64553.18</c:v>
                      </c:pt>
                      <c:pt idx="295">
                        <c:v>65577.2</c:v>
                      </c:pt>
                      <c:pt idx="296">
                        <c:v>66502.58</c:v>
                      </c:pt>
                      <c:pt idx="297">
                        <c:v>65920.800000000003</c:v>
                      </c:pt>
                      <c:pt idx="298">
                        <c:v>65920.800000000003</c:v>
                      </c:pt>
                      <c:pt idx="299">
                        <c:v>65623.28</c:v>
                      </c:pt>
                      <c:pt idx="300">
                        <c:v>66027.81</c:v>
                      </c:pt>
                      <c:pt idx="301">
                        <c:v>65784.75</c:v>
                      </c:pt>
                      <c:pt idx="302">
                        <c:v>64457.72</c:v>
                      </c:pt>
                      <c:pt idx="303">
                        <c:v>63545.25</c:v>
                      </c:pt>
                      <c:pt idx="304">
                        <c:v>63889.41</c:v>
                      </c:pt>
                      <c:pt idx="305">
                        <c:v>66389.8</c:v>
                      </c:pt>
                      <c:pt idx="306">
                        <c:v>65465.64</c:v>
                      </c:pt>
                      <c:pt idx="307">
                        <c:v>66462.259999999995</c:v>
                      </c:pt>
                      <c:pt idx="308">
                        <c:v>65570.34</c:v>
                      </c:pt>
                      <c:pt idx="309">
                        <c:v>66691.12</c:v>
                      </c:pt>
                      <c:pt idx="310">
                        <c:v>66433.19</c:v>
                      </c:pt>
                      <c:pt idx="311">
                        <c:v>64798.06</c:v>
                      </c:pt>
                      <c:pt idx="312">
                        <c:v>61116.56</c:v>
                      </c:pt>
                      <c:pt idx="313">
                        <c:v>62699.59</c:v>
                      </c:pt>
                      <c:pt idx="314">
                        <c:v>61529.13</c:v>
                      </c:pt>
                      <c:pt idx="315">
                        <c:v>61529.13</c:v>
                      </c:pt>
                      <c:pt idx="316">
                        <c:v>61306.58</c:v>
                      </c:pt>
                      <c:pt idx="317">
                        <c:v>60795.14</c:v>
                      </c:pt>
                      <c:pt idx="318">
                        <c:v>60123.95</c:v>
                      </c:pt>
                      <c:pt idx="319">
                        <c:v>58028.23</c:v>
                      </c:pt>
                      <c:pt idx="320">
                        <c:v>57306.23</c:v>
                      </c:pt>
                      <c:pt idx="321">
                        <c:v>59229.71</c:v>
                      </c:pt>
                      <c:pt idx="322">
                        <c:v>60656.29</c:v>
                      </c:pt>
                      <c:pt idx="323">
                        <c:v>60656.29</c:v>
                      </c:pt>
                      <c:pt idx="324">
                        <c:v>60656.29</c:v>
                      </c:pt>
                      <c:pt idx="325">
                        <c:v>61271.29</c:v>
                      </c:pt>
                      <c:pt idx="326">
                        <c:v>60495.63</c:v>
                      </c:pt>
                      <c:pt idx="327">
                        <c:v>58830.04</c:v>
                      </c:pt>
                      <c:pt idx="328">
                        <c:v>58128.86</c:v>
                      </c:pt>
                      <c:pt idx="329">
                        <c:v>58003.76</c:v>
                      </c:pt>
                      <c:pt idx="330">
                        <c:v>57955.66</c:v>
                      </c:pt>
                      <c:pt idx="331">
                        <c:v>56194.84</c:v>
                      </c:pt>
                      <c:pt idx="332">
                        <c:v>55931.89</c:v>
                      </c:pt>
                      <c:pt idx="333">
                        <c:v>53035.3</c:v>
                      </c:pt>
                      <c:pt idx="334">
                        <c:v>53806.93</c:v>
                      </c:pt>
                      <c:pt idx="335">
                        <c:v>51280.47</c:v>
                      </c:pt>
                      <c:pt idx="336">
                        <c:v>51201.23</c:v>
                      </c:pt>
                      <c:pt idx="337">
                        <c:v>49606.5</c:v>
                      </c:pt>
                      <c:pt idx="338">
                        <c:v>48673.65</c:v>
                      </c:pt>
                      <c:pt idx="339">
                        <c:v>48673.65</c:v>
                      </c:pt>
                      <c:pt idx="340">
                        <c:v>48224.13</c:v>
                      </c:pt>
                      <c:pt idx="341">
                        <c:v>47696.41</c:v>
                      </c:pt>
                      <c:pt idx="342">
                        <c:v>47941.440000000002</c:v>
                      </c:pt>
                      <c:pt idx="343">
                        <c:v>47941.440000000002</c:v>
                      </c:pt>
                      <c:pt idx="344">
                        <c:v>48788.15</c:v>
                      </c:pt>
                      <c:pt idx="345">
                        <c:v>48038.63</c:v>
                      </c:pt>
                      <c:pt idx="346">
                        <c:v>48038.63</c:v>
                      </c:pt>
                      <c:pt idx="347">
                        <c:v>48381.120000000003</c:v>
                      </c:pt>
                      <c:pt idx="348">
                        <c:v>47671.53</c:v>
                      </c:pt>
                      <c:pt idx="349">
                        <c:v>44959.56</c:v>
                      </c:pt>
                      <c:pt idx="350">
                        <c:v>44959.56</c:v>
                      </c:pt>
                      <c:pt idx="351">
                        <c:v>45611.87</c:v>
                      </c:pt>
                      <c:pt idx="352">
                        <c:v>44380.93</c:v>
                      </c:pt>
                      <c:pt idx="353">
                        <c:v>41465.949999999997</c:v>
                      </c:pt>
                      <c:pt idx="354">
                        <c:v>40957.360000000001</c:v>
                      </c:pt>
                      <c:pt idx="355" formatCode="_(&quot;€&quot;* #\ ##0.00_);_(&quot;€&quot;* \(#\ ##0.00\);_(&quot;€&quot;* &quot;-&quot;??_);_(@_)">
                        <c:v>39933.629999999997</c:v>
                      </c:pt>
                      <c:pt idx="356" formatCode="_(&quot;€&quot;* #\ ##0.00_);_(&quot;€&quot;* \(#\ ##0.00\);_(&quot;€&quot;* &quot;-&quot;??_);_(@_)">
                        <c:v>40921.410000000003</c:v>
                      </c:pt>
                      <c:pt idx="357" formatCode="_(&quot;€&quot;* #\ ##0.00_);_(&quot;€&quot;* \(#\ ##0.00\);_(&quot;€&quot;* &quot;-&quot;??_);_(@_)">
                        <c:v>40921.410000000003</c:v>
                      </c:pt>
                      <c:pt idx="358" formatCode="_(&quot;€&quot;* #\ ##0.00_);_(&quot;€&quot;* \(#\ ##0.00\);_(&quot;€&quot;* &quot;-&quot;??_);_(@_)">
                        <c:v>40921.410000000003</c:v>
                      </c:pt>
                      <c:pt idx="359" formatCode="_(&quot;€&quot;* #\ ##0.00_);_(&quot;€&quot;* \(#\ ##0.00\);_(&quot;€&quot;* &quot;-&quot;??_);_(@_)">
                        <c:v>41530.980000000003</c:v>
                      </c:pt>
                      <c:pt idx="360" formatCode="_(&quot;€&quot;* #\ ##0.00_);_(&quot;€&quot;* \(#\ ##0.00\);_(&quot;€&quot;* &quot;-&quot;??_);_(@_)">
                        <c:v>41236.019999999997</c:v>
                      </c:pt>
                      <c:pt idx="361" formatCode="_(&quot;€&quot;* #\ ##0.00_);_(&quot;€&quot;* \(#\ ##0.00\);_(&quot;€&quot;* &quot;-&quot;??_);_(@_)">
                        <c:v>41236.019999999997</c:v>
                      </c:pt>
                      <c:pt idx="362" formatCode="_(&quot;€&quot;* #\ ##0.00_);_(&quot;€&quot;* \(#\ ##0.00\);_(&quot;€&quot;* &quot;-&quot;??_);_(@_)">
                        <c:v>43104.34</c:v>
                      </c:pt>
                      <c:pt idx="363" formatCode="_(&quot;€&quot;* #\ ##0.00_);_(&quot;€&quot;* \(#\ ##0.00\);_(&quot;€&quot;* &quot;-&quot;??_);_(@_)">
                        <c:v>40038.06</c:v>
                      </c:pt>
                      <c:pt idx="364" formatCode="_(&quot;€&quot;* #\ ##0.00_);_(&quot;€&quot;* \(#\ ##0.00\);_(&quot;€&quot;* &quot;-&quot;??_);_(@_)">
                        <c:v>41861.050000000003</c:v>
                      </c:pt>
                      <c:pt idx="365" formatCode="_(&quot;€&quot;* #\ ##0.00_);_(&quot;€&quot;* \(#\ ##0.00\);_(&quot;€&quot;* &quot;-&quot;??_);_(@_)">
                        <c:v>42418.52</c:v>
                      </c:pt>
                      <c:pt idx="366" formatCode="_(&quot;€&quot;* #\ ##0.00_);_(&quot;€&quot;* \(#\ ##0.00\);_(&quot;€&quot;* &quot;-&quot;??_);_(@_)">
                        <c:v>40224.300000000003</c:v>
                      </c:pt>
                      <c:pt idx="367" formatCode="_(&quot;€&quot;* #\ ##0.00_);_(&quot;€&quot;* \(#\ ##0.00\);_(&quot;€&quot;* &quot;-&quot;??_);_(@_)">
                        <c:v>40694.550000000003</c:v>
                      </c:pt>
                      <c:pt idx="368" formatCode="_(&quot;€&quot;* #\ ##0.00_);_(&quot;€&quot;* \(#\ ##0.00\);_(&quot;€&quot;* &quot;-&quot;??_);_(@_)">
                        <c:v>38870.949999999997</c:v>
                      </c:pt>
                      <c:pt idx="369" formatCode="_(&quot;€&quot;* #\ ##0.00_);_(&quot;€&quot;* \(#\ ##0.00\);_(&quot;€&quot;* &quot;-&quot;??_);_(@_)">
                        <c:v>38870.949999999997</c:v>
                      </c:pt>
                      <c:pt idx="370" formatCode="_(&quot;€&quot;* #\ ##0.00_);_(&quot;€&quot;* \(#\ ##0.00\);_(&quot;€&quot;* &quot;-&quot;??_);_(@_)">
                        <c:v>39261.29</c:v>
                      </c:pt>
                      <c:pt idx="371" formatCode="_(&quot;€&quot;* #\ ##0.00_);_(&quot;€&quot;* \(#\ ##0.00\);_(&quot;€&quot;* &quot;-&quot;??_);_(@_)">
                        <c:v>38492.67</c:v>
                      </c:pt>
                      <c:pt idx="372" formatCode="_(&quot;€&quot;* #\ ##0.00_);_(&quot;€&quot;* \(#\ ##0.00\);_(&quot;€&quot;* &quot;-&quot;??_);_(@_)">
                        <c:v>38492.67</c:v>
                      </c:pt>
                      <c:pt idx="373" formatCode="_(&quot;€&quot;* #\ ##0.00_);_(&quot;€&quot;* \(#\ ##0.00\);_(&quot;€&quot;* &quot;-&quot;??_);_(@_)">
                        <c:v>38492.67</c:v>
                      </c:pt>
                      <c:pt idx="374" formatCode="_(&quot;€&quot;* #\ ##0.00_);_(&quot;€&quot;* \(#\ ##0.00\);_(&quot;€&quot;* &quot;-&quot;??_);_(@_)">
                        <c:v>40076.28</c:v>
                      </c:pt>
                      <c:pt idx="375" formatCode="_(&quot;€&quot;* #\ ##0.00_);_(&quot;€&quot;* \(#\ ##0.00\);_(&quot;€&quot;* &quot;-&quot;??_);_(@_)">
                        <c:v>39743.93</c:v>
                      </c:pt>
                      <c:pt idx="376" formatCode="_(&quot;€&quot;* #\ ##0.00_);_(&quot;€&quot;* \(#\ ##0.00\);_(&quot;€&quot;* &quot;-&quot;??_);_(@_)">
                        <c:v>42156.58</c:v>
                      </c:pt>
                      <c:pt idx="377" formatCode="_(&quot;€&quot;* #\ ##0.00_);_(&quot;€&quot;* \(#\ ##0.00\);_(&quot;€&quot;* &quot;-&quot;??_);_(@_)">
                        <c:v>41656.44</c:v>
                      </c:pt>
                      <c:pt idx="378" formatCode="_(&quot;€&quot;* #\ ##0.00_);_(&quot;€&quot;* \(#\ ##0.00\);_(&quot;€&quot;* &quot;-&quot;??_);_(@_)">
                        <c:v>42257.75</c:v>
                      </c:pt>
                      <c:pt idx="379" formatCode="_(&quot;€&quot;* #\ ##0.00_);_(&quot;€&quot;* \(#\ ##0.00\);_(&quot;€&quot;* &quot;-&quot;??_);_(@_)">
                        <c:v>42351.67</c:v>
                      </c:pt>
                      <c:pt idx="380" formatCode="_(&quot;€&quot;* #\ ##0.00_);_(&quot;€&quot;* \(#\ ##0.00\);_(&quot;€&quot;* &quot;-&quot;??_);_(@_)">
                        <c:v>41827.699999999997</c:v>
                      </c:pt>
                      <c:pt idx="381" formatCode="_(&quot;€&quot;* #\ ##0.00_);_(&quot;€&quot;* \(#\ ##0.00\);_(&quot;€&quot;* &quot;-&quot;??_);_(@_)">
                        <c:v>40504.379999999997</c:v>
                      </c:pt>
                      <c:pt idx="382" formatCode="_(&quot;€&quot;* #\ ##0.00_);_(&quot;€&quot;* \(#\ ##0.00\);_(&quot;€&quot;* &quot;-&quot;??_);_(@_)">
                        <c:v>39244.71</c:v>
                      </c:pt>
                      <c:pt idx="383" formatCode="_(&quot;€&quot;* #\ ##0.00_);_(&quot;€&quot;* \(#\ ##0.00\);_(&quot;€&quot;* &quot;-&quot;??_);_(@_)">
                        <c:v>37770.51</c:v>
                      </c:pt>
                      <c:pt idx="384" formatCode="_(&quot;€&quot;* #\ ##0.00_);_(&quot;€&quot;* \(#\ ##0.00\);_(&quot;€&quot;* &quot;-&quot;??_);_(@_)">
                        <c:v>38383.21</c:v>
                      </c:pt>
                      <c:pt idx="385" formatCode="_(&quot;€&quot;* #\ ##0.00_);_(&quot;€&quot;* \(#\ ##0.00\);_(&quot;€&quot;* &quot;-&quot;??_);_(@_)">
                        <c:v>38271.360000000001</c:v>
                      </c:pt>
                      <c:pt idx="386" formatCode="_(&quot;€&quot;* #\ ##0.00_);_(&quot;€&quot;* \(#\ ##0.00\);_(&quot;€&quot;* &quot;-&quot;??_);_(@_)">
                        <c:v>38271.360000000001</c:v>
                      </c:pt>
                      <c:pt idx="387" formatCode="_(&quot;€&quot;* #\ ##0.00_);_(&quot;€&quot;* \(#\ ##0.00\);_(&quot;€&quot;* &quot;-&quot;??_);_(@_)">
                        <c:v>35522.339999999997</c:v>
                      </c:pt>
                      <c:pt idx="388" formatCode="_(&quot;€&quot;* #\ ##0.00_);_(&quot;€&quot;* \(#\ ##0.00\);_(&quot;€&quot;* &quot;-&quot;??_);_(@_)">
                        <c:v>35522.339999999997</c:v>
                      </c:pt>
                      <c:pt idx="389" formatCode="_(&quot;€&quot;* #\ ##0.00_);_(&quot;€&quot;* \(#\ ##0.00\);_(&quot;€&quot;* &quot;-&quot;??_);_(@_)">
                        <c:v>36407.769999999997</c:v>
                      </c:pt>
                      <c:pt idx="390" formatCode="_(&quot;€&quot;* #\ ##0.00_);_(&quot;€&quot;* \(#\ ##0.00\);_(&quot;€&quot;* &quot;-&quot;??_);_(@_)">
                        <c:v>36152.17</c:v>
                      </c:pt>
                      <c:pt idx="391" formatCode="_(&quot;€&quot;* #\ ##0.00_);_(&quot;€&quot;* \(#\ ##0.00\);_(&quot;€&quot;* &quot;-&quot;??_);_(@_)">
                        <c:v>36426.86</c:v>
                      </c:pt>
                      <c:pt idx="392" formatCode="_(&quot;€&quot;* #\ ##0.00_);_(&quot;€&quot;* \(#\ ##0.00\);_(&quot;€&quot;* &quot;-&quot;??_);_(@_)">
                        <c:v>36426.86</c:v>
                      </c:pt>
                      <c:pt idx="393" formatCode="_(&quot;€&quot;* #\ ##0.00_);_(&quot;€&quot;* \(#\ ##0.00\);_(&quot;€&quot;* &quot;-&quot;??_);_(@_)">
                        <c:v>37211.06</c:v>
                      </c:pt>
                      <c:pt idx="394" formatCode="_(&quot;€&quot;* #\ ##0.00_);_(&quot;€&quot;* \(#\ ##0.00\);_(&quot;€&quot;* &quot;-&quot;??_);_(@_)">
                        <c:v>35671.83</c:v>
                      </c:pt>
                      <c:pt idx="395" formatCode="_(&quot;€&quot;* #\ ##0.00_);_(&quot;€&quot;* \(#\ ##0.00\);_(&quot;€&quot;* &quot;-&quot;??_);_(@_)">
                        <c:v>34982.019999999997</c:v>
                      </c:pt>
                      <c:pt idx="396" formatCode="_(&quot;€&quot;* #\ ##0.00_);_(&quot;€&quot;* \(#\ ##0.00\);_(&quot;€&quot;* &quot;-&quot;??_);_(@_)">
                        <c:v>34982.019999999997</c:v>
                      </c:pt>
                      <c:pt idx="397" formatCode="_(&quot;€&quot;* #\ ##0.00_);_(&quot;€&quot;* \(#\ ##0.00\);_(&quot;€&quot;* &quot;-&quot;??_);_(@_)">
                        <c:v>36400.32</c:v>
                      </c:pt>
                      <c:pt idx="398" formatCode="_(&quot;€&quot;* #\ ##0.00_);_(&quot;€&quot;* \(#\ ##0.00\);_(&quot;€&quot;* &quot;-&quot;??_);_(@_)">
                        <c:v>36400.32</c:v>
                      </c:pt>
                      <c:pt idx="399" formatCode="_(&quot;€&quot;* #\ ##0.00_);_(&quot;€&quot;* \(#\ ##0.00\);_(&quot;€&quot;* &quot;-&quot;??_);_(@_)">
                        <c:v>35169.93</c:v>
                      </c:pt>
                      <c:pt idx="400" formatCode="_(&quot;€&quot;* #\ ##0.00_);_(&quot;€&quot;* \(#\ ##0.00\);_(&quot;€&quot;* &quot;-&quot;??_);_(@_)">
                        <c:v>35169.93</c:v>
                      </c:pt>
                      <c:pt idx="401" formatCode="_(&quot;€&quot;* #\ ##0.00_);_(&quot;€&quot;* \(#\ ##0.00\);_(&quot;€&quot;* &quot;-&quot;??_);_(@_)">
                        <c:v>34035.919999999998</c:v>
                      </c:pt>
                      <c:pt idx="402" formatCode="_(&quot;€&quot;* #\ ##0.00_);_(&quot;€&quot;* \(#\ ##0.00\);_(&quot;€&quot;* &quot;-&quot;??_);_(@_)">
                        <c:v>34035.919999999998</c:v>
                      </c:pt>
                      <c:pt idx="403" formatCode="_(&quot;€&quot;* #\ ##0.00_);_(&quot;€&quot;* \(#\ ##0.00\);_(&quot;€&quot;* &quot;-&quot;??_);_(@_)">
                        <c:v>33347.21</c:v>
                      </c:pt>
                      <c:pt idx="404" formatCode="_(&quot;€&quot;* #\ ##0.00_);_(&quot;€&quot;* \(#\ ##0.00\);_(&quot;€&quot;* &quot;-&quot;??_);_(@_)">
                        <c:v>33347.21</c:v>
                      </c:pt>
                      <c:pt idx="405" formatCode="_(&quot;€&quot;* #\ ##0.00_);_(&quot;€&quot;* \(#\ ##0.00\);_(&quot;€&quot;* &quot;-&quot;??_);_(@_)">
                        <c:v>33969.870000000003</c:v>
                      </c:pt>
                      <c:pt idx="406" formatCode="_(&quot;€&quot;* #\ ##0.00_);_(&quot;€&quot;* \(#\ ##0.00\);_(&quot;€&quot;* &quot;-&quot;??_);_(@_)">
                        <c:v>33969.870000000003</c:v>
                      </c:pt>
                      <c:pt idx="407" formatCode="_(&quot;€&quot;* #\ ##0.00_);_(&quot;€&quot;* \(#\ ##0.00\);_(&quot;€&quot;* &quot;-&quot;??_);_(@_)">
                        <c:v>31819.38</c:v>
                      </c:pt>
                      <c:pt idx="408" formatCode="_(&quot;€&quot;* #\ ##0.00_);_(&quot;€&quot;* \(#\ ##0.00\);_(&quot;€&quot;* &quot;-&quot;??_);_(@_)">
                        <c:v>33074.199999999997</c:v>
                      </c:pt>
                      <c:pt idx="409" formatCode="_(&quot;€&quot;* #\ ##0.00_);_(&quot;€&quot;* \(#\ ##0.00\);_(&quot;€&quot;* &quot;-&quot;??_);_(@_)">
                        <c:v>33240.78</c:v>
                      </c:pt>
                      <c:pt idx="410" formatCode="_(&quot;€&quot;* #\ ##0.00_);_(&quot;€&quot;* \(#\ ##0.00\);_(&quot;€&quot;* &quot;-&quot;??_);_(@_)">
                        <c:v>34353.800000000003</c:v>
                      </c:pt>
                      <c:pt idx="411" formatCode="_(&quot;€&quot;* #\ ##0.00_);_(&quot;€&quot;* \(#\ ##0.00\);_(&quot;€&quot;* &quot;-&quot;??_);_(@_)">
                        <c:v>34277.660000000003</c:v>
                      </c:pt>
                      <c:pt idx="412" formatCode="_(&quot;€&quot;* #\ ##0.00_);_(&quot;€&quot;* \(#\ ##0.00\);_(&quot;€&quot;* &quot;-&quot;??_);_(@_)">
                        <c:v>34277.660000000003</c:v>
                      </c:pt>
                      <c:pt idx="413" formatCode="_(&quot;€&quot;* #\ ##0.00_);_(&quot;€&quot;* \(#\ ##0.00\);_(&quot;€&quot;* &quot;-&quot;??_);_(@_)">
                        <c:v>35657.21</c:v>
                      </c:pt>
                      <c:pt idx="414" formatCode="_(&quot;€&quot;* #\ ##0.00_);_(&quot;€&quot;* \(#\ ##0.00\);_(&quot;€&quot;* &quot;-&quot;??_);_(@_)">
                        <c:v>35290.28</c:v>
                      </c:pt>
                      <c:pt idx="415" formatCode="_(&quot;€&quot;* #\ ##0.00_);_(&quot;€&quot;* \(#\ ##0.00\);_(&quot;€&quot;* &quot;-&quot;??_);_(@_)">
                        <c:v>36200.79</c:v>
                      </c:pt>
                      <c:pt idx="416" formatCode="_(&quot;€&quot;* #\ ##0.00_);_(&quot;€&quot;* \(#\ ##0.00\);_(&quot;€&quot;* &quot;-&quot;??_);_(@_)">
                        <c:v>36579.74</c:v>
                      </c:pt>
                      <c:pt idx="417" formatCode="_(&quot;€&quot;* #\ ##0.00_);_(&quot;€&quot;* \(#\ ##0.00\);_(&quot;€&quot;* &quot;-&quot;??_);_(@_)">
                        <c:v>36786.910000000003</c:v>
                      </c:pt>
                      <c:pt idx="418" formatCode="_(&quot;€&quot;* #\ ##0.00_);_(&quot;€&quot;* \(#\ ##0.00\);_(&quot;€&quot;* &quot;-&quot;??_);_(@_)">
                        <c:v>36786.910000000003</c:v>
                      </c:pt>
                      <c:pt idx="419" formatCode="_(&quot;€&quot;* #\ ##0.00_);_(&quot;€&quot;* \(#\ ##0.00\);_(&quot;€&quot;* &quot;-&quot;??_);_(@_)">
                        <c:v>36786.910000000003</c:v>
                      </c:pt>
                      <c:pt idx="420" formatCode="_(&quot;€&quot;* #\ ##0.00_);_(&quot;€&quot;* \(#\ ##0.00\);_(&quot;€&quot;* &quot;-&quot;??_);_(@_)">
                        <c:v>35269.94</c:v>
                      </c:pt>
                      <c:pt idx="421" formatCode="_(&quot;€&quot;* #\ ##0.00_);_(&quot;€&quot;* \(#\ ##0.00\);_(&quot;€&quot;* &quot;-&quot;??_);_(@_)">
                        <c:v>35078.589999999997</c:v>
                      </c:pt>
                      <c:pt idx="422" formatCode="_(&quot;€&quot;* #\ ##0.00_);_(&quot;€&quot;* \(#\ ##0.00\);_(&quot;€&quot;* &quot;-&quot;??_);_(@_)">
                        <c:v>35078.589999999997</c:v>
                      </c:pt>
                      <c:pt idx="423" formatCode="_(&quot;€&quot;* #\ ##0.00_);_(&quot;€&quot;* \(#\ ##0.00\);_(&quot;€&quot;* &quot;-&quot;??_);_(@_)">
                        <c:v>35078.589999999997</c:v>
                      </c:pt>
                    </c:numCache>
                  </c:numRef>
                </c:val>
                <c:smooth val="0"/>
                <c:extLst xmlns:c15="http://schemas.microsoft.com/office/drawing/2012/char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A-4AA0-45C4-827A-38317B3E1C33}"/>
                  </c:ext>
                </c:extLst>
              </c15:ser>
            </c15:filteredLineSeries>
            <c15:filteredLineSeries>
              <c15:ser>
                <c:idx val="1"/>
                <c:order val="4"/>
                <c:spPr>
                  <a:ln w="28575" cap="rnd">
                    <a:solidFill>
                      <a:schemeClr val="accent2"/>
                    </a:solidFill>
                    <a:round/>
                  </a:ln>
                  <a:effectLst/>
                </c:spPr>
                <c:marker>
                  <c:symbol val="none"/>
                </c:marker>
                <c:cat>
                  <c:numRef>
                    <c:extLst xmlns:c15="http://schemas.microsoft.com/office/drawing/2012/chart">
                      <c:ext xmlns:c15="http://schemas.microsoft.com/office/drawing/2012/chart" uri="{02D57815-91ED-43cb-92C2-25804820EDAC}">
                        <c15:formulaRef>
                          <c15:sqref>Accueil!$O$4:$O$492</c15:sqref>
                        </c15:formulaRef>
                      </c:ext>
                    </c:extLst>
                    <c:numCache>
                      <c:formatCode>m/d/yyyy</c:formatCode>
                      <c:ptCount val="489"/>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45613</c:v>
                      </c:pt>
                      <c:pt idx="395">
                        <c:v>45612</c:v>
                      </c:pt>
                      <c:pt idx="396">
                        <c:v>45611</c:v>
                      </c:pt>
                      <c:pt idx="397">
                        <c:v>45610</c:v>
                      </c:pt>
                      <c:pt idx="398">
                        <c:v>45609</c:v>
                      </c:pt>
                      <c:pt idx="399">
                        <c:v>45608</c:v>
                      </c:pt>
                      <c:pt idx="400">
                        <c:v>45607</c:v>
                      </c:pt>
                      <c:pt idx="401">
                        <c:v>45606</c:v>
                      </c:pt>
                      <c:pt idx="402">
                        <c:v>45605</c:v>
                      </c:pt>
                      <c:pt idx="403">
                        <c:v>45604</c:v>
                      </c:pt>
                      <c:pt idx="404">
                        <c:v>45603</c:v>
                      </c:pt>
                      <c:pt idx="405">
                        <c:v>45602</c:v>
                      </c:pt>
                      <c:pt idx="406">
                        <c:v>45601</c:v>
                      </c:pt>
                      <c:pt idx="407">
                        <c:v>45600</c:v>
                      </c:pt>
                      <c:pt idx="408">
                        <c:v>45599</c:v>
                      </c:pt>
                      <c:pt idx="409">
                        <c:v>45598</c:v>
                      </c:pt>
                      <c:pt idx="410">
                        <c:v>45597</c:v>
                      </c:pt>
                      <c:pt idx="411">
                        <c:v>45594</c:v>
                      </c:pt>
                      <c:pt idx="412">
                        <c:v>45593</c:v>
                      </c:pt>
                      <c:pt idx="413">
                        <c:v>45592</c:v>
                      </c:pt>
                      <c:pt idx="414">
                        <c:v>45591</c:v>
                      </c:pt>
                      <c:pt idx="415">
                        <c:v>45590</c:v>
                      </c:pt>
                      <c:pt idx="416">
                        <c:v>45589</c:v>
                      </c:pt>
                      <c:pt idx="417">
                        <c:v>45588</c:v>
                      </c:pt>
                      <c:pt idx="418">
                        <c:v>45587</c:v>
                      </c:pt>
                      <c:pt idx="419">
                        <c:v>45586</c:v>
                      </c:pt>
                      <c:pt idx="420">
                        <c:v>45585</c:v>
                      </c:pt>
                      <c:pt idx="421">
                        <c:v>45584</c:v>
                      </c:pt>
                      <c:pt idx="422">
                        <c:v>45583</c:v>
                      </c:pt>
                      <c:pt idx="423">
                        <c:v>45582</c:v>
                      </c:pt>
                      <c:pt idx="424">
                        <c:v>45581</c:v>
                      </c:pt>
                      <c:pt idx="425">
                        <c:v>45580</c:v>
                      </c:pt>
                      <c:pt idx="426">
                        <c:v>45579</c:v>
                      </c:pt>
                      <c:pt idx="427">
                        <c:v>45578</c:v>
                      </c:pt>
                      <c:pt idx="428">
                        <c:v>45577</c:v>
                      </c:pt>
                      <c:pt idx="429">
                        <c:v>45576</c:v>
                      </c:pt>
                      <c:pt idx="430">
                        <c:v>45575</c:v>
                      </c:pt>
                      <c:pt idx="431">
                        <c:v>45574</c:v>
                      </c:pt>
                      <c:pt idx="432">
                        <c:v>45573</c:v>
                      </c:pt>
                      <c:pt idx="433">
                        <c:v>45572</c:v>
                      </c:pt>
                      <c:pt idx="434">
                        <c:v>45571</c:v>
                      </c:pt>
                      <c:pt idx="435">
                        <c:v>45570</c:v>
                      </c:pt>
                      <c:pt idx="436">
                        <c:v>45569</c:v>
                      </c:pt>
                      <c:pt idx="437">
                        <c:v>45568</c:v>
                      </c:pt>
                      <c:pt idx="438">
                        <c:v>45567</c:v>
                      </c:pt>
                      <c:pt idx="439">
                        <c:v>45566</c:v>
                      </c:pt>
                      <c:pt idx="440">
                        <c:v>45565</c:v>
                      </c:pt>
                      <c:pt idx="441">
                        <c:v>45564</c:v>
                      </c:pt>
                      <c:pt idx="442">
                        <c:v>45563</c:v>
                      </c:pt>
                      <c:pt idx="443">
                        <c:v>45562</c:v>
                      </c:pt>
                      <c:pt idx="444">
                        <c:v>45561</c:v>
                      </c:pt>
                      <c:pt idx="445">
                        <c:v>45560</c:v>
                      </c:pt>
                      <c:pt idx="446">
                        <c:v>45559</c:v>
                      </c:pt>
                      <c:pt idx="447">
                        <c:v>45558</c:v>
                      </c:pt>
                      <c:pt idx="448">
                        <c:v>45557</c:v>
                      </c:pt>
                      <c:pt idx="449">
                        <c:v>45556</c:v>
                      </c:pt>
                      <c:pt idx="450">
                        <c:v>45555</c:v>
                      </c:pt>
                      <c:pt idx="451">
                        <c:v>45554</c:v>
                      </c:pt>
                      <c:pt idx="452">
                        <c:v>45553</c:v>
                      </c:pt>
                      <c:pt idx="453">
                        <c:v>45552</c:v>
                      </c:pt>
                      <c:pt idx="454">
                        <c:v>45551</c:v>
                      </c:pt>
                      <c:pt idx="455">
                        <c:v>45550</c:v>
                      </c:pt>
                      <c:pt idx="456">
                        <c:v>45549</c:v>
                      </c:pt>
                      <c:pt idx="457">
                        <c:v>45548</c:v>
                      </c:pt>
                      <c:pt idx="458">
                        <c:v>45547</c:v>
                      </c:pt>
                      <c:pt idx="459">
                        <c:v>45546</c:v>
                      </c:pt>
                      <c:pt idx="460">
                        <c:v>45545</c:v>
                      </c:pt>
                      <c:pt idx="461">
                        <c:v>45544</c:v>
                      </c:pt>
                      <c:pt idx="462">
                        <c:v>45543</c:v>
                      </c:pt>
                      <c:pt idx="463">
                        <c:v>45542</c:v>
                      </c:pt>
                      <c:pt idx="464">
                        <c:v>45541</c:v>
                      </c:pt>
                      <c:pt idx="465">
                        <c:v>45540</c:v>
                      </c:pt>
                      <c:pt idx="466">
                        <c:v>45539</c:v>
                      </c:pt>
                      <c:pt idx="467">
                        <c:v>45538</c:v>
                      </c:pt>
                      <c:pt idx="468">
                        <c:v>45537</c:v>
                      </c:pt>
                      <c:pt idx="469">
                        <c:v>45536</c:v>
                      </c:pt>
                      <c:pt idx="470">
                        <c:v>45535</c:v>
                      </c:pt>
                      <c:pt idx="471">
                        <c:v>45534</c:v>
                      </c:pt>
                      <c:pt idx="472">
                        <c:v>45533</c:v>
                      </c:pt>
                      <c:pt idx="473">
                        <c:v>45532</c:v>
                      </c:pt>
                      <c:pt idx="474">
                        <c:v>45531</c:v>
                      </c:pt>
                      <c:pt idx="475">
                        <c:v>45530</c:v>
                      </c:pt>
                      <c:pt idx="476">
                        <c:v>45529</c:v>
                      </c:pt>
                      <c:pt idx="477">
                        <c:v>45528</c:v>
                      </c:pt>
                      <c:pt idx="478">
                        <c:v>45527</c:v>
                      </c:pt>
                      <c:pt idx="479">
                        <c:v>45526</c:v>
                      </c:pt>
                      <c:pt idx="480">
                        <c:v>45525</c:v>
                      </c:pt>
                      <c:pt idx="481">
                        <c:v>45524</c:v>
                      </c:pt>
                      <c:pt idx="482">
                        <c:v>45523</c:v>
                      </c:pt>
                      <c:pt idx="483">
                        <c:v>45522</c:v>
                      </c:pt>
                      <c:pt idx="484">
                        <c:v>45521</c:v>
                      </c:pt>
                      <c:pt idx="485">
                        <c:v>45520</c:v>
                      </c:pt>
                      <c:pt idx="486">
                        <c:v>45519</c:v>
                      </c:pt>
                      <c:pt idx="487">
                        <c:v>45516</c:v>
                      </c:pt>
                      <c:pt idx="488">
                        <c:v>45515</c:v>
                      </c:pt>
                    </c:numCache>
                  </c:numRef>
                </c:cat>
                <c:val>
                  <c:numRef>
                    <c:extLst xmlns:c15="http://schemas.microsoft.com/office/drawing/2012/chart">
                      <c:ext xmlns:c15="http://schemas.microsoft.com/office/drawing/2012/chart" uri="{02D57815-91ED-43cb-92C2-25804820EDAC}">
                        <c15:formulaRef>
                          <c15:sqref>Accueil!$Q$4:$Q$492</c15:sqref>
                        </c15:formulaRef>
                      </c:ext>
                    </c:extLst>
                    <c:numCache>
                      <c:formatCode>#\ ##0.00\ "€"</c:formatCode>
                      <c:ptCount val="489"/>
                      <c:pt idx="0">
                        <c:v>138736.82</c:v>
                      </c:pt>
                      <c:pt idx="1">
                        <c:v>138740.42000000001</c:v>
                      </c:pt>
                      <c:pt idx="2">
                        <c:v>138744.01</c:v>
                      </c:pt>
                      <c:pt idx="3">
                        <c:v>138848.14000000001</c:v>
                      </c:pt>
                      <c:pt idx="4">
                        <c:v>138840.5</c:v>
                      </c:pt>
                      <c:pt idx="5">
                        <c:v>138843.07</c:v>
                      </c:pt>
                      <c:pt idx="6">
                        <c:v>138980.07999999999</c:v>
                      </c:pt>
                      <c:pt idx="7">
                        <c:v>138977.25</c:v>
                      </c:pt>
                      <c:pt idx="8">
                        <c:v>139133.75</c:v>
                      </c:pt>
                      <c:pt idx="9">
                        <c:v>139109.31</c:v>
                      </c:pt>
                      <c:pt idx="10">
                        <c:v>139084.85999999999</c:v>
                      </c:pt>
                      <c:pt idx="11">
                        <c:v>139111.67000000001</c:v>
                      </c:pt>
                      <c:pt idx="12">
                        <c:v>139215.42000000001</c:v>
                      </c:pt>
                      <c:pt idx="13">
                        <c:v>139292.32</c:v>
                      </c:pt>
                      <c:pt idx="14">
                        <c:v>139322.10999999999</c:v>
                      </c:pt>
                      <c:pt idx="15">
                        <c:v>139351.91</c:v>
                      </c:pt>
                      <c:pt idx="16">
                        <c:v>139381.70000000001</c:v>
                      </c:pt>
                      <c:pt idx="17">
                        <c:v>139365.35999999999</c:v>
                      </c:pt>
                      <c:pt idx="18">
                        <c:v>139349.01999999999</c:v>
                      </c:pt>
                      <c:pt idx="19">
                        <c:v>139180.99</c:v>
                      </c:pt>
                      <c:pt idx="20">
                        <c:v>139222.10999999999</c:v>
                      </c:pt>
                      <c:pt idx="21">
                        <c:v>139251.32999999999</c:v>
                      </c:pt>
                      <c:pt idx="22">
                        <c:v>139236.76</c:v>
                      </c:pt>
                      <c:pt idx="23">
                        <c:v>139281.75</c:v>
                      </c:pt>
                      <c:pt idx="24">
                        <c:v>139326.75</c:v>
                      </c:pt>
                      <c:pt idx="25">
                        <c:v>139523.87</c:v>
                      </c:pt>
                      <c:pt idx="26">
                        <c:v>139568.29999999999</c:v>
                      </c:pt>
                      <c:pt idx="27">
                        <c:v>139496.93</c:v>
                      </c:pt>
                      <c:pt idx="28">
                        <c:v>139672.1</c:v>
                      </c:pt>
                      <c:pt idx="29">
                        <c:v>139999.95000000001</c:v>
                      </c:pt>
                      <c:pt idx="30">
                        <c:v>140327.81</c:v>
                      </c:pt>
                      <c:pt idx="31">
                        <c:v>140406.20000000001</c:v>
                      </c:pt>
                      <c:pt idx="32">
                        <c:v>140333.01999999999</c:v>
                      </c:pt>
                      <c:pt idx="33">
                        <c:v>140425.84</c:v>
                      </c:pt>
                      <c:pt idx="34">
                        <c:v>140425.84</c:v>
                      </c:pt>
                      <c:pt idx="35">
                        <c:v>140483.01999999999</c:v>
                      </c:pt>
                      <c:pt idx="36">
                        <c:v>140595.38</c:v>
                      </c:pt>
                      <c:pt idx="37">
                        <c:v>141016.74</c:v>
                      </c:pt>
                      <c:pt idx="38">
                        <c:v>141057.57</c:v>
                      </c:pt>
                      <c:pt idx="39">
                        <c:v>140834.1</c:v>
                      </c:pt>
                      <c:pt idx="40">
                        <c:v>140858.76</c:v>
                      </c:pt>
                      <c:pt idx="41">
                        <c:v>141053.25</c:v>
                      </c:pt>
                      <c:pt idx="42">
                        <c:v>141247.75</c:v>
                      </c:pt>
                      <c:pt idx="43">
                        <c:v>141442.25</c:v>
                      </c:pt>
                      <c:pt idx="44">
                        <c:v>141374.20000000001</c:v>
                      </c:pt>
                      <c:pt idx="45">
                        <c:v>141306.17000000001</c:v>
                      </c:pt>
                      <c:pt idx="46">
                        <c:v>141168.9</c:v>
                      </c:pt>
                      <c:pt idx="47">
                        <c:v>141263.62</c:v>
                      </c:pt>
                      <c:pt idx="48">
                        <c:v>141692.35999999999</c:v>
                      </c:pt>
                      <c:pt idx="49">
                        <c:v>142172.68</c:v>
                      </c:pt>
                      <c:pt idx="50">
                        <c:v>142100.21</c:v>
                      </c:pt>
                      <c:pt idx="51">
                        <c:v>143071.69</c:v>
                      </c:pt>
                      <c:pt idx="52">
                        <c:v>143328.85</c:v>
                      </c:pt>
                      <c:pt idx="53">
                        <c:v>143585.99</c:v>
                      </c:pt>
                      <c:pt idx="54">
                        <c:v>144372.69</c:v>
                      </c:pt>
                      <c:pt idx="55">
                        <c:v>144736.29999999999</c:v>
                      </c:pt>
                      <c:pt idx="56">
                        <c:v>145099.93</c:v>
                      </c:pt>
                      <c:pt idx="57">
                        <c:v>145282.76</c:v>
                      </c:pt>
                      <c:pt idx="58">
                        <c:v>145309.14000000001</c:v>
                      </c:pt>
                      <c:pt idx="59">
                        <c:v>145339.51999999999</c:v>
                      </c:pt>
                      <c:pt idx="60">
                        <c:v>145553.15</c:v>
                      </c:pt>
                      <c:pt idx="61">
                        <c:v>145536.03</c:v>
                      </c:pt>
                      <c:pt idx="62">
                        <c:v>145831.76999999999</c:v>
                      </c:pt>
                      <c:pt idx="63">
                        <c:v>146127.72</c:v>
                      </c:pt>
                      <c:pt idx="64">
                        <c:v>146356.75</c:v>
                      </c:pt>
                      <c:pt idx="65">
                        <c:v>146814.82</c:v>
                      </c:pt>
                      <c:pt idx="66">
                        <c:v>147165.49</c:v>
                      </c:pt>
                      <c:pt idx="67">
                        <c:v>147193.57999999999</c:v>
                      </c:pt>
                      <c:pt idx="68">
                        <c:v>147221.67000000001</c:v>
                      </c:pt>
                      <c:pt idx="69">
                        <c:v>147249.76999999999</c:v>
                      </c:pt>
                      <c:pt idx="70">
                        <c:v>147416.48000000001</c:v>
                      </c:pt>
                      <c:pt idx="71">
                        <c:v>147524.15</c:v>
                      </c:pt>
                      <c:pt idx="72">
                        <c:v>147620.38</c:v>
                      </c:pt>
                      <c:pt idx="73">
                        <c:v>147716.59</c:v>
                      </c:pt>
                      <c:pt idx="74">
                        <c:v>147913.1</c:v>
                      </c:pt>
                      <c:pt idx="75">
                        <c:v>148168.51</c:v>
                      </c:pt>
                      <c:pt idx="76">
                        <c:v>148027.85999999999</c:v>
                      </c:pt>
                      <c:pt idx="77">
                        <c:v>148054.35</c:v>
                      </c:pt>
                      <c:pt idx="79">
                        <c:v>148054.35</c:v>
                      </c:pt>
                      <c:pt idx="80">
                        <c:v>148404.04999999999</c:v>
                      </c:pt>
                      <c:pt idx="81">
                        <c:v>148315.76999999999</c:v>
                      </c:pt>
                      <c:pt idx="82">
                        <c:v>148060.32999999999</c:v>
                      </c:pt>
                      <c:pt idx="83">
                        <c:v>148241.46</c:v>
                      </c:pt>
                      <c:pt idx="84">
                        <c:v>148539.56</c:v>
                      </c:pt>
                      <c:pt idx="85">
                        <c:v>148784.01999999999</c:v>
                      </c:pt>
                      <c:pt idx="86">
                        <c:v>148952.41</c:v>
                      </c:pt>
                      <c:pt idx="87">
                        <c:v>149104.03</c:v>
                      </c:pt>
                      <c:pt idx="88">
                        <c:v>149283.57</c:v>
                      </c:pt>
                      <c:pt idx="89">
                        <c:v>149296.18</c:v>
                      </c:pt>
                      <c:pt idx="90">
                        <c:v>149379.29</c:v>
                      </c:pt>
                      <c:pt idx="91">
                        <c:v>149502.15</c:v>
                      </c:pt>
                      <c:pt idx="92">
                        <c:v>149688.95000000001</c:v>
                      </c:pt>
                      <c:pt idx="93">
                        <c:v>149896.23000000001</c:v>
                      </c:pt>
                      <c:pt idx="94">
                        <c:v>150026.32</c:v>
                      </c:pt>
                      <c:pt idx="95">
                        <c:v>150183.67999999999</c:v>
                      </c:pt>
                      <c:pt idx="96">
                        <c:v>150679.67000000001</c:v>
                      </c:pt>
                      <c:pt idx="97">
                        <c:v>150904.19</c:v>
                      </c:pt>
                      <c:pt idx="98">
                        <c:v>150969.07999999999</c:v>
                      </c:pt>
                      <c:pt idx="99">
                        <c:v>151121.81</c:v>
                      </c:pt>
                      <c:pt idx="100">
                        <c:v>151339.26</c:v>
                      </c:pt>
                      <c:pt idx="101">
                        <c:v>151324.09</c:v>
                      </c:pt>
                      <c:pt idx="102">
                        <c:v>151373.97</c:v>
                      </c:pt>
                      <c:pt idx="103">
                        <c:v>151423.85999999999</c:v>
                      </c:pt>
                      <c:pt idx="104">
                        <c:v>151324.25</c:v>
                      </c:pt>
                      <c:pt idx="105">
                        <c:v>151253.06</c:v>
                      </c:pt>
                      <c:pt idx="106">
                        <c:v>151587.91</c:v>
                      </c:pt>
                      <c:pt idx="107">
                        <c:v>151694.37</c:v>
                      </c:pt>
                      <c:pt idx="108">
                        <c:v>151800.82</c:v>
                      </c:pt>
                      <c:pt idx="109">
                        <c:v>151907.26</c:v>
                      </c:pt>
                      <c:pt idx="110">
                        <c:v>152013.72</c:v>
                      </c:pt>
                      <c:pt idx="111">
                        <c:v>152287.97</c:v>
                      </c:pt>
                      <c:pt idx="112">
                        <c:v>152309.53</c:v>
                      </c:pt>
                      <c:pt idx="113">
                        <c:v>152331.06</c:v>
                      </c:pt>
                      <c:pt idx="114">
                        <c:v>152413.60999999999</c:v>
                      </c:pt>
                      <c:pt idx="115">
                        <c:v>152253.71</c:v>
                      </c:pt>
                      <c:pt idx="116">
                        <c:v>152266.74</c:v>
                      </c:pt>
                      <c:pt idx="117">
                        <c:v>152296.46</c:v>
                      </c:pt>
                      <c:pt idx="118">
                        <c:v>152341.5</c:v>
                      </c:pt>
                      <c:pt idx="119">
                        <c:v>152156.9</c:v>
                      </c:pt>
                      <c:pt idx="120">
                        <c:v>152131.24</c:v>
                      </c:pt>
                      <c:pt idx="121">
                        <c:v>152105.54999999999</c:v>
                      </c:pt>
                      <c:pt idx="122">
                        <c:v>152357.75</c:v>
                      </c:pt>
                      <c:pt idx="123">
                        <c:v>152380.5</c:v>
                      </c:pt>
                      <c:pt idx="124">
                        <c:v>152403.26</c:v>
                      </c:pt>
                      <c:pt idx="125">
                        <c:v>152426</c:v>
                      </c:pt>
                      <c:pt idx="126">
                        <c:v>152392.32999999999</c:v>
                      </c:pt>
                      <c:pt idx="127">
                        <c:v>152311.03</c:v>
                      </c:pt>
                      <c:pt idx="128">
                        <c:v>152388.76</c:v>
                      </c:pt>
                      <c:pt idx="129">
                        <c:v>152547.01</c:v>
                      </c:pt>
                      <c:pt idx="130">
                        <c:v>152694.28</c:v>
                      </c:pt>
                      <c:pt idx="131">
                        <c:v>152764.10999999999</c:v>
                      </c:pt>
                      <c:pt idx="132">
                        <c:v>152833.95000000001</c:v>
                      </c:pt>
                      <c:pt idx="133">
                        <c:v>152903.76999999999</c:v>
                      </c:pt>
                      <c:pt idx="134">
                        <c:v>152859.46</c:v>
                      </c:pt>
                      <c:pt idx="135">
                        <c:v>152816.18</c:v>
                      </c:pt>
                      <c:pt idx="136">
                        <c:v>152772.89000000001</c:v>
                      </c:pt>
                      <c:pt idx="137">
                        <c:v>152740.13</c:v>
                      </c:pt>
                      <c:pt idx="138">
                        <c:v>152763.79</c:v>
                      </c:pt>
                      <c:pt idx="139">
                        <c:v>152767.07</c:v>
                      </c:pt>
                      <c:pt idx="140">
                        <c:v>152770.32999999999</c:v>
                      </c:pt>
                      <c:pt idx="141">
                        <c:v>152952.88</c:v>
                      </c:pt>
                      <c:pt idx="142">
                        <c:v>153138.63</c:v>
                      </c:pt>
                      <c:pt idx="143">
                        <c:v>153138.63</c:v>
                      </c:pt>
                      <c:pt idx="144">
                        <c:v>153365.51</c:v>
                      </c:pt>
                      <c:pt idx="145">
                        <c:v>153653.54</c:v>
                      </c:pt>
                      <c:pt idx="146">
                        <c:v>153634.12</c:v>
                      </c:pt>
                      <c:pt idx="147">
                        <c:v>153637.21</c:v>
                      </c:pt>
                      <c:pt idx="148">
                        <c:v>151235.57</c:v>
                      </c:pt>
                      <c:pt idx="149">
                        <c:v>153672.89000000001</c:v>
                      </c:pt>
                      <c:pt idx="150">
                        <c:v>153496.22</c:v>
                      </c:pt>
                      <c:pt idx="151">
                        <c:v>153522.93</c:v>
                      </c:pt>
                      <c:pt idx="152">
                        <c:v>153522.93</c:v>
                      </c:pt>
                      <c:pt idx="153">
                        <c:v>153532.54999999999</c:v>
                      </c:pt>
                      <c:pt idx="154">
                        <c:v>153542.18</c:v>
                      </c:pt>
                      <c:pt idx="155">
                        <c:v>153384.93</c:v>
                      </c:pt>
                      <c:pt idx="156">
                        <c:v>153373.92000000001</c:v>
                      </c:pt>
                      <c:pt idx="157">
                        <c:v>153447.14000000001</c:v>
                      </c:pt>
                      <c:pt idx="158">
                        <c:v>153326.26999999999</c:v>
                      </c:pt>
                      <c:pt idx="159">
                        <c:v>153326.26999999999</c:v>
                      </c:pt>
                      <c:pt idx="160">
                        <c:v>153461.82</c:v>
                      </c:pt>
                      <c:pt idx="161">
                        <c:v>153269.26999999999</c:v>
                      </c:pt>
                      <c:pt idx="162">
                        <c:v>153030.82999999999</c:v>
                      </c:pt>
                      <c:pt idx="163">
                        <c:v>152934.16</c:v>
                      </c:pt>
                      <c:pt idx="164">
                        <c:v>152934.16</c:v>
                      </c:pt>
                      <c:pt idx="165">
                        <c:v>153302.81</c:v>
                      </c:pt>
                      <c:pt idx="166">
                        <c:v>153200.76999999999</c:v>
                      </c:pt>
                      <c:pt idx="167">
                        <c:v>153098.73000000001</c:v>
                      </c:pt>
                      <c:pt idx="168">
                        <c:v>152996.69</c:v>
                      </c:pt>
                      <c:pt idx="169">
                        <c:v>153165.19</c:v>
                      </c:pt>
                      <c:pt idx="170">
                        <c:v>153352.6</c:v>
                      </c:pt>
                      <c:pt idx="171">
                        <c:v>153223.56</c:v>
                      </c:pt>
                      <c:pt idx="172">
                        <c:v>153233.81</c:v>
                      </c:pt>
                      <c:pt idx="173">
                        <c:v>153119.60999999999</c:v>
                      </c:pt>
                      <c:pt idx="174">
                        <c:v>152899.29999999999</c:v>
                      </c:pt>
                      <c:pt idx="175">
                        <c:v>152452.1</c:v>
                      </c:pt>
                      <c:pt idx="176">
                        <c:v>153025.29999999999</c:v>
                      </c:pt>
                      <c:pt idx="177">
                        <c:v>153598.51</c:v>
                      </c:pt>
                      <c:pt idx="178">
                        <c:v>154509.69</c:v>
                      </c:pt>
                      <c:pt idx="179">
                        <c:v>155524.81</c:v>
                      </c:pt>
                      <c:pt idx="180">
                        <c:v>156539.95000000001</c:v>
                      </c:pt>
                      <c:pt idx="181">
                        <c:v>156976.79</c:v>
                      </c:pt>
                      <c:pt idx="182">
                        <c:v>157320.65</c:v>
                      </c:pt>
                      <c:pt idx="183">
                        <c:v>157198.85</c:v>
                      </c:pt>
                      <c:pt idx="184">
                        <c:v>158271.54</c:v>
                      </c:pt>
                      <c:pt idx="185">
                        <c:v>159487.45000000001</c:v>
                      </c:pt>
                      <c:pt idx="186">
                        <c:v>160659.14000000001</c:v>
                      </c:pt>
                      <c:pt idx="187">
                        <c:v>161830.85999999999</c:v>
                      </c:pt>
                      <c:pt idx="188">
                        <c:v>162959.57999999999</c:v>
                      </c:pt>
                      <c:pt idx="189">
                        <c:v>164138.26999999999</c:v>
                      </c:pt>
                      <c:pt idx="190">
                        <c:v>165350.20000000001</c:v>
                      </c:pt>
                      <c:pt idx="191">
                        <c:v>166942.06</c:v>
                      </c:pt>
                      <c:pt idx="192">
                        <c:v>168086.79</c:v>
                      </c:pt>
                      <c:pt idx="193">
                        <c:v>168190.64</c:v>
                      </c:pt>
                      <c:pt idx="194">
                        <c:v>168294.49</c:v>
                      </c:pt>
                      <c:pt idx="195">
                        <c:v>168182</c:v>
                      </c:pt>
                      <c:pt idx="196">
                        <c:v>167932.98</c:v>
                      </c:pt>
                      <c:pt idx="197">
                        <c:v>168023.71</c:v>
                      </c:pt>
                      <c:pt idx="198">
                        <c:v>168476.98</c:v>
                      </c:pt>
                      <c:pt idx="199">
                        <c:v>168583.13</c:v>
                      </c:pt>
                      <c:pt idx="200">
                        <c:v>168862.04</c:v>
                      </c:pt>
                      <c:pt idx="201">
                        <c:v>169140.95</c:v>
                      </c:pt>
                      <c:pt idx="202">
                        <c:v>169419.87</c:v>
                      </c:pt>
                      <c:pt idx="203">
                        <c:v>169674.79</c:v>
                      </c:pt>
                      <c:pt idx="204">
                        <c:v>169589.99</c:v>
                      </c:pt>
                      <c:pt idx="205">
                        <c:v>169717.7</c:v>
                      </c:pt>
                      <c:pt idx="206">
                        <c:v>169637.84</c:v>
                      </c:pt>
                      <c:pt idx="207">
                        <c:v>169468.4</c:v>
                      </c:pt>
                      <c:pt idx="208">
                        <c:v>169521.81</c:v>
                      </c:pt>
                      <c:pt idx="209">
                        <c:v>169487.96</c:v>
                      </c:pt>
                      <c:pt idx="210">
                        <c:v>169406.01</c:v>
                      </c:pt>
                      <c:pt idx="211">
                        <c:v>169407.96</c:v>
                      </c:pt>
                      <c:pt idx="212">
                        <c:v>169409.93</c:v>
                      </c:pt>
                      <c:pt idx="213">
                        <c:v>169458.58</c:v>
                      </c:pt>
                      <c:pt idx="214">
                        <c:v>169328.04</c:v>
                      </c:pt>
                      <c:pt idx="215">
                        <c:v>169374.89</c:v>
                      </c:pt>
                      <c:pt idx="216">
                        <c:v>169489.22</c:v>
                      </c:pt>
                      <c:pt idx="217">
                        <c:v>169728.52</c:v>
                      </c:pt>
                      <c:pt idx="218">
                        <c:v>169645.83</c:v>
                      </c:pt>
                      <c:pt idx="219">
                        <c:v>169614.68</c:v>
                      </c:pt>
                      <c:pt idx="220">
                        <c:v>169676.09</c:v>
                      </c:pt>
                      <c:pt idx="221">
                        <c:v>169763.56</c:v>
                      </c:pt>
                      <c:pt idx="222">
                        <c:v>169851.02</c:v>
                      </c:pt>
                      <c:pt idx="223">
                        <c:v>169719.97</c:v>
                      </c:pt>
                      <c:pt idx="224">
                        <c:v>169794.39</c:v>
                      </c:pt>
                      <c:pt idx="225">
                        <c:v>169857.3</c:v>
                      </c:pt>
                      <c:pt idx="226">
                        <c:v>169920.21</c:v>
                      </c:pt>
                      <c:pt idx="227">
                        <c:v>170030.67</c:v>
                      </c:pt>
                      <c:pt idx="228">
                        <c:v>170152.82</c:v>
                      </c:pt>
                      <c:pt idx="229">
                        <c:v>170242.79</c:v>
                      </c:pt>
                      <c:pt idx="230">
                        <c:v>170329.47</c:v>
                      </c:pt>
                      <c:pt idx="231">
                        <c:v>170416.14</c:v>
                      </c:pt>
                      <c:pt idx="232">
                        <c:v>170929.85</c:v>
                      </c:pt>
                      <c:pt idx="233">
                        <c:v>171011.74</c:v>
                      </c:pt>
                      <c:pt idx="234">
                        <c:v>170909.03</c:v>
                      </c:pt>
                      <c:pt idx="235">
                        <c:v>170806.32</c:v>
                      </c:pt>
                      <c:pt idx="236">
                        <c:v>171053.1</c:v>
                      </c:pt>
                      <c:pt idx="237">
                        <c:v>171292.41</c:v>
                      </c:pt>
                      <c:pt idx="238">
                        <c:v>171303.87</c:v>
                      </c:pt>
                      <c:pt idx="239">
                        <c:v>171408.85</c:v>
                      </c:pt>
                      <c:pt idx="240">
                        <c:v>171524.56</c:v>
                      </c:pt>
                      <c:pt idx="241">
                        <c:v>171640.29</c:v>
                      </c:pt>
                      <c:pt idx="242">
                        <c:v>171726.49</c:v>
                      </c:pt>
                      <c:pt idx="243">
                        <c:v>171942.85</c:v>
                      </c:pt>
                      <c:pt idx="244">
                        <c:v>172170.98</c:v>
                      </c:pt>
                      <c:pt idx="245">
                        <c:v>172290.36</c:v>
                      </c:pt>
                      <c:pt idx="246">
                        <c:v>172461.29</c:v>
                      </c:pt>
                      <c:pt idx="247">
                        <c:v>172415.61</c:v>
                      </c:pt>
                      <c:pt idx="248">
                        <c:v>172358.83</c:v>
                      </c:pt>
                      <c:pt idx="249">
                        <c:v>172342.97</c:v>
                      </c:pt>
                      <c:pt idx="250">
                        <c:v>172592.58</c:v>
                      </c:pt>
                      <c:pt idx="251">
                        <c:v>172574.22</c:v>
                      </c:pt>
                      <c:pt idx="252">
                        <c:v>172937.33</c:v>
                      </c:pt>
                      <c:pt idx="253">
                        <c:v>173382.68</c:v>
                      </c:pt>
                      <c:pt idx="254">
                        <c:v>174056.73</c:v>
                      </c:pt>
                      <c:pt idx="255">
                        <c:v>174214.06</c:v>
                      </c:pt>
                      <c:pt idx="256">
                        <c:v>174178.75</c:v>
                      </c:pt>
                      <c:pt idx="257">
                        <c:v>174649.86</c:v>
                      </c:pt>
                      <c:pt idx="258">
                        <c:v>174767.6</c:v>
                      </c:pt>
                      <c:pt idx="259">
                        <c:v>175003.06</c:v>
                      </c:pt>
                      <c:pt idx="260">
                        <c:v>175100.56</c:v>
                      </c:pt>
                      <c:pt idx="261">
                        <c:v>175464.73</c:v>
                      </c:pt>
                      <c:pt idx="262">
                        <c:v>175539.4</c:v>
                      </c:pt>
                      <c:pt idx="263">
                        <c:v>176071.73</c:v>
                      </c:pt>
                      <c:pt idx="264">
                        <c:v>176146.64</c:v>
                      </c:pt>
                      <c:pt idx="265">
                        <c:v>176522.99</c:v>
                      </c:pt>
                      <c:pt idx="266">
                        <c:v>176623.47</c:v>
                      </c:pt>
                      <c:pt idx="267">
                        <c:v>176784.81</c:v>
                      </c:pt>
                      <c:pt idx="268">
                        <c:v>177055.98</c:v>
                      </c:pt>
                      <c:pt idx="269">
                        <c:v>177056.81</c:v>
                      </c:pt>
                      <c:pt idx="270">
                        <c:v>177163.82</c:v>
                      </c:pt>
                      <c:pt idx="271">
                        <c:v>177313.89</c:v>
                      </c:pt>
                      <c:pt idx="272">
                        <c:v>177463.96</c:v>
                      </c:pt>
                      <c:pt idx="273">
                        <c:v>177781.83</c:v>
                      </c:pt>
                      <c:pt idx="274">
                        <c:v>179066.79</c:v>
                      </c:pt>
                      <c:pt idx="275">
                        <c:v>179306.14</c:v>
                      </c:pt>
                      <c:pt idx="276">
                        <c:v>179508.13</c:v>
                      </c:pt>
                      <c:pt idx="277">
                        <c:v>179572.02</c:v>
                      </c:pt>
                      <c:pt idx="278">
                        <c:v>179790.94</c:v>
                      </c:pt>
                      <c:pt idx="279">
                        <c:v>180009.87</c:v>
                      </c:pt>
                      <c:pt idx="280">
                        <c:v>180124.95</c:v>
                      </c:pt>
                      <c:pt idx="281">
                        <c:v>180240.03</c:v>
                      </c:pt>
                      <c:pt idx="282">
                        <c:v>180355.11</c:v>
                      </c:pt>
                      <c:pt idx="283">
                        <c:v>180389.51</c:v>
                      </c:pt>
                      <c:pt idx="284">
                        <c:v>180562.01</c:v>
                      </c:pt>
                      <c:pt idx="285">
                        <c:v>180603.34</c:v>
                      </c:pt>
                      <c:pt idx="286">
                        <c:v>180644.68</c:v>
                      </c:pt>
                      <c:pt idx="287">
                        <c:v>180686.02</c:v>
                      </c:pt>
                      <c:pt idx="288">
                        <c:v>180648.46</c:v>
                      </c:pt>
                      <c:pt idx="289">
                        <c:v>180610.91</c:v>
                      </c:pt>
                      <c:pt idx="290">
                        <c:v>180713.97</c:v>
                      </c:pt>
                      <c:pt idx="291">
                        <c:v>180708.72</c:v>
                      </c:pt>
                      <c:pt idx="292">
                        <c:v>180594.82</c:v>
                      </c:pt>
                      <c:pt idx="293">
                        <c:v>180423.66</c:v>
                      </c:pt>
                      <c:pt idx="294">
                        <c:v>180488.82</c:v>
                      </c:pt>
                      <c:pt idx="295">
                        <c:v>180443.64</c:v>
                      </c:pt>
                      <c:pt idx="296">
                        <c:v>180493.32</c:v>
                      </c:pt>
                      <c:pt idx="297">
                        <c:v>180431.19</c:v>
                      </c:pt>
                      <c:pt idx="298">
                        <c:v>180440.73</c:v>
                      </c:pt>
                      <c:pt idx="299">
                        <c:v>180450.25</c:v>
                      </c:pt>
                      <c:pt idx="300">
                        <c:v>180499.81</c:v>
                      </c:pt>
                      <c:pt idx="301">
                        <c:v>180579.76</c:v>
                      </c:pt>
                      <c:pt idx="302">
                        <c:v>180659.72</c:v>
                      </c:pt>
                      <c:pt idx="303">
                        <c:v>181093.73</c:v>
                      </c:pt>
                      <c:pt idx="304">
                        <c:v>181085.01</c:v>
                      </c:pt>
                      <c:pt idx="305">
                        <c:v>181671.79</c:v>
                      </c:pt>
                      <c:pt idx="306">
                        <c:v>181850.3</c:v>
                      </c:pt>
                      <c:pt idx="307">
                        <c:v>181978.7</c:v>
                      </c:pt>
                      <c:pt idx="308">
                        <c:v>182178.1</c:v>
                      </c:pt>
                      <c:pt idx="309">
                        <c:v>182066.02</c:v>
                      </c:pt>
                      <c:pt idx="310">
                        <c:v>182083.87</c:v>
                      </c:pt>
                      <c:pt idx="311">
                        <c:v>182101.72</c:v>
                      </c:pt>
                      <c:pt idx="312">
                        <c:v>181995.04</c:v>
                      </c:pt>
                      <c:pt idx="313">
                        <c:v>181858.25</c:v>
                      </c:pt>
                      <c:pt idx="314">
                        <c:v>181721.47</c:v>
                      </c:pt>
                      <c:pt idx="315">
                        <c:v>181584.69</c:v>
                      </c:pt>
                      <c:pt idx="316">
                        <c:v>181544.16</c:v>
                      </c:pt>
                      <c:pt idx="317">
                        <c:v>181589.76000000001</c:v>
                      </c:pt>
                      <c:pt idx="318">
                        <c:v>181661.38</c:v>
                      </c:pt>
                      <c:pt idx="319">
                        <c:v>181613.75</c:v>
                      </c:pt>
                      <c:pt idx="320">
                        <c:v>181611.69</c:v>
                      </c:pt>
                      <c:pt idx="321">
                        <c:v>181803</c:v>
                      </c:pt>
                      <c:pt idx="322">
                        <c:v>181942.8</c:v>
                      </c:pt>
                      <c:pt idx="323">
                        <c:v>181689.73</c:v>
                      </c:pt>
                      <c:pt idx="324">
                        <c:v>181559.73</c:v>
                      </c:pt>
                      <c:pt idx="325">
                        <c:v>181613.05</c:v>
                      </c:pt>
                      <c:pt idx="326">
                        <c:v>181527.48</c:v>
                      </c:pt>
                      <c:pt idx="327">
                        <c:v>181561.84</c:v>
                      </c:pt>
                      <c:pt idx="328">
                        <c:v>181596.18</c:v>
                      </c:pt>
                      <c:pt idx="329">
                        <c:v>181630.54</c:v>
                      </c:pt>
                      <c:pt idx="330">
                        <c:v>181630.81</c:v>
                      </c:pt>
                      <c:pt idx="331">
                        <c:v>181601.36</c:v>
                      </c:pt>
                      <c:pt idx="332">
                        <c:v>181672.63</c:v>
                      </c:pt>
                      <c:pt idx="333">
                        <c:v>181891.23</c:v>
                      </c:pt>
                      <c:pt idx="334">
                        <c:v>181989.93</c:v>
                      </c:pt>
                      <c:pt idx="335">
                        <c:v>181973.42</c:v>
                      </c:pt>
                      <c:pt idx="336">
                        <c:v>181956.93</c:v>
                      </c:pt>
                      <c:pt idx="337">
                        <c:v>181940.43</c:v>
                      </c:pt>
                      <c:pt idx="338">
                        <c:v>182188.26</c:v>
                      </c:pt>
                      <c:pt idx="339">
                        <c:v>182160.45</c:v>
                      </c:pt>
                      <c:pt idx="340">
                        <c:v>182132.65</c:v>
                      </c:pt>
                      <c:pt idx="341">
                        <c:v>182149.11</c:v>
                      </c:pt>
                      <c:pt idx="342">
                        <c:v>182116.6</c:v>
                      </c:pt>
                      <c:pt idx="343">
                        <c:v>182084.1</c:v>
                      </c:pt>
                      <c:pt idx="344">
                        <c:v>182354.22</c:v>
                      </c:pt>
                      <c:pt idx="345">
                        <c:v>182629.69</c:v>
                      </c:pt>
                      <c:pt idx="346">
                        <c:v>182571.11</c:v>
                      </c:pt>
                      <c:pt idx="347">
                        <c:v>182400.37</c:v>
                      </c:pt>
                      <c:pt idx="348">
                        <c:v>182313.62</c:v>
                      </c:pt>
                      <c:pt idx="349">
                        <c:v>182436.36</c:v>
                      </c:pt>
                      <c:pt idx="350">
                        <c:v>182618.41</c:v>
                      </c:pt>
                      <c:pt idx="351">
                        <c:v>182083.25</c:v>
                      </c:pt>
                      <c:pt idx="352">
                        <c:v>182086.63</c:v>
                      </c:pt>
                      <c:pt idx="353">
                        <c:v>182102.62</c:v>
                      </c:pt>
                      <c:pt idx="354">
                        <c:v>181947.43</c:v>
                      </c:pt>
                      <c:pt idx="355" formatCode="&quot;€&quot;* #\ ##0.00;&quot;€&quot;* \-#\ ##0.00">
                        <c:v>181866.08</c:v>
                      </c:pt>
                      <c:pt idx="356" formatCode="&quot;€&quot;* #\ ##0.00;&quot;€&quot;* \-#\ ##0.00">
                        <c:v>181603.8</c:v>
                      </c:pt>
                      <c:pt idx="357" formatCode="&quot;€&quot;* #\ ##0.00;&quot;€&quot;* \-#\ ##0.00">
                        <c:v>180910.52</c:v>
                      </c:pt>
                      <c:pt idx="358" formatCode="&quot;€&quot;* #\ ##0.00;&quot;€&quot;* \-#\ ##0.00">
                        <c:v>180618.25</c:v>
                      </c:pt>
                      <c:pt idx="359" formatCode="&quot;€&quot;* #\ ##0.00;&quot;€&quot;* \-#\ ##0.00">
                        <c:v>180699.4</c:v>
                      </c:pt>
                      <c:pt idx="360" formatCode="&quot;€&quot;* #\ ##0.00;&quot;€&quot;* \-#\ ##0.00">
                        <c:v>180801.78</c:v>
                      </c:pt>
                      <c:pt idx="361" formatCode="&quot;€&quot;* #\ ##0.00;&quot;€&quot;* \-#\ ##0.00">
                        <c:v>180070.9</c:v>
                      </c:pt>
                      <c:pt idx="362" formatCode="&quot;€&quot;* #\ ##0.00;&quot;€&quot;* \-#\ ##0.00">
                        <c:v>180290.31</c:v>
                      </c:pt>
                      <c:pt idx="363" formatCode="&quot;€&quot;* #\ ##0.00;&quot;€&quot;* \-#\ ##0.00">
                        <c:v>180342.18</c:v>
                      </c:pt>
                      <c:pt idx="364" formatCode="&quot;€&quot;* #\ ##0.00;&quot;€&quot;* \-#\ ##0.00">
                        <c:v>180394.06</c:v>
                      </c:pt>
                      <c:pt idx="365" formatCode="&quot;€&quot;* #\ ##0.00;&quot;€&quot;* \-#\ ##0.00">
                        <c:v>180445.94</c:v>
                      </c:pt>
                      <c:pt idx="366" formatCode="&quot;€&quot;* #\ ##0.00;&quot;€&quot;* \-#\ ##0.00">
                        <c:v>180717.47</c:v>
                      </c:pt>
                      <c:pt idx="367" formatCode="&quot;€&quot;* #\ ##0.00;&quot;€&quot;* \-#\ ##0.00">
                        <c:v>180871.54</c:v>
                      </c:pt>
                      <c:pt idx="368" formatCode="&quot;€&quot;* #\ ##0.00;&quot;€&quot;* \-#\ ##0.00">
                        <c:v>180804.76</c:v>
                      </c:pt>
                      <c:pt idx="369" formatCode="&quot;€&quot;* #\ ##0.00;&quot;€&quot;* \-#\ ##0.00">
                        <c:v>180731.15</c:v>
                      </c:pt>
                      <c:pt idx="370" formatCode="&quot;€&quot;* #\ ##0.00;&quot;€&quot;* \-#\ ##0.00">
                        <c:v>180657.55</c:v>
                      </c:pt>
                      <c:pt idx="371" formatCode="&quot;€&quot;* #\ ##0.00;&quot;€&quot;* \-#\ ##0.00">
                        <c:v>180583.95</c:v>
                      </c:pt>
                      <c:pt idx="372" formatCode="&quot;€&quot;* #\ ##0.00;&quot;€&quot;* \-#\ ##0.00">
                        <c:v>180455.63</c:v>
                      </c:pt>
                      <c:pt idx="373" formatCode="&quot;€&quot;* #\ ##0.00;&quot;€&quot;* \-#\ ##0.00">
                        <c:v>180352.56</c:v>
                      </c:pt>
                      <c:pt idx="374" formatCode="&quot;€&quot;* #\ ##0.00;&quot;€&quot;* \-#\ ##0.00">
                        <c:v>180138.15</c:v>
                      </c:pt>
                      <c:pt idx="375" formatCode="&quot;€&quot;* #\ ##0.00;&quot;€&quot;* \-#\ ##0.00">
                        <c:v>180158.5</c:v>
                      </c:pt>
                      <c:pt idx="376" formatCode="&quot;€&quot;* #\ ##0.00;&quot;€&quot;* \-#\ ##0.00">
                        <c:v>180342.18</c:v>
                      </c:pt>
                      <c:pt idx="377" formatCode="&quot;€&quot;* #\ ##0.00;&quot;€&quot;* \-#\ ##0.00">
                        <c:v>180599.04000000001</c:v>
                      </c:pt>
                      <c:pt idx="378" formatCode="&quot;€&quot;* #\ ##0.00;&quot;€&quot;* \-#\ ##0.00">
                        <c:v>180657.92000000001</c:v>
                      </c:pt>
                      <c:pt idx="379" formatCode="&quot;€&quot;* #\ ##0.00;&quot;€&quot;* \-#\ ##0.00">
                        <c:v>180716.92</c:v>
                      </c:pt>
                      <c:pt idx="380" formatCode="&quot;€&quot;* #\ ##0.00;&quot;€&quot;* \-#\ ##0.00">
                        <c:v>180658.97</c:v>
                      </c:pt>
                      <c:pt idx="381" formatCode="&quot;€&quot;* #\ ##0.00;&quot;€&quot;* \-#\ ##0.00">
                        <c:v>180609.06</c:v>
                      </c:pt>
                      <c:pt idx="382" formatCode="&quot;€&quot;* #\ ##0.00;&quot;€&quot;* \-#\ ##0.00">
                        <c:v>180492.49</c:v>
                      </c:pt>
                      <c:pt idx="383" formatCode="&quot;€&quot;* #\ ##0.00;&quot;€&quot;* \-#\ ##0.00">
                        <c:v>180375.94</c:v>
                      </c:pt>
                      <c:pt idx="384" formatCode="&quot;€&quot;* #\ ##0.00;&quot;€&quot;* \-#\ ##0.00">
                        <c:v>180195.47</c:v>
                      </c:pt>
                      <c:pt idx="385" formatCode="&quot;€&quot;* #\ ##0.00;&quot;€&quot;* \-#\ ##0.00">
                        <c:v>180305.3</c:v>
                      </c:pt>
                      <c:pt idx="386" formatCode="&quot;€&quot;* #\ ##0.00;&quot;€&quot;* \-#\ ##0.00">
                        <c:v>180247.97</c:v>
                      </c:pt>
                      <c:pt idx="387" formatCode="&quot;€&quot;* #\ ##0.00;&quot;€&quot;* \-#\ ##0.00">
                        <c:v>180258.24</c:v>
                      </c:pt>
                      <c:pt idx="388" formatCode="&quot;€&quot;* #\ ##0.00;&quot;€&quot;* \-#\ ##0.00">
                        <c:v>180350.26</c:v>
                      </c:pt>
                      <c:pt idx="389" formatCode="&quot;€&quot;* #\ ##0.00;&quot;€&quot;* \-#\ ##0.00">
                        <c:v>180557.9</c:v>
                      </c:pt>
                      <c:pt idx="390" formatCode="&quot;€&quot;* #\ ##0.00;&quot;€&quot;* \-#\ ##0.00">
                        <c:v>180932.71</c:v>
                      </c:pt>
                      <c:pt idx="391" formatCode="&quot;€&quot;* #\ ##0.00;&quot;€&quot;* \-#\ ##0.00">
                        <c:v>181063.79</c:v>
                      </c:pt>
                      <c:pt idx="392" formatCode="&quot;€&quot;* #\ ##0.00;&quot;€&quot;* \-#\ ##0.00">
                        <c:v>181102.94</c:v>
                      </c:pt>
                      <c:pt idx="393" formatCode="&quot;€&quot;* #\ ##0.00;&quot;€&quot;* \-#\ ##0.00">
                        <c:v>181076.05</c:v>
                      </c:pt>
                      <c:pt idx="394" formatCode="&quot;€&quot;* #\ ##0.00;&quot;€&quot;* \-#\ ##0.00">
                        <c:v>181292.91</c:v>
                      </c:pt>
                      <c:pt idx="395" formatCode="&quot;€&quot;* #\ ##0.00;&quot;€&quot;* \-#\ ##0.00">
                        <c:v>181040.92</c:v>
                      </c:pt>
                      <c:pt idx="396" formatCode="&quot;€&quot;* #\ ##0.00;&quot;€&quot;* \-#\ ##0.00">
                        <c:v>180788.93</c:v>
                      </c:pt>
                      <c:pt idx="397" formatCode="&quot;€&quot;* #\ ##0.00;&quot;€&quot;* \-#\ ##0.00">
                        <c:v>180917.78</c:v>
                      </c:pt>
                      <c:pt idx="398" formatCode="&quot;€&quot;* #\ ##0.00;&quot;€&quot;* \-#\ ##0.00">
                        <c:v>181213.57</c:v>
                      </c:pt>
                      <c:pt idx="399" formatCode="&quot;€&quot;* #\ ##0.00;&quot;€&quot;* \-#\ ##0.00">
                        <c:v>181317.03</c:v>
                      </c:pt>
                      <c:pt idx="400" formatCode="&quot;€&quot;* #\ ##0.00;&quot;€&quot;* \-#\ ##0.00">
                        <c:v>181420.46</c:v>
                      </c:pt>
                      <c:pt idx="401" formatCode="&quot;€&quot;* #\ ##0.00;&quot;€&quot;* \-#\ ##0.00">
                        <c:v>181134.31</c:v>
                      </c:pt>
                      <c:pt idx="402" formatCode="&quot;€&quot;* #\ ##0.00;&quot;€&quot;* \-#\ ##0.00">
                        <c:v>180848.15</c:v>
                      </c:pt>
                      <c:pt idx="403" formatCode="&quot;€&quot;* #\ ##0.00;&quot;€&quot;* \-#\ ##0.00">
                        <c:v>180797.47</c:v>
                      </c:pt>
                      <c:pt idx="404" formatCode="&quot;€&quot;* #\ ##0.00;&quot;€&quot;* \-#\ ##0.00">
                        <c:v>180626.89</c:v>
                      </c:pt>
                      <c:pt idx="405" formatCode="&quot;€&quot;* #\ ##0.00;&quot;€&quot;* \-#\ ##0.00">
                        <c:v>180611.97</c:v>
                      </c:pt>
                      <c:pt idx="406" formatCode="&quot;€&quot;* #\ ##0.00;&quot;€&quot;* \-#\ ##0.00">
                        <c:v>180443.78</c:v>
                      </c:pt>
                      <c:pt idx="407" formatCode="&quot;€&quot;* #\ ##0.00;&quot;€&quot;* \-#\ ##0.00">
                        <c:v>180329.66</c:v>
                      </c:pt>
                      <c:pt idx="408" formatCode="&quot;€&quot;* #\ ##0.00;&quot;€&quot;* \-#\ ##0.00">
                        <c:v>180159.8</c:v>
                      </c:pt>
                      <c:pt idx="409" formatCode="&quot;€&quot;* #\ ##0.00;&quot;€&quot;* \-#\ ##0.00">
                        <c:v>180221.14</c:v>
                      </c:pt>
                      <c:pt idx="410" formatCode="&quot;€&quot;* #\ ##0.00;&quot;€&quot;* \-#\ ##0.00">
                        <c:v>180282.46</c:v>
                      </c:pt>
                      <c:pt idx="411" formatCode="&quot;€&quot;* #\ ##0.00;&quot;€&quot;* \-#\ ##0.00">
                        <c:v>180545.2</c:v>
                      </c:pt>
                      <c:pt idx="412" formatCode="&quot;€&quot;* #\ ##0.00;&quot;€&quot;* \-#\ ##0.00">
                        <c:v>180342.72</c:v>
                      </c:pt>
                      <c:pt idx="413" formatCode="&quot;€&quot;* #\ ##0.00;&quot;€&quot;* \-#\ ##0.00">
                        <c:v>180528.98</c:v>
                      </c:pt>
                      <c:pt idx="414" formatCode="&quot;€&quot;* #\ ##0.00;&quot;€&quot;* \-#\ ##0.00">
                        <c:v>180588.92</c:v>
                      </c:pt>
                      <c:pt idx="415" formatCode="&quot;€&quot;* #\ ##0.00;&quot;€&quot;* \-#\ ##0.00">
                        <c:v>180460.44</c:v>
                      </c:pt>
                      <c:pt idx="416" formatCode="&quot;€&quot;* #\ ##0.00;&quot;€&quot;* \-#\ ##0.00">
                        <c:v>180646.36</c:v>
                      </c:pt>
                      <c:pt idx="417" formatCode="&quot;€&quot;* #\ ##0.00;&quot;€&quot;* \-#\ ##0.00">
                        <c:v>180743.15</c:v>
                      </c:pt>
                      <c:pt idx="418" formatCode="&quot;€&quot;* #\ ##0.00;&quot;€&quot;* \-#\ ##0.00">
                        <c:v>180423.14</c:v>
                      </c:pt>
                      <c:pt idx="419" formatCode="&quot;€&quot;* #\ ##0.00;&quot;€&quot;* \-#\ ##0.00">
                        <c:v>180103.12</c:v>
                      </c:pt>
                      <c:pt idx="420" formatCode="&quot;€&quot;* #\ ##0.00;&quot;€&quot;* \-#\ ##0.00">
                        <c:v>179727.81</c:v>
                      </c:pt>
                      <c:pt idx="421" formatCode="&quot;€&quot;* #\ ##0.00;&quot;€&quot;* \-#\ ##0.00">
                        <c:v>179352.49</c:v>
                      </c:pt>
                      <c:pt idx="422" formatCode="&quot;€&quot;* #\ ##0.00;&quot;€&quot;* \-#\ ##0.00">
                        <c:v>178977.18</c:v>
                      </c:pt>
                      <c:pt idx="423" formatCode="&quot;€&quot;* #\ ##0.00;&quot;€&quot;* \-#\ ##0.00">
                        <c:v>178658.22</c:v>
                      </c:pt>
                      <c:pt idx="424" formatCode="&quot;€&quot;* #\ ##0.00;&quot;€&quot;* \-#\ ##0.00">
                        <c:v>178397.68</c:v>
                      </c:pt>
                      <c:pt idx="425" formatCode="&quot;€&quot;* #\ ##0.00;&quot;€&quot;* \-#\ ##0.00">
                        <c:v>178137.15</c:v>
                      </c:pt>
                      <c:pt idx="426" formatCode="&quot;€&quot;* #\ ##0.00;&quot;€&quot;* \-#\ ##0.00">
                        <c:v>177876.61</c:v>
                      </c:pt>
                      <c:pt idx="427" formatCode="&quot;€&quot;* #\ ##0.00;&quot;€&quot;* \-#\ ##0.00">
                        <c:v>177696.23</c:v>
                      </c:pt>
                      <c:pt idx="428" formatCode="&quot;€&quot;* #\ ##0.00;&quot;€&quot;* \-#\ ##0.00">
                        <c:v>177700.68</c:v>
                      </c:pt>
                      <c:pt idx="429" formatCode="&quot;€&quot;* #\ ##0.00;&quot;€&quot;* \-#\ ##0.00">
                        <c:v>177475.51</c:v>
                      </c:pt>
                      <c:pt idx="430" formatCode="&quot;€&quot;* #\ ##0.00;&quot;€&quot;* \-#\ ##0.00">
                        <c:v>177232.62</c:v>
                      </c:pt>
                      <c:pt idx="431" formatCode="&quot;€&quot;* #\ ##0.00;&quot;€&quot;* \-#\ ##0.00">
                        <c:v>176973.34</c:v>
                      </c:pt>
                      <c:pt idx="432" formatCode="&quot;€&quot;* #\ ##0.00;&quot;€&quot;* \-#\ ##0.00">
                        <c:v>176943.67</c:v>
                      </c:pt>
                      <c:pt idx="433" formatCode="&quot;€&quot;* #\ ##0.00;&quot;€&quot;* \-#\ ##0.00">
                        <c:v>176755.1</c:v>
                      </c:pt>
                      <c:pt idx="434" formatCode="&quot;€&quot;* #\ ##0.00;&quot;€&quot;* \-#\ ##0.00">
                        <c:v>176568.28</c:v>
                      </c:pt>
                      <c:pt idx="435" formatCode="&quot;€&quot;* #\ ##0.00;&quot;€&quot;* \-#\ ##0.00">
                        <c:v>176381.46</c:v>
                      </c:pt>
                      <c:pt idx="436" formatCode="&quot;€&quot;* #\ ##0.00;&quot;€&quot;* \-#\ ##0.00">
                        <c:v>176194.64</c:v>
                      </c:pt>
                      <c:pt idx="437" formatCode="&quot;€&quot;* #\ ##0.00;&quot;€&quot;* \-#\ ##0.00">
                        <c:v>175815.69</c:v>
                      </c:pt>
                      <c:pt idx="438" formatCode="&quot;€&quot;* #\ ##0.00;&quot;€&quot;* \-#\ ##0.00">
                        <c:v>175670.69</c:v>
                      </c:pt>
                      <c:pt idx="439" formatCode="&quot;€&quot;* #\ ##0.00;&quot;€&quot;* \-#\ ##0.00">
                        <c:v>175525.68</c:v>
                      </c:pt>
                      <c:pt idx="440" formatCode="&quot;€&quot;* #\ ##0.00;&quot;€&quot;* \-#\ ##0.00">
                        <c:v>175490.59</c:v>
                      </c:pt>
                      <c:pt idx="441" formatCode="&quot;€&quot;* #\ ##0.00;&quot;€&quot;* \-#\ ##0.00">
                        <c:v>175237.31</c:v>
                      </c:pt>
                      <c:pt idx="442" formatCode="&quot;€&quot;* #\ ##0.00;&quot;€&quot;* \-#\ ##0.00">
                        <c:v>174750.09</c:v>
                      </c:pt>
                      <c:pt idx="443" formatCode="&quot;€&quot;* #\ ##0.00;&quot;€&quot;* \-#\ ##0.00">
                        <c:v>174273.84</c:v>
                      </c:pt>
                      <c:pt idx="444" formatCode="&quot;€&quot;* #\ ##0.00;&quot;€&quot;* \-#\ ##0.00">
                        <c:v>173783.01</c:v>
                      </c:pt>
                      <c:pt idx="445" formatCode="&quot;€&quot;* #\ ##0.00;&quot;€&quot;* \-#\ ##0.00">
                        <c:v>173292.18</c:v>
                      </c:pt>
                      <c:pt idx="446" formatCode="&quot;€&quot;* #\ ##0.00;&quot;€&quot;* \-#\ ##0.00">
                        <c:v>173049.94</c:v>
                      </c:pt>
                      <c:pt idx="447" formatCode="&quot;€&quot;* #\ ##0.00;&quot;€&quot;* \-#\ ##0.00">
                        <c:v>172921.84</c:v>
                      </c:pt>
                      <c:pt idx="448" formatCode="&quot;€&quot;* #\ ##0.00;&quot;€&quot;* \-#\ ##0.00">
                        <c:v>172792.71</c:v>
                      </c:pt>
                      <c:pt idx="449" formatCode="&quot;€&quot;* #\ ##0.00;&quot;€&quot;* \-#\ ##0.00">
                        <c:v>172663.59</c:v>
                      </c:pt>
                      <c:pt idx="450" formatCode="&quot;€&quot;* #\ ##0.00;&quot;€&quot;* \-#\ ##0.00">
                        <c:v>172493.25</c:v>
                      </c:pt>
                      <c:pt idx="451" formatCode="&quot;€&quot;* #\ ##0.00;&quot;€&quot;* \-#\ ##0.00">
                        <c:v>172266.47</c:v>
                      </c:pt>
                      <c:pt idx="452" formatCode="&quot;€&quot;* #\ ##0.00;&quot;€&quot;* \-#\ ##0.00">
                        <c:v>172029.93</c:v>
                      </c:pt>
                      <c:pt idx="453" formatCode="&quot;€&quot;* #\ ##0.00;&quot;€&quot;* \-#\ ##0.00">
                        <c:v>171793.39</c:v>
                      </c:pt>
                      <c:pt idx="454" formatCode="&quot;€&quot;* #\ ##0.00;&quot;€&quot;* \-#\ ##0.00">
                        <c:v>171556.85</c:v>
                      </c:pt>
                      <c:pt idx="455" formatCode="&quot;€&quot;* #\ ##0.00;&quot;€&quot;* \-#\ ##0.00">
                        <c:v>171206.17</c:v>
                      </c:pt>
                      <c:pt idx="456" formatCode="&quot;€&quot;* #\ ##0.00;&quot;€&quot;* \-#\ ##0.00">
                        <c:v>171283.98</c:v>
                      </c:pt>
                      <c:pt idx="457" formatCode="&quot;€&quot;* #\ ##0.00;&quot;€&quot;* \-#\ ##0.00">
                        <c:v>170974.88</c:v>
                      </c:pt>
                      <c:pt idx="458" formatCode="&quot;€&quot;* #\ ##0.00;&quot;€&quot;* \-#\ ##0.00">
                        <c:v>170754.33</c:v>
                      </c:pt>
                      <c:pt idx="459" formatCode="&quot;€&quot;* #\ ##0.00;&quot;€&quot;* \-#\ ##0.00">
                        <c:v>170767.88</c:v>
                      </c:pt>
                      <c:pt idx="460" formatCode="&quot;€&quot;* #\ ##0.00;&quot;€&quot;* \-#\ ##0.00">
                        <c:v>171066.26</c:v>
                      </c:pt>
                      <c:pt idx="461" formatCode="&quot;€&quot;* #\ ##0.00;&quot;€&quot;* \-#\ ##0.00">
                        <c:v>171343.56</c:v>
                      </c:pt>
                      <c:pt idx="462" formatCode="&quot;€&quot;* #\ ##0.00;&quot;€&quot;* \-#\ ##0.00">
                        <c:v>171620.85</c:v>
                      </c:pt>
                      <c:pt idx="463" formatCode="&quot;€&quot;* #\ ##0.00;&quot;€&quot;* \-#\ ##0.00">
                        <c:v>171651.65</c:v>
                      </c:pt>
                      <c:pt idx="464" formatCode="&quot;€&quot;* #\ ##0.00;&quot;€&quot;* \-#\ ##0.00">
                        <c:v>171864.01</c:v>
                      </c:pt>
                      <c:pt idx="465" formatCode="&quot;€&quot;* #\ ##0.00;&quot;€&quot;* \-#\ ##0.00">
                        <c:v>171638.86</c:v>
                      </c:pt>
                      <c:pt idx="466" formatCode="&quot;€&quot;* #\ ##0.00;&quot;€&quot;* \-#\ ##0.00">
                        <c:v>171541.33</c:v>
                      </c:pt>
                      <c:pt idx="467" formatCode="&quot;€&quot;* #\ ##0.00;&quot;€&quot;* \-#\ ##0.00">
                        <c:v>171320.98</c:v>
                      </c:pt>
                      <c:pt idx="468" formatCode="&quot;€&quot;* #\ ##0.00;&quot;€&quot;* \-#\ ##0.00">
                        <c:v>171406.11</c:v>
                      </c:pt>
                      <c:pt idx="469" formatCode="&quot;€&quot;* #\ ##0.00;&quot;€&quot;* \-#\ ##0.00">
                        <c:v>171344.99</c:v>
                      </c:pt>
                      <c:pt idx="470" formatCode="&quot;€&quot;* #\ ##0.00;&quot;€&quot;* \-#\ ##0.00">
                        <c:v>171316.92</c:v>
                      </c:pt>
                      <c:pt idx="471" formatCode="&quot;€&quot;* #\ ##0.00;&quot;€&quot;* \-#\ ##0.00">
                        <c:v>171283.95</c:v>
                      </c:pt>
                      <c:pt idx="472" formatCode="&quot;€&quot;* #\ ##0.00;&quot;€&quot;* \-#\ ##0.00">
                        <c:v>171282.12</c:v>
                      </c:pt>
                      <c:pt idx="473" formatCode="&quot;€&quot;* #\ ##0.00;&quot;€&quot;* \-#\ ##0.00">
                        <c:v>171184.18</c:v>
                      </c:pt>
                      <c:pt idx="474" formatCode="&quot;€&quot;* #\ ##0.00;&quot;€&quot;* \-#\ ##0.00">
                        <c:v>171099.13</c:v>
                      </c:pt>
                      <c:pt idx="475" formatCode="&quot;€&quot;* #\ ##0.00;&quot;€&quot;* \-#\ ##0.00">
                        <c:v>171031.72</c:v>
                      </c:pt>
                      <c:pt idx="476" formatCode="&quot;€&quot;* #\ ##0.00;&quot;€&quot;* \-#\ ##0.00">
                        <c:v>170964.31</c:v>
                      </c:pt>
                      <c:pt idx="477" formatCode="&quot;€&quot;* #\ ##0.00;&quot;€&quot;* \-#\ ##0.00">
                        <c:v>171039.09</c:v>
                      </c:pt>
                      <c:pt idx="478" formatCode="&quot;€&quot;* #\ ##0.00;&quot;€&quot;* \-#\ ##0.00">
                        <c:v>170836.45</c:v>
                      </c:pt>
                      <c:pt idx="479" formatCode="&quot;€&quot;* #\ ##0.00;&quot;€&quot;* \-#\ ##0.00">
                        <c:v>170632.95</c:v>
                      </c:pt>
                      <c:pt idx="480" formatCode="&quot;€&quot;* #\ ##0.00;&quot;€&quot;* \-#\ ##0.00">
                        <c:v>170470.92</c:v>
                      </c:pt>
                      <c:pt idx="481" formatCode="&quot;€&quot;* #\ ##0.00;&quot;€&quot;* \-#\ ##0.00">
                        <c:v>170308.9</c:v>
                      </c:pt>
                      <c:pt idx="482" formatCode="&quot;€&quot;* #\ ##0.00;&quot;€&quot;* \-#\ ##0.00">
                        <c:v>170271.99</c:v>
                      </c:pt>
                      <c:pt idx="483" formatCode="&quot;€&quot;* #\ ##0.00;&quot;€&quot;* \-#\ ##0.00">
                        <c:v>170235.07</c:v>
                      </c:pt>
                      <c:pt idx="484" formatCode="&quot;€&quot;* #\ ##0.00;&quot;€&quot;* \-#\ ##0.00">
                        <c:v>170125.05</c:v>
                      </c:pt>
                      <c:pt idx="485" formatCode="&quot;€&quot;* #\ ##0.00;&quot;€&quot;* \-#\ ##0.00">
                        <c:v>170015.03</c:v>
                      </c:pt>
                      <c:pt idx="486" formatCode="&quot;€&quot;* #\ ##0.00;&quot;€&quot;* \-#\ ##0.00">
                        <c:v>169671.27</c:v>
                      </c:pt>
                      <c:pt idx="487" formatCode="&quot;€&quot;* #\ ##0.00;&quot;€&quot;* \-#\ ##0.00">
                        <c:v>169095.63</c:v>
                      </c:pt>
                      <c:pt idx="488" formatCode="&quot;€&quot;* #\ ##0.00;&quot;€&quot;* \-#\ ##0.00">
                        <c:v>168915.77</c:v>
                      </c:pt>
                    </c:numCache>
                  </c:numRef>
                </c:val>
                <c:smooth val="0"/>
                <c:extLst xmlns:c15="http://schemas.microsoft.com/office/drawing/2012/char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5-4AA0-45C4-827A-38317B3E1C33}"/>
                  </c:ext>
                </c:extLst>
              </c15:ser>
            </c15:filteredLineSeries>
          </c:ext>
        </c:extLst>
      </c:lineChart>
      <c:dateAx>
        <c:axId val="1418891919"/>
        <c:scaling>
          <c:orientation val="minMax"/>
          <c:min val="45597"/>
        </c:scaling>
        <c:delete val="0"/>
        <c:axPos val="b"/>
        <c:numFmt formatCode="[$-40C]mm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8893359"/>
        <c:crosses val="autoZero"/>
        <c:auto val="0"/>
        <c:lblOffset val="100"/>
        <c:baseTimeUnit val="days"/>
        <c:majorUnit val="1"/>
        <c:majorTimeUnit val="months"/>
      </c:dateAx>
      <c:valAx>
        <c:axId val="1418893359"/>
        <c:scaling>
          <c:orientation val="minMax"/>
          <c:max val="128000"/>
          <c:min val="1100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a:t>
                </a:r>
              </a:p>
            </c:rich>
          </c:tx>
          <c:overlay val="0"/>
          <c:spPr>
            <a:noFill/>
            <a:ln>
              <a:noFill/>
            </a:ln>
            <a:effectLst/>
          </c:spPr>
        </c:title>
        <c:numFmt formatCode="&quot;€&quot;#,##0_);\(&quot;€&quot;#,##0\)" sourceLinked="0"/>
        <c:majorTickMark val="in"/>
        <c:minorTickMark val="none"/>
        <c:tickLblPos val="nextTo"/>
        <c:spPr>
          <a:pattFill prst="dotGrid">
            <a:fgClr>
              <a:schemeClr val="tx1">
                <a:lumMod val="65000"/>
                <a:lumOff val="35000"/>
              </a:schemeClr>
            </a:fgClr>
            <a:bgClr>
              <a:schemeClr val="bg1"/>
            </a:bgClr>
          </a:patt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8891919"/>
        <c:crosses val="autoZero"/>
        <c:crossBetween val="between"/>
      </c:valAx>
      <c:spPr>
        <a:pattFill prst="ltUpDiag">
          <a:fgClr>
            <a:schemeClr val="tx1">
              <a:lumMod val="65000"/>
              <a:lumOff val="35000"/>
            </a:schemeClr>
          </a:fgClr>
          <a:bgClr>
            <a:schemeClr val="bg1"/>
          </a:bgClr>
        </a:pattFill>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chart>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Stock Lofts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3"/>
          <c:order val="2"/>
          <c:tx>
            <c:strRef>
              <c:f>Accueil!$S$3</c:f>
              <c:strCache>
                <c:ptCount val="1"/>
                <c:pt idx="0">
                  <c:v>N-1</c:v>
                </c:pt>
              </c:strCache>
            </c:strRef>
          </c:tx>
          <c:spPr>
            <a:ln w="3175" cap="rnd">
              <a:solidFill>
                <a:schemeClr val="accent4"/>
              </a:solidFill>
              <a:prstDash val="sysDash"/>
              <a:round/>
            </a:ln>
            <a:effectLst/>
          </c:spPr>
          <c:marker>
            <c:symbol val="none"/>
          </c:marker>
          <c:cat>
            <c:numRef>
              <c:extLst>
                <c:ext xmlns:c15="http://schemas.microsoft.com/office/drawing/2012/chart" uri="{02D57815-91ED-43cb-92C2-25804820EDAC}">
                  <c15:fullRef>
                    <c15:sqref>Accueil!$O$4:$O$492</c15:sqref>
                  </c15:fullRef>
                </c:ext>
              </c:extLst>
              <c:f>(Accueil!$O$4:$O$397,Accueil!$O$400:$O$402,Accueil!$O$404:$O$406,Accueil!$O$408:$O$410,Accueil!$O$412:$O$414,Accueil!$O$416,Accueil!$O$418,Accueil!$O$420,Accueil!$O$422,Accueil!$O$424,Accueil!$O$426,Accueil!$O$428:$O$429,Accueil!$O$431:$O$492)</c:f>
              <c:numCache>
                <c:formatCode>m/d/yyyy</c:formatCode>
                <c:ptCount val="476"/>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45611</c:v>
                </c:pt>
                <c:pt idx="395">
                  <c:v>45610</c:v>
                </c:pt>
                <c:pt idx="396">
                  <c:v>45609</c:v>
                </c:pt>
                <c:pt idx="397">
                  <c:v>45607</c:v>
                </c:pt>
                <c:pt idx="398">
                  <c:v>45606</c:v>
                </c:pt>
                <c:pt idx="399">
                  <c:v>45605</c:v>
                </c:pt>
                <c:pt idx="400">
                  <c:v>45603</c:v>
                </c:pt>
                <c:pt idx="401">
                  <c:v>45602</c:v>
                </c:pt>
                <c:pt idx="402">
                  <c:v>45601</c:v>
                </c:pt>
                <c:pt idx="403">
                  <c:v>45599</c:v>
                </c:pt>
                <c:pt idx="404">
                  <c:v>45598</c:v>
                </c:pt>
                <c:pt idx="405">
                  <c:v>45597</c:v>
                </c:pt>
                <c:pt idx="406">
                  <c:v>45593</c:v>
                </c:pt>
                <c:pt idx="407">
                  <c:v>45591</c:v>
                </c:pt>
                <c:pt idx="408">
                  <c:v>45589</c:v>
                </c:pt>
                <c:pt idx="409">
                  <c:v>45587</c:v>
                </c:pt>
                <c:pt idx="410">
                  <c:v>45585</c:v>
                </c:pt>
                <c:pt idx="411">
                  <c:v>45583</c:v>
                </c:pt>
                <c:pt idx="412">
                  <c:v>45581</c:v>
                </c:pt>
                <c:pt idx="413">
                  <c:v>45580</c:v>
                </c:pt>
                <c:pt idx="414">
                  <c:v>45578</c:v>
                </c:pt>
                <c:pt idx="415">
                  <c:v>45577</c:v>
                </c:pt>
                <c:pt idx="416">
                  <c:v>45576</c:v>
                </c:pt>
                <c:pt idx="417">
                  <c:v>45575</c:v>
                </c:pt>
                <c:pt idx="418">
                  <c:v>45574</c:v>
                </c:pt>
                <c:pt idx="419">
                  <c:v>45573</c:v>
                </c:pt>
                <c:pt idx="420">
                  <c:v>45572</c:v>
                </c:pt>
                <c:pt idx="421">
                  <c:v>45571</c:v>
                </c:pt>
                <c:pt idx="422">
                  <c:v>45570</c:v>
                </c:pt>
                <c:pt idx="423">
                  <c:v>45569</c:v>
                </c:pt>
                <c:pt idx="424">
                  <c:v>45568</c:v>
                </c:pt>
                <c:pt idx="425">
                  <c:v>45567</c:v>
                </c:pt>
                <c:pt idx="426">
                  <c:v>45566</c:v>
                </c:pt>
                <c:pt idx="427">
                  <c:v>45565</c:v>
                </c:pt>
                <c:pt idx="428">
                  <c:v>45564</c:v>
                </c:pt>
                <c:pt idx="429">
                  <c:v>45563</c:v>
                </c:pt>
                <c:pt idx="430">
                  <c:v>45562</c:v>
                </c:pt>
                <c:pt idx="431">
                  <c:v>45561</c:v>
                </c:pt>
                <c:pt idx="432">
                  <c:v>45560</c:v>
                </c:pt>
                <c:pt idx="433">
                  <c:v>45559</c:v>
                </c:pt>
                <c:pt idx="434">
                  <c:v>45558</c:v>
                </c:pt>
                <c:pt idx="435">
                  <c:v>45557</c:v>
                </c:pt>
                <c:pt idx="436">
                  <c:v>45556</c:v>
                </c:pt>
                <c:pt idx="437">
                  <c:v>45555</c:v>
                </c:pt>
                <c:pt idx="438">
                  <c:v>45554</c:v>
                </c:pt>
                <c:pt idx="439">
                  <c:v>45553</c:v>
                </c:pt>
                <c:pt idx="440">
                  <c:v>45552</c:v>
                </c:pt>
                <c:pt idx="441">
                  <c:v>45551</c:v>
                </c:pt>
                <c:pt idx="442">
                  <c:v>45550</c:v>
                </c:pt>
                <c:pt idx="443">
                  <c:v>45549</c:v>
                </c:pt>
                <c:pt idx="444">
                  <c:v>45548</c:v>
                </c:pt>
                <c:pt idx="445">
                  <c:v>45547</c:v>
                </c:pt>
                <c:pt idx="446">
                  <c:v>45546</c:v>
                </c:pt>
                <c:pt idx="447">
                  <c:v>45545</c:v>
                </c:pt>
                <c:pt idx="448">
                  <c:v>45544</c:v>
                </c:pt>
                <c:pt idx="449">
                  <c:v>45543</c:v>
                </c:pt>
                <c:pt idx="450">
                  <c:v>45542</c:v>
                </c:pt>
                <c:pt idx="451">
                  <c:v>45541</c:v>
                </c:pt>
                <c:pt idx="452">
                  <c:v>45540</c:v>
                </c:pt>
                <c:pt idx="453">
                  <c:v>45539</c:v>
                </c:pt>
                <c:pt idx="454">
                  <c:v>45538</c:v>
                </c:pt>
                <c:pt idx="455">
                  <c:v>45537</c:v>
                </c:pt>
                <c:pt idx="456">
                  <c:v>45536</c:v>
                </c:pt>
                <c:pt idx="457">
                  <c:v>45535</c:v>
                </c:pt>
                <c:pt idx="458">
                  <c:v>45534</c:v>
                </c:pt>
                <c:pt idx="459">
                  <c:v>45533</c:v>
                </c:pt>
                <c:pt idx="460">
                  <c:v>45532</c:v>
                </c:pt>
                <c:pt idx="461">
                  <c:v>45531</c:v>
                </c:pt>
                <c:pt idx="462">
                  <c:v>45530</c:v>
                </c:pt>
                <c:pt idx="463">
                  <c:v>45529</c:v>
                </c:pt>
                <c:pt idx="464">
                  <c:v>45528</c:v>
                </c:pt>
                <c:pt idx="465">
                  <c:v>45527</c:v>
                </c:pt>
                <c:pt idx="466">
                  <c:v>45526</c:v>
                </c:pt>
                <c:pt idx="467">
                  <c:v>45525</c:v>
                </c:pt>
                <c:pt idx="468">
                  <c:v>45524</c:v>
                </c:pt>
                <c:pt idx="469">
                  <c:v>45523</c:v>
                </c:pt>
                <c:pt idx="470">
                  <c:v>45522</c:v>
                </c:pt>
                <c:pt idx="471">
                  <c:v>45521</c:v>
                </c:pt>
                <c:pt idx="472">
                  <c:v>45520</c:v>
                </c:pt>
                <c:pt idx="473">
                  <c:v>45519</c:v>
                </c:pt>
                <c:pt idx="474">
                  <c:v>45516</c:v>
                </c:pt>
                <c:pt idx="475">
                  <c:v>45515</c:v>
                </c:pt>
              </c:numCache>
            </c:numRef>
          </c:cat>
          <c:val>
            <c:numRef>
              <c:extLst>
                <c:ext xmlns:c15="http://schemas.microsoft.com/office/drawing/2012/chart" uri="{02D57815-91ED-43cb-92C2-25804820EDAC}">
                  <c15:fullRef>
                    <c15:sqref>Accueil!$S$4:$S$492</c15:sqref>
                  </c15:fullRef>
                </c:ext>
              </c:extLst>
              <c:f>(Accueil!$S$4:$S$397,Accueil!$S$400:$S$402,Accueil!$S$404:$S$406,Accueil!$S$408:$S$410,Accueil!$S$412:$S$414,Accueil!$S$416,Accueil!$S$418,Accueil!$S$420,Accueil!$S$422,Accueil!$S$424,Accueil!$S$426,Accueil!$S$428:$S$429,Accueil!$S$431:$S$492)</c:f>
              <c:numCache>
                <c:formatCode>_("€"* #\ ##0.00_);_("€"* \(#\ ##0.00\);_("€"* "-"??_);_(@_)</c:formatCode>
                <c:ptCount val="476"/>
                <c:pt idx="0">
                  <c:v>46570.05</c:v>
                </c:pt>
                <c:pt idx="1">
                  <c:v>46570.05</c:v>
                </c:pt>
                <c:pt idx="2">
                  <c:v>45876.73</c:v>
                </c:pt>
                <c:pt idx="3">
                  <c:v>45876.73</c:v>
                </c:pt>
                <c:pt idx="4">
                  <c:v>45876.73</c:v>
                </c:pt>
                <c:pt idx="5">
                  <c:v>46873.35</c:v>
                </c:pt>
                <c:pt idx="6">
                  <c:v>47102.21</c:v>
                </c:pt>
                <c:pt idx="7">
                  <c:v>47516.11</c:v>
                </c:pt>
                <c:pt idx="8">
                  <c:v>46883.31</c:v>
                </c:pt>
                <c:pt idx="9">
                  <c:v>42220.42</c:v>
                </c:pt>
                <c:pt idx="10">
                  <c:v>43301.85</c:v>
                </c:pt>
                <c:pt idx="11">
                  <c:v>42305.23</c:v>
                </c:pt>
                <c:pt idx="12">
                  <c:v>42305.23</c:v>
                </c:pt>
                <c:pt idx="13">
                  <c:v>42580.51</c:v>
                </c:pt>
                <c:pt idx="14">
                  <c:v>42082.68</c:v>
                </c:pt>
                <c:pt idx="15">
                  <c:v>40726.21</c:v>
                </c:pt>
                <c:pt idx="16">
                  <c:v>40726.21</c:v>
                </c:pt>
                <c:pt idx="17">
                  <c:v>38630.49</c:v>
                </c:pt>
                <c:pt idx="18">
                  <c:v>39240.33</c:v>
                </c:pt>
                <c:pt idx="19">
                  <c:v>39240.33</c:v>
                </c:pt>
                <c:pt idx="20">
                  <c:v>41163.81</c:v>
                </c:pt>
                <c:pt idx="21">
                  <c:v>41389.89</c:v>
                </c:pt>
                <c:pt idx="22">
                  <c:v>41389.89</c:v>
                </c:pt>
                <c:pt idx="23">
                  <c:v>41389.89</c:v>
                </c:pt>
                <c:pt idx="24">
                  <c:v>40410.870000000003</c:v>
                </c:pt>
                <c:pt idx="25">
                  <c:v>40066.71</c:v>
                </c:pt>
                <c:pt idx="26">
                  <c:v>40066.71</c:v>
                </c:pt>
                <c:pt idx="27">
                  <c:v>39331.83</c:v>
                </c:pt>
                <c:pt idx="28">
                  <c:v>40681.71</c:v>
                </c:pt>
                <c:pt idx="29">
                  <c:v>40681.71</c:v>
                </c:pt>
                <c:pt idx="30">
                  <c:v>39768.5</c:v>
                </c:pt>
                <c:pt idx="31">
                  <c:v>39768.5</c:v>
                </c:pt>
                <c:pt idx="32">
                  <c:v>38837.46</c:v>
                </c:pt>
                <c:pt idx="33">
                  <c:v>38860.42</c:v>
                </c:pt>
                <c:pt idx="34">
                  <c:v>37571.550000000003</c:v>
                </c:pt>
                <c:pt idx="35">
                  <c:v>35782.080000000002</c:v>
                </c:pt>
                <c:pt idx="36">
                  <c:v>36681.22</c:v>
                </c:pt>
                <c:pt idx="37">
                  <c:v>35773.33</c:v>
                </c:pt>
                <c:pt idx="38">
                  <c:v>33691.33</c:v>
                </c:pt>
                <c:pt idx="39">
                  <c:v>31960.7</c:v>
                </c:pt>
                <c:pt idx="40">
                  <c:v>31791.85</c:v>
                </c:pt>
                <c:pt idx="41">
                  <c:v>31342.33</c:v>
                </c:pt>
                <c:pt idx="42">
                  <c:v>31342.33</c:v>
                </c:pt>
                <c:pt idx="43">
                  <c:v>31342.33</c:v>
                </c:pt>
                <c:pt idx="44">
                  <c:v>31342.33</c:v>
                </c:pt>
                <c:pt idx="45">
                  <c:v>31753.17</c:v>
                </c:pt>
                <c:pt idx="46">
                  <c:v>31753.17</c:v>
                </c:pt>
                <c:pt idx="47">
                  <c:v>31462.27</c:v>
                </c:pt>
                <c:pt idx="48">
                  <c:v>31462.27</c:v>
                </c:pt>
                <c:pt idx="49">
                  <c:v>30790.37</c:v>
                </c:pt>
                <c:pt idx="50">
                  <c:v>30323.85</c:v>
                </c:pt>
                <c:pt idx="51">
                  <c:v>30110.23</c:v>
                </c:pt>
                <c:pt idx="52">
                  <c:v>30762.54</c:v>
                </c:pt>
                <c:pt idx="53">
                  <c:v>30671.86</c:v>
                </c:pt>
                <c:pt idx="54">
                  <c:v>30671.86</c:v>
                </c:pt>
                <c:pt idx="55">
                  <c:v>31049.78</c:v>
                </c:pt>
                <c:pt idx="56">
                  <c:v>31049.78</c:v>
                </c:pt>
                <c:pt idx="57">
                  <c:v>31049.78</c:v>
                </c:pt>
                <c:pt idx="58">
                  <c:v>29386.560000000001</c:v>
                </c:pt>
                <c:pt idx="59">
                  <c:v>30922.53</c:v>
                </c:pt>
                <c:pt idx="60">
                  <c:v>30399.54</c:v>
                </c:pt>
                <c:pt idx="61">
                  <c:v>30028.31</c:v>
                </c:pt>
                <c:pt idx="62">
                  <c:v>29072.89</c:v>
                </c:pt>
                <c:pt idx="63">
                  <c:v>29072.89</c:v>
                </c:pt>
                <c:pt idx="64">
                  <c:v>27770.55</c:v>
                </c:pt>
                <c:pt idx="65">
                  <c:v>28304.27</c:v>
                </c:pt>
                <c:pt idx="66">
                  <c:v>28304.27</c:v>
                </c:pt>
                <c:pt idx="67">
                  <c:v>28304.27</c:v>
                </c:pt>
                <c:pt idx="68">
                  <c:v>30716.92</c:v>
                </c:pt>
                <c:pt idx="69">
                  <c:v>30216.78</c:v>
                </c:pt>
                <c:pt idx="70">
                  <c:v>29718.91</c:v>
                </c:pt>
                <c:pt idx="71">
                  <c:v>30119.97</c:v>
                </c:pt>
                <c:pt idx="72">
                  <c:v>29754.28</c:v>
                </c:pt>
                <c:pt idx="73">
                  <c:v>29754.28</c:v>
                </c:pt>
                <c:pt idx="74">
                  <c:v>29754.28</c:v>
                </c:pt>
                <c:pt idx="75">
                  <c:v>28024.62</c:v>
                </c:pt>
                <c:pt idx="76">
                  <c:v>27604.36</c:v>
                </c:pt>
                <c:pt idx="77">
                  <c:v>29027.07</c:v>
                </c:pt>
                <c:pt idx="79">
                  <c:v>29027.07</c:v>
                </c:pt>
                <c:pt idx="80">
                  <c:v>29027</c:v>
                </c:pt>
                <c:pt idx="81">
                  <c:v>28450.959999999999</c:v>
                </c:pt>
                <c:pt idx="82">
                  <c:v>29513.78</c:v>
                </c:pt>
                <c:pt idx="83">
                  <c:v>30182.44</c:v>
                </c:pt>
                <c:pt idx="84">
                  <c:v>29926.84</c:v>
                </c:pt>
                <c:pt idx="85">
                  <c:v>30201.53</c:v>
                </c:pt>
                <c:pt idx="86">
                  <c:v>30201.53</c:v>
                </c:pt>
                <c:pt idx="87">
                  <c:v>30142.01</c:v>
                </c:pt>
                <c:pt idx="88">
                  <c:v>30142.01</c:v>
                </c:pt>
                <c:pt idx="89">
                  <c:v>31059.45</c:v>
                </c:pt>
                <c:pt idx="90">
                  <c:v>31560.3</c:v>
                </c:pt>
                <c:pt idx="91">
                  <c:v>31560.3</c:v>
                </c:pt>
                <c:pt idx="92">
                  <c:v>31560.3</c:v>
                </c:pt>
                <c:pt idx="93">
                  <c:v>30602.11</c:v>
                </c:pt>
                <c:pt idx="94">
                  <c:v>30602.11</c:v>
                </c:pt>
                <c:pt idx="95">
                  <c:v>30602.11</c:v>
                </c:pt>
                <c:pt idx="96">
                  <c:v>31224.77</c:v>
                </c:pt>
                <c:pt idx="97">
                  <c:v>30222.61</c:v>
                </c:pt>
                <c:pt idx="98">
                  <c:v>31477.43</c:v>
                </c:pt>
                <c:pt idx="99">
                  <c:v>31477.43</c:v>
                </c:pt>
                <c:pt idx="100">
                  <c:v>31477.43</c:v>
                </c:pt>
                <c:pt idx="101">
                  <c:v>31401.29</c:v>
                </c:pt>
                <c:pt idx="102">
                  <c:v>32780.839999999997</c:v>
                </c:pt>
                <c:pt idx="103">
                  <c:v>32413.91</c:v>
                </c:pt>
                <c:pt idx="104">
                  <c:v>32413.91</c:v>
                </c:pt>
                <c:pt idx="105">
                  <c:v>33324.42</c:v>
                </c:pt>
                <c:pt idx="106">
                  <c:v>33703.370000000003</c:v>
                </c:pt>
                <c:pt idx="107">
                  <c:v>33910.54</c:v>
                </c:pt>
                <c:pt idx="108">
                  <c:v>32393.57</c:v>
                </c:pt>
                <c:pt idx="109">
                  <c:v>31476.13</c:v>
                </c:pt>
                <c:pt idx="110">
                  <c:v>30975.279999999999</c:v>
                </c:pt>
                <c:pt idx="111">
                  <c:v>29051.8</c:v>
                </c:pt>
                <c:pt idx="112">
                  <c:v>29051.8</c:v>
                </c:pt>
                <c:pt idx="113">
                  <c:v>31844.45</c:v>
                </c:pt>
                <c:pt idx="114">
                  <c:v>31844.45</c:v>
                </c:pt>
                <c:pt idx="115">
                  <c:v>31844.45</c:v>
                </c:pt>
                <c:pt idx="116">
                  <c:v>33172.93</c:v>
                </c:pt>
                <c:pt idx="117">
                  <c:v>33172.93</c:v>
                </c:pt>
                <c:pt idx="118">
                  <c:v>33684.53</c:v>
                </c:pt>
                <c:pt idx="119">
                  <c:v>33684.53</c:v>
                </c:pt>
                <c:pt idx="120">
                  <c:v>33994.42</c:v>
                </c:pt>
                <c:pt idx="121">
                  <c:v>33994.42</c:v>
                </c:pt>
                <c:pt idx="122">
                  <c:v>33405.230000000003</c:v>
                </c:pt>
                <c:pt idx="123">
                  <c:v>33405.230000000003</c:v>
                </c:pt>
                <c:pt idx="124">
                  <c:v>32560.89</c:v>
                </c:pt>
                <c:pt idx="125">
                  <c:v>32560.89</c:v>
                </c:pt>
                <c:pt idx="126">
                  <c:v>32560.89</c:v>
                </c:pt>
                <c:pt idx="127">
                  <c:v>32560.89</c:v>
                </c:pt>
                <c:pt idx="128">
                  <c:v>33673.26</c:v>
                </c:pt>
                <c:pt idx="129">
                  <c:v>35732.660000000003</c:v>
                </c:pt>
                <c:pt idx="130">
                  <c:v>35732.660000000003</c:v>
                </c:pt>
                <c:pt idx="131">
                  <c:v>36003.65</c:v>
                </c:pt>
                <c:pt idx="132">
                  <c:v>36813.35</c:v>
                </c:pt>
                <c:pt idx="133">
                  <c:v>36813.35</c:v>
                </c:pt>
                <c:pt idx="134">
                  <c:v>36813.35</c:v>
                </c:pt>
                <c:pt idx="135">
                  <c:v>37666.79</c:v>
                </c:pt>
                <c:pt idx="136">
                  <c:v>37550.160000000003</c:v>
                </c:pt>
                <c:pt idx="137">
                  <c:v>37550.160000000003</c:v>
                </c:pt>
                <c:pt idx="138">
                  <c:v>37549.599999999999</c:v>
                </c:pt>
                <c:pt idx="139">
                  <c:v>37926.25</c:v>
                </c:pt>
                <c:pt idx="140">
                  <c:v>36390.28</c:v>
                </c:pt>
                <c:pt idx="141">
                  <c:v>36390.28</c:v>
                </c:pt>
                <c:pt idx="142">
                  <c:v>36409.08</c:v>
                </c:pt>
                <c:pt idx="143">
                  <c:v>36477.730000000003</c:v>
                </c:pt>
                <c:pt idx="144">
                  <c:v>36477.730000000003</c:v>
                </c:pt>
                <c:pt idx="145">
                  <c:v>32264.19</c:v>
                </c:pt>
                <c:pt idx="146">
                  <c:v>32264.19</c:v>
                </c:pt>
                <c:pt idx="147">
                  <c:v>33688.32</c:v>
                </c:pt>
                <c:pt idx="148">
                  <c:v>34405.06</c:v>
                </c:pt>
                <c:pt idx="149">
                  <c:v>32598.04</c:v>
                </c:pt>
                <c:pt idx="150">
                  <c:v>32598.04</c:v>
                </c:pt>
                <c:pt idx="151">
                  <c:v>33345.339999999997</c:v>
                </c:pt>
                <c:pt idx="152">
                  <c:v>33345.339999999997</c:v>
                </c:pt>
                <c:pt idx="153">
                  <c:v>32834.300000000003</c:v>
                </c:pt>
                <c:pt idx="154">
                  <c:v>32834.300000000003</c:v>
                </c:pt>
                <c:pt idx="155">
                  <c:v>33595.769999999997</c:v>
                </c:pt>
                <c:pt idx="156">
                  <c:v>33595.769999999997</c:v>
                </c:pt>
                <c:pt idx="157">
                  <c:v>32857.519999999997</c:v>
                </c:pt>
                <c:pt idx="158">
                  <c:v>33296.25</c:v>
                </c:pt>
                <c:pt idx="159">
                  <c:v>33807.279999999999</c:v>
                </c:pt>
                <c:pt idx="160">
                  <c:v>33807.279999999999</c:v>
                </c:pt>
                <c:pt idx="161">
                  <c:v>33807.279999999999</c:v>
                </c:pt>
                <c:pt idx="162">
                  <c:v>33807.279999999999</c:v>
                </c:pt>
                <c:pt idx="163">
                  <c:v>34007.99</c:v>
                </c:pt>
                <c:pt idx="164">
                  <c:v>34007.99</c:v>
                </c:pt>
                <c:pt idx="165">
                  <c:v>34380.79</c:v>
                </c:pt>
                <c:pt idx="166">
                  <c:v>34806.21</c:v>
                </c:pt>
                <c:pt idx="167">
                  <c:v>34806.21</c:v>
                </c:pt>
                <c:pt idx="168">
                  <c:v>33933.69</c:v>
                </c:pt>
                <c:pt idx="169">
                  <c:v>33642.17</c:v>
                </c:pt>
                <c:pt idx="170">
                  <c:v>33642.17</c:v>
                </c:pt>
                <c:pt idx="171">
                  <c:v>31286.37</c:v>
                </c:pt>
                <c:pt idx="172">
                  <c:v>31286.37</c:v>
                </c:pt>
                <c:pt idx="173">
                  <c:v>31452.959999999999</c:v>
                </c:pt>
                <c:pt idx="174">
                  <c:v>32676.58</c:v>
                </c:pt>
                <c:pt idx="175">
                  <c:v>31659.65</c:v>
                </c:pt>
                <c:pt idx="176">
                  <c:v>31659.65</c:v>
                </c:pt>
                <c:pt idx="177">
                  <c:v>31659.65</c:v>
                </c:pt>
                <c:pt idx="178">
                  <c:v>31659.65</c:v>
                </c:pt>
                <c:pt idx="179">
                  <c:v>32374.85</c:v>
                </c:pt>
                <c:pt idx="180">
                  <c:v>31949.43</c:v>
                </c:pt>
                <c:pt idx="181">
                  <c:v>31949.43</c:v>
                </c:pt>
                <c:pt idx="182">
                  <c:v>32286.639999999999</c:v>
                </c:pt>
                <c:pt idx="183">
                  <c:v>35546.22</c:v>
                </c:pt>
                <c:pt idx="184">
                  <c:v>35546.22</c:v>
                </c:pt>
                <c:pt idx="185">
                  <c:v>35546.22</c:v>
                </c:pt>
                <c:pt idx="186">
                  <c:v>36068.620000000003</c:v>
                </c:pt>
                <c:pt idx="187">
                  <c:v>36068.620000000003</c:v>
                </c:pt>
                <c:pt idx="188">
                  <c:v>36068.620000000003</c:v>
                </c:pt>
                <c:pt idx="189">
                  <c:v>36569.81</c:v>
                </c:pt>
                <c:pt idx="190">
                  <c:v>36569.81</c:v>
                </c:pt>
                <c:pt idx="191">
                  <c:v>36569.81</c:v>
                </c:pt>
                <c:pt idx="192">
                  <c:v>41138.019999999997</c:v>
                </c:pt>
                <c:pt idx="193">
                  <c:v>41138.019999999997</c:v>
                </c:pt>
                <c:pt idx="194">
                  <c:v>41138.019999999997</c:v>
                </c:pt>
                <c:pt idx="195">
                  <c:v>40666.04</c:v>
                </c:pt>
                <c:pt idx="196">
                  <c:v>39243.33</c:v>
                </c:pt>
                <c:pt idx="197">
                  <c:v>39243.33</c:v>
                </c:pt>
                <c:pt idx="198">
                  <c:v>38333.39</c:v>
                </c:pt>
                <c:pt idx="199">
                  <c:v>38909.769999999997</c:v>
                </c:pt>
                <c:pt idx="200">
                  <c:v>38909.769999999997</c:v>
                </c:pt>
                <c:pt idx="201">
                  <c:v>38471.040000000001</c:v>
                </c:pt>
                <c:pt idx="202">
                  <c:v>38471.040000000001</c:v>
                </c:pt>
                <c:pt idx="203">
                  <c:v>38257.870000000003</c:v>
                </c:pt>
                <c:pt idx="204">
                  <c:v>40635.97</c:v>
                </c:pt>
                <c:pt idx="205">
                  <c:v>40635.97</c:v>
                </c:pt>
                <c:pt idx="206">
                  <c:v>41258.629999999997</c:v>
                </c:pt>
                <c:pt idx="207">
                  <c:v>40448.93</c:v>
                </c:pt>
                <c:pt idx="208">
                  <c:v>39732.19</c:v>
                </c:pt>
                <c:pt idx="209">
                  <c:v>39732.19</c:v>
                </c:pt>
                <c:pt idx="210">
                  <c:v>38116.879999999997</c:v>
                </c:pt>
                <c:pt idx="211">
                  <c:v>40044.129999999997</c:v>
                </c:pt>
                <c:pt idx="212">
                  <c:v>40044.129999999997</c:v>
                </c:pt>
                <c:pt idx="213">
                  <c:v>39467.75</c:v>
                </c:pt>
                <c:pt idx="214">
                  <c:v>40182.370000000003</c:v>
                </c:pt>
                <c:pt idx="215">
                  <c:v>40182.370000000003</c:v>
                </c:pt>
                <c:pt idx="216">
                  <c:v>40182.370000000003</c:v>
                </c:pt>
                <c:pt idx="217">
                  <c:v>40182.370000000003</c:v>
                </c:pt>
                <c:pt idx="218">
                  <c:v>38410.15</c:v>
                </c:pt>
                <c:pt idx="219">
                  <c:v>38410.15</c:v>
                </c:pt>
                <c:pt idx="220">
                  <c:v>38893.410000000003</c:v>
                </c:pt>
                <c:pt idx="221">
                  <c:v>37818.61</c:v>
                </c:pt>
                <c:pt idx="222">
                  <c:v>37818.61</c:v>
                </c:pt>
                <c:pt idx="223">
                  <c:v>38216.269999999997</c:v>
                </c:pt>
                <c:pt idx="224">
                  <c:v>38216.269999999997</c:v>
                </c:pt>
                <c:pt idx="225">
                  <c:v>37868</c:v>
                </c:pt>
                <c:pt idx="226">
                  <c:v>37868</c:v>
                </c:pt>
                <c:pt idx="227">
                  <c:v>38252.21</c:v>
                </c:pt>
                <c:pt idx="228">
                  <c:v>38252.21</c:v>
                </c:pt>
                <c:pt idx="229">
                  <c:v>38758.61</c:v>
                </c:pt>
                <c:pt idx="230">
                  <c:v>39322.26</c:v>
                </c:pt>
                <c:pt idx="231">
                  <c:v>39322.26</c:v>
                </c:pt>
                <c:pt idx="232">
                  <c:v>39353.4</c:v>
                </c:pt>
                <c:pt idx="233">
                  <c:v>39353.4</c:v>
                </c:pt>
                <c:pt idx="234">
                  <c:v>40091.74</c:v>
                </c:pt>
                <c:pt idx="235">
                  <c:v>40091.74</c:v>
                </c:pt>
                <c:pt idx="236">
                  <c:v>40091.74</c:v>
                </c:pt>
                <c:pt idx="237">
                  <c:v>40657.42</c:v>
                </c:pt>
                <c:pt idx="238">
                  <c:v>41409.64</c:v>
                </c:pt>
                <c:pt idx="239">
                  <c:v>41409.64</c:v>
                </c:pt>
                <c:pt idx="240">
                  <c:v>40970.050000000003</c:v>
                </c:pt>
                <c:pt idx="241">
                  <c:v>40970.050000000003</c:v>
                </c:pt>
                <c:pt idx="242">
                  <c:v>40195.269999999997</c:v>
                </c:pt>
                <c:pt idx="243">
                  <c:v>43280.01</c:v>
                </c:pt>
                <c:pt idx="244">
                  <c:v>43919.14</c:v>
                </c:pt>
                <c:pt idx="245">
                  <c:v>43919.14</c:v>
                </c:pt>
                <c:pt idx="246">
                  <c:v>43886.76</c:v>
                </c:pt>
                <c:pt idx="247">
                  <c:v>44753.26</c:v>
                </c:pt>
                <c:pt idx="248">
                  <c:v>44753.26</c:v>
                </c:pt>
                <c:pt idx="249">
                  <c:v>45223.74</c:v>
                </c:pt>
                <c:pt idx="250">
                  <c:v>46001.96</c:v>
                </c:pt>
                <c:pt idx="251">
                  <c:v>46001.96</c:v>
                </c:pt>
                <c:pt idx="252">
                  <c:v>46992.36</c:v>
                </c:pt>
                <c:pt idx="253">
                  <c:v>47501.919999999998</c:v>
                </c:pt>
                <c:pt idx="254">
                  <c:v>46896.87</c:v>
                </c:pt>
                <c:pt idx="255">
                  <c:v>46674.76</c:v>
                </c:pt>
                <c:pt idx="256">
                  <c:v>47466.5</c:v>
                </c:pt>
                <c:pt idx="257">
                  <c:v>48107.25</c:v>
                </c:pt>
                <c:pt idx="258">
                  <c:v>48107.25</c:v>
                </c:pt>
                <c:pt idx="259">
                  <c:v>48107.25</c:v>
                </c:pt>
                <c:pt idx="260">
                  <c:v>49890.02</c:v>
                </c:pt>
                <c:pt idx="261">
                  <c:v>50026.05</c:v>
                </c:pt>
                <c:pt idx="262">
                  <c:v>49674.09</c:v>
                </c:pt>
                <c:pt idx="263">
                  <c:v>50280.45</c:v>
                </c:pt>
                <c:pt idx="264">
                  <c:v>50280.45</c:v>
                </c:pt>
                <c:pt idx="265">
                  <c:v>49559.040000000001</c:v>
                </c:pt>
                <c:pt idx="266">
                  <c:v>49559.040000000001</c:v>
                </c:pt>
                <c:pt idx="267">
                  <c:v>49559.040000000001</c:v>
                </c:pt>
                <c:pt idx="268">
                  <c:v>50575.01</c:v>
                </c:pt>
                <c:pt idx="269">
                  <c:v>52369.79</c:v>
                </c:pt>
                <c:pt idx="270">
                  <c:v>51617.56</c:v>
                </c:pt>
                <c:pt idx="271">
                  <c:v>51996.71</c:v>
                </c:pt>
                <c:pt idx="272">
                  <c:v>51742.49</c:v>
                </c:pt>
                <c:pt idx="273">
                  <c:v>51577.93</c:v>
                </c:pt>
                <c:pt idx="274">
                  <c:v>51825.08</c:v>
                </c:pt>
                <c:pt idx="275">
                  <c:v>51825.08</c:v>
                </c:pt>
                <c:pt idx="276">
                  <c:v>52604.44</c:v>
                </c:pt>
                <c:pt idx="277">
                  <c:v>52604.44</c:v>
                </c:pt>
                <c:pt idx="278">
                  <c:v>53944.05</c:v>
                </c:pt>
                <c:pt idx="279">
                  <c:v>53090.61</c:v>
                </c:pt>
                <c:pt idx="280">
                  <c:v>52051.51</c:v>
                </c:pt>
                <c:pt idx="281">
                  <c:v>52051.51</c:v>
                </c:pt>
                <c:pt idx="282">
                  <c:v>52051.51</c:v>
                </c:pt>
                <c:pt idx="283">
                  <c:v>51642.78</c:v>
                </c:pt>
                <c:pt idx="284">
                  <c:v>51642.78</c:v>
                </c:pt>
                <c:pt idx="285">
                  <c:v>51642.78</c:v>
                </c:pt>
                <c:pt idx="286">
                  <c:v>51642.78</c:v>
                </c:pt>
                <c:pt idx="287">
                  <c:v>51642.78</c:v>
                </c:pt>
                <c:pt idx="288">
                  <c:v>53514.78</c:v>
                </c:pt>
                <c:pt idx="289">
                  <c:v>53514.78</c:v>
                </c:pt>
                <c:pt idx="290">
                  <c:v>53504.9</c:v>
                </c:pt>
                <c:pt idx="291">
                  <c:v>53829.82</c:v>
                </c:pt>
                <c:pt idx="292">
                  <c:v>53829.82</c:v>
                </c:pt>
                <c:pt idx="293">
                  <c:v>53829.82</c:v>
                </c:pt>
                <c:pt idx="294">
                  <c:v>54283.78</c:v>
                </c:pt>
                <c:pt idx="295">
                  <c:v>54283.78</c:v>
                </c:pt>
                <c:pt idx="296">
                  <c:v>54283.78</c:v>
                </c:pt>
                <c:pt idx="297">
                  <c:v>55051.62</c:v>
                </c:pt>
                <c:pt idx="298">
                  <c:v>54357.51</c:v>
                </c:pt>
                <c:pt idx="299">
                  <c:v>54357.51</c:v>
                </c:pt>
                <c:pt idx="300">
                  <c:v>53773.9</c:v>
                </c:pt>
                <c:pt idx="301">
                  <c:v>53773.9</c:v>
                </c:pt>
                <c:pt idx="302">
                  <c:v>53319.94</c:v>
                </c:pt>
                <c:pt idx="303">
                  <c:v>53802.43</c:v>
                </c:pt>
                <c:pt idx="304">
                  <c:v>53746.22</c:v>
                </c:pt>
                <c:pt idx="305">
                  <c:v>54194.69</c:v>
                </c:pt>
                <c:pt idx="306">
                  <c:v>53131.040000000001</c:v>
                </c:pt>
                <c:pt idx="307">
                  <c:v>53573.24</c:v>
                </c:pt>
                <c:pt idx="308">
                  <c:v>52615.11</c:v>
                </c:pt>
                <c:pt idx="309">
                  <c:v>53486.69</c:v>
                </c:pt>
                <c:pt idx="310">
                  <c:v>53486.69</c:v>
                </c:pt>
                <c:pt idx="311">
                  <c:v>53486.69</c:v>
                </c:pt>
                <c:pt idx="312">
                  <c:v>54109.35</c:v>
                </c:pt>
                <c:pt idx="313">
                  <c:v>54052.28</c:v>
                </c:pt>
                <c:pt idx="314">
                  <c:v>54052.28</c:v>
                </c:pt>
                <c:pt idx="315">
                  <c:v>54052.28</c:v>
                </c:pt>
                <c:pt idx="316">
                  <c:v>53462.84</c:v>
                </c:pt>
                <c:pt idx="317">
                  <c:v>52171.78</c:v>
                </c:pt>
                <c:pt idx="318">
                  <c:v>49228.25</c:v>
                </c:pt>
                <c:pt idx="319">
                  <c:v>50086.11</c:v>
                </c:pt>
                <c:pt idx="320">
                  <c:v>46803.09</c:v>
                </c:pt>
                <c:pt idx="321">
                  <c:v>46803.09</c:v>
                </c:pt>
                <c:pt idx="322">
                  <c:v>46803.09</c:v>
                </c:pt>
                <c:pt idx="323">
                  <c:v>45415.58</c:v>
                </c:pt>
                <c:pt idx="324">
                  <c:v>44390.93</c:v>
                </c:pt>
                <c:pt idx="325">
                  <c:v>43819.73</c:v>
                </c:pt>
                <c:pt idx="326">
                  <c:v>44130.05</c:v>
                </c:pt>
                <c:pt idx="327">
                  <c:v>44130.05</c:v>
                </c:pt>
                <c:pt idx="328">
                  <c:v>44130.05</c:v>
                </c:pt>
                <c:pt idx="329">
                  <c:v>44130.05</c:v>
                </c:pt>
                <c:pt idx="330">
                  <c:v>43572.95</c:v>
                </c:pt>
                <c:pt idx="331">
                  <c:v>43331.27</c:v>
                </c:pt>
                <c:pt idx="332">
                  <c:v>43582.16</c:v>
                </c:pt>
                <c:pt idx="333">
                  <c:v>43582.16</c:v>
                </c:pt>
                <c:pt idx="334">
                  <c:v>44421.52</c:v>
                </c:pt>
                <c:pt idx="335">
                  <c:v>45213.26</c:v>
                </c:pt>
                <c:pt idx="336">
                  <c:v>45213.26</c:v>
                </c:pt>
                <c:pt idx="337">
                  <c:v>45213.26</c:v>
                </c:pt>
                <c:pt idx="338">
                  <c:v>45213.26</c:v>
                </c:pt>
                <c:pt idx="339">
                  <c:v>45422.12</c:v>
                </c:pt>
                <c:pt idx="340">
                  <c:v>45422.12</c:v>
                </c:pt>
                <c:pt idx="341">
                  <c:v>45574.34</c:v>
                </c:pt>
                <c:pt idx="342">
                  <c:v>46148.13</c:v>
                </c:pt>
                <c:pt idx="343">
                  <c:v>46148.13</c:v>
                </c:pt>
                <c:pt idx="344">
                  <c:v>46148.13</c:v>
                </c:pt>
                <c:pt idx="345">
                  <c:v>46148.13</c:v>
                </c:pt>
                <c:pt idx="346">
                  <c:v>45995.91</c:v>
                </c:pt>
                <c:pt idx="347">
                  <c:v>46780.97</c:v>
                </c:pt>
                <c:pt idx="348">
                  <c:v>47714.59</c:v>
                </c:pt>
                <c:pt idx="349">
                  <c:v>47463.7</c:v>
                </c:pt>
                <c:pt idx="350">
                  <c:v>45591.7</c:v>
                </c:pt>
                <c:pt idx="351">
                  <c:v>46718.45</c:v>
                </c:pt>
                <c:pt idx="352">
                  <c:v>46718.45</c:v>
                </c:pt>
                <c:pt idx="353">
                  <c:v>46718.45</c:v>
                </c:pt>
                <c:pt idx="354">
                  <c:v>47710.71</c:v>
                </c:pt>
                <c:pt idx="355">
                  <c:v>48298.05</c:v>
                </c:pt>
                <c:pt idx="356">
                  <c:v>49337.15</c:v>
                </c:pt>
                <c:pt idx="357">
                  <c:v>50028.639999999999</c:v>
                </c:pt>
                <c:pt idx="358">
                  <c:v>50028.639999999999</c:v>
                </c:pt>
                <c:pt idx="359">
                  <c:v>50028.639999999999</c:v>
                </c:pt>
                <c:pt idx="360">
                  <c:v>50569.55</c:v>
                </c:pt>
                <c:pt idx="361">
                  <c:v>50569.55</c:v>
                </c:pt>
                <c:pt idx="362">
                  <c:v>50569.55</c:v>
                </c:pt>
                <c:pt idx="363">
                  <c:v>51039.5</c:v>
                </c:pt>
                <c:pt idx="364">
                  <c:v>51039.5</c:v>
                </c:pt>
                <c:pt idx="365">
                  <c:v>51039.5</c:v>
                </c:pt>
                <c:pt idx="366">
                  <c:v>51322.06</c:v>
                </c:pt>
                <c:pt idx="367">
                  <c:v>53274.46</c:v>
                </c:pt>
                <c:pt idx="368">
                  <c:v>53274.46</c:v>
                </c:pt>
                <c:pt idx="369">
                  <c:v>53530.99</c:v>
                </c:pt>
                <c:pt idx="370">
                  <c:v>53530.99</c:v>
                </c:pt>
                <c:pt idx="371">
                  <c:v>50286.7</c:v>
                </c:pt>
                <c:pt idx="372">
                  <c:v>49976.38</c:v>
                </c:pt>
                <c:pt idx="373">
                  <c:v>50464.6</c:v>
                </c:pt>
                <c:pt idx="374">
                  <c:v>50629.64</c:v>
                </c:pt>
                <c:pt idx="375">
                  <c:v>50629.64</c:v>
                </c:pt>
                <c:pt idx="376">
                  <c:v>50629.64</c:v>
                </c:pt>
                <c:pt idx="377">
                  <c:v>50938.7</c:v>
                </c:pt>
                <c:pt idx="378">
                  <c:v>50163.92</c:v>
                </c:pt>
                <c:pt idx="379">
                  <c:v>50163.92</c:v>
                </c:pt>
                <c:pt idx="380">
                  <c:v>51572.62</c:v>
                </c:pt>
                <c:pt idx="381">
                  <c:v>51278.7</c:v>
                </c:pt>
                <c:pt idx="382">
                  <c:v>50439.34</c:v>
                </c:pt>
                <c:pt idx="383">
                  <c:v>49031.61</c:v>
                </c:pt>
                <c:pt idx="384">
                  <c:v>49785.56</c:v>
                </c:pt>
                <c:pt idx="385">
                  <c:v>49503</c:v>
                </c:pt>
                <c:pt idx="386">
                  <c:v>49503</c:v>
                </c:pt>
                <c:pt idx="387">
                  <c:v>49162.29</c:v>
                </c:pt>
                <c:pt idx="388">
                  <c:v>49423.48</c:v>
                </c:pt>
                <c:pt idx="389">
                  <c:v>49423.48</c:v>
                </c:pt>
                <c:pt idx="390">
                  <c:v>49423.48</c:v>
                </c:pt>
                <c:pt idx="391">
                  <c:v>48953.53</c:v>
                </c:pt>
                <c:pt idx="392">
                  <c:v>48953.53</c:v>
                </c:pt>
                <c:pt idx="393">
                  <c:v>48953.53</c:v>
                </c:pt>
                <c:pt idx="394">
                  <c:v>46782.02</c:v>
                </c:pt>
                <c:pt idx="395">
                  <c:v>46782.02</c:v>
                </c:pt>
                <c:pt idx="396">
                  <c:v>46407.99</c:v>
                </c:pt>
                <c:pt idx="397">
                  <c:v>45107.25</c:v>
                </c:pt>
                <c:pt idx="398">
                  <c:v>45987.35</c:v>
                </c:pt>
                <c:pt idx="399">
                  <c:v>45987.35</c:v>
                </c:pt>
                <c:pt idx="400">
                  <c:v>44301.32</c:v>
                </c:pt>
                <c:pt idx="401">
                  <c:v>44301.32</c:v>
                </c:pt>
                <c:pt idx="402">
                  <c:v>44301.32</c:v>
                </c:pt>
                <c:pt idx="403">
                  <c:v>45478.66</c:v>
                </c:pt>
                <c:pt idx="404">
                  <c:v>45034.31</c:v>
                </c:pt>
                <c:pt idx="405">
                  <c:v>44381.53</c:v>
                </c:pt>
                <c:pt idx="406">
                  <c:v>43138.7</c:v>
                </c:pt>
                <c:pt idx="407">
                  <c:v>42270.27</c:v>
                </c:pt>
                <c:pt idx="408">
                  <c:v>42052.28</c:v>
                </c:pt>
                <c:pt idx="409">
                  <c:v>41704.839999999997</c:v>
                </c:pt>
                <c:pt idx="410">
                  <c:v>42466.31</c:v>
                </c:pt>
                <c:pt idx="411">
                  <c:v>40623.360000000001</c:v>
                </c:pt>
              </c:numCache>
            </c:numRef>
          </c:val>
          <c:smooth val="0"/>
          <c:extLst>
            <c:ext xmlns:c16="http://schemas.microsoft.com/office/drawing/2014/chart" uri="{C3380CC4-5D6E-409C-BE32-E72D297353CC}">
              <c16:uniqueId val="{00000004-26C8-4F85-A91F-CED6FA8DBF1C}"/>
            </c:ext>
          </c:extLst>
        </c:ser>
        <c:ser>
          <c:idx val="2"/>
          <c:order val="3"/>
          <c:tx>
            <c:strRef>
              <c:f>Accueil!$R$3</c:f>
              <c:strCache>
                <c:ptCount val="1"/>
                <c:pt idx="0">
                  <c:v>Portefeuille</c:v>
                </c:pt>
              </c:strCache>
            </c:strRef>
          </c:tx>
          <c:spPr>
            <a:ln w="28575" cap="rnd">
              <a:solidFill>
                <a:srgbClr val="FF0000">
                  <a:alpha val="97000"/>
                </a:srgbClr>
              </a:solidFill>
              <a:prstDash val="solid"/>
              <a:round/>
            </a:ln>
            <a:effectLst/>
          </c:spPr>
          <c:marker>
            <c:symbol val="none"/>
          </c:marker>
          <c:cat>
            <c:numRef>
              <c:extLst>
                <c:ext xmlns:c15="http://schemas.microsoft.com/office/drawing/2012/chart" uri="{02D57815-91ED-43cb-92C2-25804820EDAC}">
                  <c15:fullRef>
                    <c15:sqref>Accueil!$O$4:$O$492</c15:sqref>
                  </c15:fullRef>
                </c:ext>
              </c:extLst>
              <c:f>(Accueil!$O$4:$O$397,Accueil!$O$400:$O$402,Accueil!$O$404:$O$406,Accueil!$O$408:$O$410,Accueil!$O$412:$O$414,Accueil!$O$416,Accueil!$O$418,Accueil!$O$420,Accueil!$O$422,Accueil!$O$424,Accueil!$O$426,Accueil!$O$428:$O$429,Accueil!$O$431:$O$492)</c:f>
              <c:numCache>
                <c:formatCode>m/d/yyyy</c:formatCode>
                <c:ptCount val="476"/>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45611</c:v>
                </c:pt>
                <c:pt idx="395">
                  <c:v>45610</c:v>
                </c:pt>
                <c:pt idx="396">
                  <c:v>45609</c:v>
                </c:pt>
                <c:pt idx="397">
                  <c:v>45607</c:v>
                </c:pt>
                <c:pt idx="398">
                  <c:v>45606</c:v>
                </c:pt>
                <c:pt idx="399">
                  <c:v>45605</c:v>
                </c:pt>
                <c:pt idx="400">
                  <c:v>45603</c:v>
                </c:pt>
                <c:pt idx="401">
                  <c:v>45602</c:v>
                </c:pt>
                <c:pt idx="402">
                  <c:v>45601</c:v>
                </c:pt>
                <c:pt idx="403">
                  <c:v>45599</c:v>
                </c:pt>
                <c:pt idx="404">
                  <c:v>45598</c:v>
                </c:pt>
                <c:pt idx="405">
                  <c:v>45597</c:v>
                </c:pt>
                <c:pt idx="406">
                  <c:v>45593</c:v>
                </c:pt>
                <c:pt idx="407">
                  <c:v>45591</c:v>
                </c:pt>
                <c:pt idx="408">
                  <c:v>45589</c:v>
                </c:pt>
                <c:pt idx="409">
                  <c:v>45587</c:v>
                </c:pt>
                <c:pt idx="410">
                  <c:v>45585</c:v>
                </c:pt>
                <c:pt idx="411">
                  <c:v>45583</c:v>
                </c:pt>
                <c:pt idx="412">
                  <c:v>45581</c:v>
                </c:pt>
                <c:pt idx="413">
                  <c:v>45580</c:v>
                </c:pt>
                <c:pt idx="414">
                  <c:v>45578</c:v>
                </c:pt>
                <c:pt idx="415">
                  <c:v>45577</c:v>
                </c:pt>
                <c:pt idx="416">
                  <c:v>45576</c:v>
                </c:pt>
                <c:pt idx="417">
                  <c:v>45575</c:v>
                </c:pt>
                <c:pt idx="418">
                  <c:v>45574</c:v>
                </c:pt>
                <c:pt idx="419">
                  <c:v>45573</c:v>
                </c:pt>
                <c:pt idx="420">
                  <c:v>45572</c:v>
                </c:pt>
                <c:pt idx="421">
                  <c:v>45571</c:v>
                </c:pt>
                <c:pt idx="422">
                  <c:v>45570</c:v>
                </c:pt>
                <c:pt idx="423">
                  <c:v>45569</c:v>
                </c:pt>
                <c:pt idx="424">
                  <c:v>45568</c:v>
                </c:pt>
                <c:pt idx="425">
                  <c:v>45567</c:v>
                </c:pt>
                <c:pt idx="426">
                  <c:v>45566</c:v>
                </c:pt>
                <c:pt idx="427">
                  <c:v>45565</c:v>
                </c:pt>
                <c:pt idx="428">
                  <c:v>45564</c:v>
                </c:pt>
                <c:pt idx="429">
                  <c:v>45563</c:v>
                </c:pt>
                <c:pt idx="430">
                  <c:v>45562</c:v>
                </c:pt>
                <c:pt idx="431">
                  <c:v>45561</c:v>
                </c:pt>
                <c:pt idx="432">
                  <c:v>45560</c:v>
                </c:pt>
                <c:pt idx="433">
                  <c:v>45559</c:v>
                </c:pt>
                <c:pt idx="434">
                  <c:v>45558</c:v>
                </c:pt>
                <c:pt idx="435">
                  <c:v>45557</c:v>
                </c:pt>
                <c:pt idx="436">
                  <c:v>45556</c:v>
                </c:pt>
                <c:pt idx="437">
                  <c:v>45555</c:v>
                </c:pt>
                <c:pt idx="438">
                  <c:v>45554</c:v>
                </c:pt>
                <c:pt idx="439">
                  <c:v>45553</c:v>
                </c:pt>
                <c:pt idx="440">
                  <c:v>45552</c:v>
                </c:pt>
                <c:pt idx="441">
                  <c:v>45551</c:v>
                </c:pt>
                <c:pt idx="442">
                  <c:v>45550</c:v>
                </c:pt>
                <c:pt idx="443">
                  <c:v>45549</c:v>
                </c:pt>
                <c:pt idx="444">
                  <c:v>45548</c:v>
                </c:pt>
                <c:pt idx="445">
                  <c:v>45547</c:v>
                </c:pt>
                <c:pt idx="446">
                  <c:v>45546</c:v>
                </c:pt>
                <c:pt idx="447">
                  <c:v>45545</c:v>
                </c:pt>
                <c:pt idx="448">
                  <c:v>45544</c:v>
                </c:pt>
                <c:pt idx="449">
                  <c:v>45543</c:v>
                </c:pt>
                <c:pt idx="450">
                  <c:v>45542</c:v>
                </c:pt>
                <c:pt idx="451">
                  <c:v>45541</c:v>
                </c:pt>
                <c:pt idx="452">
                  <c:v>45540</c:v>
                </c:pt>
                <c:pt idx="453">
                  <c:v>45539</c:v>
                </c:pt>
                <c:pt idx="454">
                  <c:v>45538</c:v>
                </c:pt>
                <c:pt idx="455">
                  <c:v>45537</c:v>
                </c:pt>
                <c:pt idx="456">
                  <c:v>45536</c:v>
                </c:pt>
                <c:pt idx="457">
                  <c:v>45535</c:v>
                </c:pt>
                <c:pt idx="458">
                  <c:v>45534</c:v>
                </c:pt>
                <c:pt idx="459">
                  <c:v>45533</c:v>
                </c:pt>
                <c:pt idx="460">
                  <c:v>45532</c:v>
                </c:pt>
                <c:pt idx="461">
                  <c:v>45531</c:v>
                </c:pt>
                <c:pt idx="462">
                  <c:v>45530</c:v>
                </c:pt>
                <c:pt idx="463">
                  <c:v>45529</c:v>
                </c:pt>
                <c:pt idx="464">
                  <c:v>45528</c:v>
                </c:pt>
                <c:pt idx="465">
                  <c:v>45527</c:v>
                </c:pt>
                <c:pt idx="466">
                  <c:v>45526</c:v>
                </c:pt>
                <c:pt idx="467">
                  <c:v>45525</c:v>
                </c:pt>
                <c:pt idx="468">
                  <c:v>45524</c:v>
                </c:pt>
                <c:pt idx="469">
                  <c:v>45523</c:v>
                </c:pt>
                <c:pt idx="470">
                  <c:v>45522</c:v>
                </c:pt>
                <c:pt idx="471">
                  <c:v>45521</c:v>
                </c:pt>
                <c:pt idx="472">
                  <c:v>45520</c:v>
                </c:pt>
                <c:pt idx="473">
                  <c:v>45519</c:v>
                </c:pt>
                <c:pt idx="474">
                  <c:v>45516</c:v>
                </c:pt>
                <c:pt idx="475">
                  <c:v>45515</c:v>
                </c:pt>
              </c:numCache>
            </c:numRef>
          </c:cat>
          <c:val>
            <c:numRef>
              <c:extLst>
                <c:ext xmlns:c15="http://schemas.microsoft.com/office/drawing/2012/chart" uri="{02D57815-91ED-43cb-92C2-25804820EDAC}">
                  <c15:fullRef>
                    <c15:sqref>Accueil!$R$4:$R$492</c15:sqref>
                  </c15:fullRef>
                </c:ext>
              </c:extLst>
              <c:f>(Accueil!$R$4:$R$397,Accueil!$R$400:$R$402,Accueil!$R$404:$R$406,Accueil!$R$408:$R$410,Accueil!$R$412:$R$414,Accueil!$R$416,Accueil!$R$418,Accueil!$R$420,Accueil!$R$422,Accueil!$R$424,Accueil!$R$426,Accueil!$R$428:$R$429,Accueil!$R$431:$R$492)</c:f>
              <c:numCache>
                <c:formatCode>#\ ##0.00\ "€"</c:formatCode>
                <c:ptCount val="476"/>
                <c:pt idx="0">
                  <c:v>43489.25</c:v>
                </c:pt>
                <c:pt idx="1">
                  <c:v>42983.68</c:v>
                </c:pt>
                <c:pt idx="2">
                  <c:v>42739.51</c:v>
                </c:pt>
                <c:pt idx="3">
                  <c:v>42739.51</c:v>
                </c:pt>
                <c:pt idx="4">
                  <c:v>41893.22</c:v>
                </c:pt>
                <c:pt idx="5">
                  <c:v>42726.21</c:v>
                </c:pt>
                <c:pt idx="6">
                  <c:v>42519.11</c:v>
                </c:pt>
                <c:pt idx="7">
                  <c:v>42071.92</c:v>
                </c:pt>
                <c:pt idx="8">
                  <c:v>41530.230000000003</c:v>
                </c:pt>
                <c:pt idx="9">
                  <c:v>42307.17</c:v>
                </c:pt>
                <c:pt idx="10">
                  <c:v>42307.17</c:v>
                </c:pt>
                <c:pt idx="11">
                  <c:v>42189.87</c:v>
                </c:pt>
                <c:pt idx="12">
                  <c:v>42165.919999999998</c:v>
                </c:pt>
                <c:pt idx="13">
                  <c:v>42637.66</c:v>
                </c:pt>
                <c:pt idx="14">
                  <c:v>43661.120000000003</c:v>
                </c:pt>
                <c:pt idx="15">
                  <c:v>43882.16</c:v>
                </c:pt>
                <c:pt idx="16">
                  <c:v>40927.910000000003</c:v>
                </c:pt>
                <c:pt idx="17">
                  <c:v>39898.29</c:v>
                </c:pt>
                <c:pt idx="18">
                  <c:v>39426.06</c:v>
                </c:pt>
                <c:pt idx="19">
                  <c:v>39426.06</c:v>
                </c:pt>
                <c:pt idx="20">
                  <c:v>39655.96</c:v>
                </c:pt>
                <c:pt idx="21">
                  <c:v>39422.83</c:v>
                </c:pt>
                <c:pt idx="22">
                  <c:v>39422.83</c:v>
                </c:pt>
                <c:pt idx="23">
                  <c:v>37893.69</c:v>
                </c:pt>
                <c:pt idx="24">
                  <c:v>36014.97</c:v>
                </c:pt>
                <c:pt idx="25">
                  <c:v>32236.58</c:v>
                </c:pt>
                <c:pt idx="26">
                  <c:v>32845.07</c:v>
                </c:pt>
                <c:pt idx="27">
                  <c:v>31967.18</c:v>
                </c:pt>
                <c:pt idx="28">
                  <c:v>31967.18</c:v>
                </c:pt>
                <c:pt idx="29">
                  <c:v>32675.69</c:v>
                </c:pt>
                <c:pt idx="30">
                  <c:v>31184.799999999999</c:v>
                </c:pt>
                <c:pt idx="31">
                  <c:v>30183.82</c:v>
                </c:pt>
                <c:pt idx="32">
                  <c:v>29575.55</c:v>
                </c:pt>
                <c:pt idx="33">
                  <c:v>29575.55</c:v>
                </c:pt>
                <c:pt idx="34">
                  <c:v>28892.43</c:v>
                </c:pt>
                <c:pt idx="35">
                  <c:v>28464.59</c:v>
                </c:pt>
                <c:pt idx="36">
                  <c:v>29333.94</c:v>
                </c:pt>
                <c:pt idx="37">
                  <c:v>30816.28</c:v>
                </c:pt>
                <c:pt idx="38">
                  <c:v>30525.439999999999</c:v>
                </c:pt>
                <c:pt idx="39">
                  <c:v>30525.439999999999</c:v>
                </c:pt>
                <c:pt idx="40">
                  <c:v>28921.26</c:v>
                </c:pt>
                <c:pt idx="41">
                  <c:v>28921.26</c:v>
                </c:pt>
                <c:pt idx="42">
                  <c:v>28130.33</c:v>
                </c:pt>
                <c:pt idx="43">
                  <c:v>28130.33</c:v>
                </c:pt>
                <c:pt idx="44">
                  <c:v>27088.75</c:v>
                </c:pt>
                <c:pt idx="45">
                  <c:v>27088.75</c:v>
                </c:pt>
                <c:pt idx="46">
                  <c:v>27088.75</c:v>
                </c:pt>
                <c:pt idx="47">
                  <c:v>26056</c:v>
                </c:pt>
                <c:pt idx="48">
                  <c:v>28260.54</c:v>
                </c:pt>
                <c:pt idx="49">
                  <c:v>27012.720000000001</c:v>
                </c:pt>
                <c:pt idx="50">
                  <c:v>26002.6</c:v>
                </c:pt>
                <c:pt idx="51">
                  <c:v>27434.06</c:v>
                </c:pt>
                <c:pt idx="52">
                  <c:v>27618.5</c:v>
                </c:pt>
                <c:pt idx="53">
                  <c:v>27618.5</c:v>
                </c:pt>
                <c:pt idx="54">
                  <c:v>27618.5</c:v>
                </c:pt>
                <c:pt idx="55">
                  <c:v>26853.5</c:v>
                </c:pt>
                <c:pt idx="56">
                  <c:v>25079.54</c:v>
                </c:pt>
                <c:pt idx="57">
                  <c:v>25079.54</c:v>
                </c:pt>
                <c:pt idx="58">
                  <c:v>25775.79</c:v>
                </c:pt>
                <c:pt idx="59">
                  <c:v>25729.67</c:v>
                </c:pt>
                <c:pt idx="60">
                  <c:v>25729.67</c:v>
                </c:pt>
                <c:pt idx="61">
                  <c:v>26172.959999999999</c:v>
                </c:pt>
                <c:pt idx="62">
                  <c:v>28186.86</c:v>
                </c:pt>
                <c:pt idx="63">
                  <c:v>28186.86</c:v>
                </c:pt>
                <c:pt idx="64">
                  <c:v>30334.62</c:v>
                </c:pt>
                <c:pt idx="65">
                  <c:v>30334.62</c:v>
                </c:pt>
                <c:pt idx="66">
                  <c:v>30334.62</c:v>
                </c:pt>
                <c:pt idx="67">
                  <c:v>30699.45</c:v>
                </c:pt>
                <c:pt idx="68">
                  <c:v>31063.19</c:v>
                </c:pt>
                <c:pt idx="69">
                  <c:v>30835.63</c:v>
                </c:pt>
                <c:pt idx="70">
                  <c:v>30835.63</c:v>
                </c:pt>
                <c:pt idx="71">
                  <c:v>31252.19</c:v>
                </c:pt>
                <c:pt idx="72">
                  <c:v>31252.19</c:v>
                </c:pt>
                <c:pt idx="73">
                  <c:v>31480.61</c:v>
                </c:pt>
                <c:pt idx="74">
                  <c:v>31480.61</c:v>
                </c:pt>
                <c:pt idx="75">
                  <c:v>32093.200000000001</c:v>
                </c:pt>
                <c:pt idx="76">
                  <c:v>32285.58</c:v>
                </c:pt>
                <c:pt idx="77">
                  <c:v>32065.19</c:v>
                </c:pt>
                <c:pt idx="79">
                  <c:v>31025.43</c:v>
                </c:pt>
                <c:pt idx="80">
                  <c:v>31618.87</c:v>
                </c:pt>
                <c:pt idx="81">
                  <c:v>30327.81</c:v>
                </c:pt>
                <c:pt idx="82">
                  <c:v>28935.42</c:v>
                </c:pt>
                <c:pt idx="83">
                  <c:v>28226.91</c:v>
                </c:pt>
                <c:pt idx="84">
                  <c:v>29383.97</c:v>
                </c:pt>
                <c:pt idx="85">
                  <c:v>29354.79</c:v>
                </c:pt>
                <c:pt idx="86">
                  <c:v>29354.79</c:v>
                </c:pt>
                <c:pt idx="87">
                  <c:v>29068.49</c:v>
                </c:pt>
                <c:pt idx="88">
                  <c:v>29558.33</c:v>
                </c:pt>
                <c:pt idx="89">
                  <c:v>29710.92</c:v>
                </c:pt>
                <c:pt idx="90">
                  <c:v>29710.92</c:v>
                </c:pt>
                <c:pt idx="91">
                  <c:v>27693.66</c:v>
                </c:pt>
                <c:pt idx="92">
                  <c:v>27451.040000000001</c:v>
                </c:pt>
                <c:pt idx="93">
                  <c:v>26711.08</c:v>
                </c:pt>
                <c:pt idx="94">
                  <c:v>27274.12</c:v>
                </c:pt>
                <c:pt idx="95">
                  <c:v>27076.560000000001</c:v>
                </c:pt>
                <c:pt idx="96">
                  <c:v>28303.75</c:v>
                </c:pt>
                <c:pt idx="97">
                  <c:v>28303.75</c:v>
                </c:pt>
                <c:pt idx="98">
                  <c:v>27695.26</c:v>
                </c:pt>
                <c:pt idx="99">
                  <c:v>28323.360000000001</c:v>
                </c:pt>
                <c:pt idx="100">
                  <c:v>28077.93</c:v>
                </c:pt>
                <c:pt idx="101">
                  <c:v>28775.19</c:v>
                </c:pt>
                <c:pt idx="102">
                  <c:v>28775.19</c:v>
                </c:pt>
                <c:pt idx="103">
                  <c:v>30278.39</c:v>
                </c:pt>
                <c:pt idx="104">
                  <c:v>29788.55</c:v>
                </c:pt>
                <c:pt idx="105">
                  <c:v>30500.27</c:v>
                </c:pt>
                <c:pt idx="106">
                  <c:v>30500.27</c:v>
                </c:pt>
                <c:pt idx="107">
                  <c:v>29061.1</c:v>
                </c:pt>
                <c:pt idx="108">
                  <c:v>29061.1</c:v>
                </c:pt>
                <c:pt idx="109">
                  <c:v>29061.1</c:v>
                </c:pt>
                <c:pt idx="110">
                  <c:v>29061.1</c:v>
                </c:pt>
                <c:pt idx="111">
                  <c:v>29291.55</c:v>
                </c:pt>
                <c:pt idx="112">
                  <c:v>30466.21</c:v>
                </c:pt>
                <c:pt idx="113">
                  <c:v>30466.21</c:v>
                </c:pt>
                <c:pt idx="114">
                  <c:v>30466.21</c:v>
                </c:pt>
                <c:pt idx="115">
                  <c:v>32065.040000000001</c:v>
                </c:pt>
                <c:pt idx="116">
                  <c:v>32250.12</c:v>
                </c:pt>
                <c:pt idx="117">
                  <c:v>32250.12</c:v>
                </c:pt>
                <c:pt idx="118">
                  <c:v>32824.949999999997</c:v>
                </c:pt>
                <c:pt idx="119">
                  <c:v>33671.89</c:v>
                </c:pt>
                <c:pt idx="120">
                  <c:v>33671.89</c:v>
                </c:pt>
                <c:pt idx="121">
                  <c:v>33245.18</c:v>
                </c:pt>
                <c:pt idx="122">
                  <c:v>32152.68</c:v>
                </c:pt>
                <c:pt idx="123">
                  <c:v>34479.760000000002</c:v>
                </c:pt>
                <c:pt idx="124">
                  <c:v>34344.51</c:v>
                </c:pt>
                <c:pt idx="125">
                  <c:v>34344.51</c:v>
                </c:pt>
                <c:pt idx="126">
                  <c:v>33993.699999999997</c:v>
                </c:pt>
                <c:pt idx="127">
                  <c:v>34687.019999999997</c:v>
                </c:pt>
                <c:pt idx="128">
                  <c:v>34687.019999999997</c:v>
                </c:pt>
                <c:pt idx="129">
                  <c:v>34687.019999999997</c:v>
                </c:pt>
                <c:pt idx="130">
                  <c:v>33329.65</c:v>
                </c:pt>
                <c:pt idx="131">
                  <c:v>33329.65</c:v>
                </c:pt>
                <c:pt idx="132">
                  <c:v>35752.769999999997</c:v>
                </c:pt>
                <c:pt idx="133">
                  <c:v>35752.769999999997</c:v>
                </c:pt>
                <c:pt idx="134">
                  <c:v>36272.879999999997</c:v>
                </c:pt>
                <c:pt idx="135">
                  <c:v>35713.49</c:v>
                </c:pt>
                <c:pt idx="136">
                  <c:v>35526.99</c:v>
                </c:pt>
                <c:pt idx="137">
                  <c:v>35293.65</c:v>
                </c:pt>
                <c:pt idx="138">
                  <c:v>35693.61</c:v>
                </c:pt>
                <c:pt idx="139">
                  <c:v>35693.61</c:v>
                </c:pt>
                <c:pt idx="140">
                  <c:v>39364.75</c:v>
                </c:pt>
                <c:pt idx="141">
                  <c:v>38075.919999999998</c:v>
                </c:pt>
                <c:pt idx="142">
                  <c:v>39700.959999999999</c:v>
                </c:pt>
                <c:pt idx="143">
                  <c:v>40671.53</c:v>
                </c:pt>
                <c:pt idx="144">
                  <c:v>40860.03</c:v>
                </c:pt>
                <c:pt idx="145">
                  <c:v>40671.53</c:v>
                </c:pt>
                <c:pt idx="146">
                  <c:v>41369.93</c:v>
                </c:pt>
                <c:pt idx="147">
                  <c:v>40447.32</c:v>
                </c:pt>
                <c:pt idx="148">
                  <c:v>43816.76</c:v>
                </c:pt>
                <c:pt idx="149">
                  <c:v>43816.76</c:v>
                </c:pt>
                <c:pt idx="150">
                  <c:v>43816.76</c:v>
                </c:pt>
                <c:pt idx="151">
                  <c:v>43816.76</c:v>
                </c:pt>
                <c:pt idx="152">
                  <c:v>43816.76</c:v>
                </c:pt>
                <c:pt idx="153">
                  <c:v>43358.32</c:v>
                </c:pt>
                <c:pt idx="154">
                  <c:v>39741.33</c:v>
                </c:pt>
                <c:pt idx="155">
                  <c:v>40745.050000000003</c:v>
                </c:pt>
                <c:pt idx="156">
                  <c:v>40745.050000000003</c:v>
                </c:pt>
                <c:pt idx="157">
                  <c:v>42312.66</c:v>
                </c:pt>
                <c:pt idx="158">
                  <c:v>42312.66</c:v>
                </c:pt>
                <c:pt idx="159">
                  <c:v>43804.5</c:v>
                </c:pt>
                <c:pt idx="160">
                  <c:v>43804.5</c:v>
                </c:pt>
                <c:pt idx="161">
                  <c:v>43804.5</c:v>
                </c:pt>
                <c:pt idx="162">
                  <c:v>43804.5</c:v>
                </c:pt>
                <c:pt idx="163">
                  <c:v>43804.5</c:v>
                </c:pt>
                <c:pt idx="164">
                  <c:v>43804.5</c:v>
                </c:pt>
                <c:pt idx="165">
                  <c:v>43488.480000000003</c:v>
                </c:pt>
                <c:pt idx="166">
                  <c:v>44879.360000000001</c:v>
                </c:pt>
                <c:pt idx="167">
                  <c:v>44879.360000000001</c:v>
                </c:pt>
                <c:pt idx="168">
                  <c:v>45733.22</c:v>
                </c:pt>
                <c:pt idx="169">
                  <c:v>44672.59</c:v>
                </c:pt>
                <c:pt idx="170">
                  <c:v>45305.39</c:v>
                </c:pt>
                <c:pt idx="171">
                  <c:v>44504.91</c:v>
                </c:pt>
                <c:pt idx="172">
                  <c:v>43937.42</c:v>
                </c:pt>
                <c:pt idx="173">
                  <c:v>44573.9</c:v>
                </c:pt>
                <c:pt idx="174">
                  <c:v>44573.9</c:v>
                </c:pt>
                <c:pt idx="175">
                  <c:v>45026.3</c:v>
                </c:pt>
                <c:pt idx="176">
                  <c:v>45026.3</c:v>
                </c:pt>
                <c:pt idx="177">
                  <c:v>45673.48</c:v>
                </c:pt>
                <c:pt idx="178">
                  <c:v>45644.62</c:v>
                </c:pt>
                <c:pt idx="179">
                  <c:v>45052.34</c:v>
                </c:pt>
                <c:pt idx="180">
                  <c:v>44948.08</c:v>
                </c:pt>
                <c:pt idx="181">
                  <c:v>45214.400000000001</c:v>
                </c:pt>
                <c:pt idx="182">
                  <c:v>45214.400000000001</c:v>
                </c:pt>
                <c:pt idx="183">
                  <c:v>44511.23</c:v>
                </c:pt>
                <c:pt idx="184">
                  <c:v>44511.23</c:v>
                </c:pt>
                <c:pt idx="185">
                  <c:v>45513.69</c:v>
                </c:pt>
                <c:pt idx="186">
                  <c:v>46944.06</c:v>
                </c:pt>
                <c:pt idx="187">
                  <c:v>46232.78</c:v>
                </c:pt>
                <c:pt idx="188">
                  <c:v>46610.52</c:v>
                </c:pt>
                <c:pt idx="189">
                  <c:v>46610.52</c:v>
                </c:pt>
                <c:pt idx="190">
                  <c:v>44391.07</c:v>
                </c:pt>
                <c:pt idx="191">
                  <c:v>43058.07</c:v>
                </c:pt>
                <c:pt idx="192">
                  <c:v>43347.360000000001</c:v>
                </c:pt>
                <c:pt idx="193">
                  <c:v>43898.16</c:v>
                </c:pt>
                <c:pt idx="194">
                  <c:v>44869.2</c:v>
                </c:pt>
                <c:pt idx="195">
                  <c:v>43474.5</c:v>
                </c:pt>
                <c:pt idx="196">
                  <c:v>40683.800000000003</c:v>
                </c:pt>
                <c:pt idx="197">
                  <c:v>40683.800000000003</c:v>
                </c:pt>
                <c:pt idx="198">
                  <c:v>42878.7</c:v>
                </c:pt>
                <c:pt idx="199">
                  <c:v>43449</c:v>
                </c:pt>
                <c:pt idx="200">
                  <c:v>43688.2</c:v>
                </c:pt>
                <c:pt idx="201">
                  <c:v>43632.68</c:v>
                </c:pt>
                <c:pt idx="202">
                  <c:v>42430.74</c:v>
                </c:pt>
                <c:pt idx="203">
                  <c:v>40448.85</c:v>
                </c:pt>
                <c:pt idx="204">
                  <c:v>42078.21</c:v>
                </c:pt>
                <c:pt idx="205">
                  <c:v>42773.73</c:v>
                </c:pt>
                <c:pt idx="206">
                  <c:v>39433.43</c:v>
                </c:pt>
                <c:pt idx="207">
                  <c:v>40606.29</c:v>
                </c:pt>
                <c:pt idx="208">
                  <c:v>40606.29</c:v>
                </c:pt>
                <c:pt idx="209">
                  <c:v>39440.949999999997</c:v>
                </c:pt>
                <c:pt idx="210">
                  <c:v>40335.22</c:v>
                </c:pt>
                <c:pt idx="211">
                  <c:v>38169.89</c:v>
                </c:pt>
                <c:pt idx="212">
                  <c:v>39176.769999999997</c:v>
                </c:pt>
                <c:pt idx="213">
                  <c:v>39176.769999999997</c:v>
                </c:pt>
                <c:pt idx="214">
                  <c:v>37208.839999999997</c:v>
                </c:pt>
                <c:pt idx="215">
                  <c:v>37898.65</c:v>
                </c:pt>
                <c:pt idx="216">
                  <c:v>38605.599999999999</c:v>
                </c:pt>
                <c:pt idx="217">
                  <c:v>39340.480000000003</c:v>
                </c:pt>
                <c:pt idx="218">
                  <c:v>39340.480000000003</c:v>
                </c:pt>
                <c:pt idx="219">
                  <c:v>39340.480000000003</c:v>
                </c:pt>
                <c:pt idx="220">
                  <c:v>38704</c:v>
                </c:pt>
                <c:pt idx="221">
                  <c:v>39023.230000000003</c:v>
                </c:pt>
                <c:pt idx="222">
                  <c:v>39023.230000000003</c:v>
                </c:pt>
                <c:pt idx="223">
                  <c:v>40396.449999999997</c:v>
                </c:pt>
                <c:pt idx="224">
                  <c:v>40714.370000000003</c:v>
                </c:pt>
                <c:pt idx="225">
                  <c:v>40714.370000000003</c:v>
                </c:pt>
                <c:pt idx="226">
                  <c:v>41560.42</c:v>
                </c:pt>
                <c:pt idx="227">
                  <c:v>40136.71</c:v>
                </c:pt>
                <c:pt idx="228">
                  <c:v>40648.15</c:v>
                </c:pt>
                <c:pt idx="229">
                  <c:v>40648.15</c:v>
                </c:pt>
                <c:pt idx="230">
                  <c:v>40358.86</c:v>
                </c:pt>
                <c:pt idx="231">
                  <c:v>44843.54</c:v>
                </c:pt>
                <c:pt idx="232">
                  <c:v>44843.54</c:v>
                </c:pt>
                <c:pt idx="233">
                  <c:v>44843.54</c:v>
                </c:pt>
                <c:pt idx="234">
                  <c:v>44843.54</c:v>
                </c:pt>
                <c:pt idx="235">
                  <c:v>46139.06</c:v>
                </c:pt>
                <c:pt idx="236">
                  <c:v>42481.18</c:v>
                </c:pt>
                <c:pt idx="237">
                  <c:v>42481.18</c:v>
                </c:pt>
                <c:pt idx="238">
                  <c:v>42028.78</c:v>
                </c:pt>
                <c:pt idx="239">
                  <c:v>42028.78</c:v>
                </c:pt>
                <c:pt idx="240">
                  <c:v>42028.78</c:v>
                </c:pt>
                <c:pt idx="241">
                  <c:v>42674.7</c:v>
                </c:pt>
                <c:pt idx="242">
                  <c:v>46596.17</c:v>
                </c:pt>
                <c:pt idx="243">
                  <c:v>46520.73</c:v>
                </c:pt>
                <c:pt idx="244">
                  <c:v>46520.73</c:v>
                </c:pt>
                <c:pt idx="245">
                  <c:v>47384.31</c:v>
                </c:pt>
                <c:pt idx="246">
                  <c:v>47384.31</c:v>
                </c:pt>
                <c:pt idx="247">
                  <c:v>47843.67</c:v>
                </c:pt>
                <c:pt idx="248">
                  <c:v>47957.760000000002</c:v>
                </c:pt>
                <c:pt idx="249">
                  <c:v>50109.48</c:v>
                </c:pt>
                <c:pt idx="250">
                  <c:v>49352.04</c:v>
                </c:pt>
                <c:pt idx="251">
                  <c:v>49995.08</c:v>
                </c:pt>
                <c:pt idx="252">
                  <c:v>50470.44</c:v>
                </c:pt>
                <c:pt idx="253">
                  <c:v>51809</c:v>
                </c:pt>
                <c:pt idx="254">
                  <c:v>51100.2</c:v>
                </c:pt>
                <c:pt idx="255">
                  <c:v>51100.2</c:v>
                </c:pt>
                <c:pt idx="256">
                  <c:v>51673.88</c:v>
                </c:pt>
                <c:pt idx="257">
                  <c:v>51561.96</c:v>
                </c:pt>
                <c:pt idx="258">
                  <c:v>50676.86</c:v>
                </c:pt>
                <c:pt idx="259">
                  <c:v>52143.93</c:v>
                </c:pt>
                <c:pt idx="260">
                  <c:v>52373.69</c:v>
                </c:pt>
                <c:pt idx="261">
                  <c:v>52373.69</c:v>
                </c:pt>
                <c:pt idx="262">
                  <c:v>54213.120000000003</c:v>
                </c:pt>
                <c:pt idx="263">
                  <c:v>55651.61</c:v>
                </c:pt>
                <c:pt idx="264">
                  <c:v>56323.51</c:v>
                </c:pt>
                <c:pt idx="265">
                  <c:v>55989.61</c:v>
                </c:pt>
                <c:pt idx="266">
                  <c:v>55989.61</c:v>
                </c:pt>
                <c:pt idx="267">
                  <c:v>57535.78</c:v>
                </c:pt>
                <c:pt idx="268">
                  <c:v>57768.42</c:v>
                </c:pt>
                <c:pt idx="269">
                  <c:v>56692.42</c:v>
                </c:pt>
                <c:pt idx="270">
                  <c:v>55996.9</c:v>
                </c:pt>
                <c:pt idx="271">
                  <c:v>55996.9</c:v>
                </c:pt>
                <c:pt idx="272">
                  <c:v>57580.3</c:v>
                </c:pt>
                <c:pt idx="273">
                  <c:v>59380.68</c:v>
                </c:pt>
                <c:pt idx="274">
                  <c:v>58154.05</c:v>
                </c:pt>
                <c:pt idx="275">
                  <c:v>58418.27</c:v>
                </c:pt>
                <c:pt idx="276">
                  <c:v>58418.27</c:v>
                </c:pt>
                <c:pt idx="277">
                  <c:v>58418.27</c:v>
                </c:pt>
                <c:pt idx="278">
                  <c:v>59215.35</c:v>
                </c:pt>
                <c:pt idx="279">
                  <c:v>60889.51</c:v>
                </c:pt>
                <c:pt idx="280">
                  <c:v>60889.51</c:v>
                </c:pt>
                <c:pt idx="281">
                  <c:v>60889.51</c:v>
                </c:pt>
                <c:pt idx="282">
                  <c:v>60889.51</c:v>
                </c:pt>
                <c:pt idx="283">
                  <c:v>61496.47</c:v>
                </c:pt>
                <c:pt idx="284">
                  <c:v>62463.1</c:v>
                </c:pt>
                <c:pt idx="285">
                  <c:v>62463.1</c:v>
                </c:pt>
                <c:pt idx="286">
                  <c:v>62844.49</c:v>
                </c:pt>
                <c:pt idx="287">
                  <c:v>62844.49</c:v>
                </c:pt>
                <c:pt idx="288">
                  <c:v>62844.49</c:v>
                </c:pt>
                <c:pt idx="289">
                  <c:v>62844.49</c:v>
                </c:pt>
                <c:pt idx="290">
                  <c:v>64789.120000000003</c:v>
                </c:pt>
                <c:pt idx="291">
                  <c:v>64261.5</c:v>
                </c:pt>
                <c:pt idx="292">
                  <c:v>64261.5</c:v>
                </c:pt>
                <c:pt idx="293">
                  <c:v>64071.66</c:v>
                </c:pt>
                <c:pt idx="294">
                  <c:v>64553.18</c:v>
                </c:pt>
                <c:pt idx="295">
                  <c:v>65577.2</c:v>
                </c:pt>
                <c:pt idx="296">
                  <c:v>66502.58</c:v>
                </c:pt>
                <c:pt idx="297">
                  <c:v>65920.800000000003</c:v>
                </c:pt>
                <c:pt idx="298">
                  <c:v>65920.800000000003</c:v>
                </c:pt>
                <c:pt idx="299">
                  <c:v>65623.28</c:v>
                </c:pt>
                <c:pt idx="300">
                  <c:v>66027.81</c:v>
                </c:pt>
                <c:pt idx="301">
                  <c:v>65784.75</c:v>
                </c:pt>
                <c:pt idx="302">
                  <c:v>64457.72</c:v>
                </c:pt>
                <c:pt idx="303">
                  <c:v>63545.25</c:v>
                </c:pt>
                <c:pt idx="304">
                  <c:v>63889.41</c:v>
                </c:pt>
                <c:pt idx="305">
                  <c:v>66389.8</c:v>
                </c:pt>
                <c:pt idx="306">
                  <c:v>65465.64</c:v>
                </c:pt>
                <c:pt idx="307">
                  <c:v>66462.259999999995</c:v>
                </c:pt>
                <c:pt idx="308">
                  <c:v>65570.34</c:v>
                </c:pt>
                <c:pt idx="309">
                  <c:v>66691.12</c:v>
                </c:pt>
                <c:pt idx="310">
                  <c:v>66433.19</c:v>
                </c:pt>
                <c:pt idx="311">
                  <c:v>64798.06</c:v>
                </c:pt>
                <c:pt idx="312">
                  <c:v>61116.56</c:v>
                </c:pt>
                <c:pt idx="313">
                  <c:v>62699.59</c:v>
                </c:pt>
                <c:pt idx="314">
                  <c:v>61529.13</c:v>
                </c:pt>
                <c:pt idx="315">
                  <c:v>61529.13</c:v>
                </c:pt>
                <c:pt idx="316">
                  <c:v>61306.58</c:v>
                </c:pt>
                <c:pt idx="317">
                  <c:v>60795.14</c:v>
                </c:pt>
                <c:pt idx="318">
                  <c:v>60123.95</c:v>
                </c:pt>
                <c:pt idx="319">
                  <c:v>58028.23</c:v>
                </c:pt>
                <c:pt idx="320">
                  <c:v>57306.23</c:v>
                </c:pt>
                <c:pt idx="321">
                  <c:v>59229.71</c:v>
                </c:pt>
                <c:pt idx="322">
                  <c:v>60656.29</c:v>
                </c:pt>
                <c:pt idx="323">
                  <c:v>60656.29</c:v>
                </c:pt>
                <c:pt idx="324">
                  <c:v>60656.29</c:v>
                </c:pt>
                <c:pt idx="325">
                  <c:v>61271.29</c:v>
                </c:pt>
                <c:pt idx="326">
                  <c:v>60495.63</c:v>
                </c:pt>
                <c:pt idx="327">
                  <c:v>58830.04</c:v>
                </c:pt>
                <c:pt idx="328">
                  <c:v>58128.86</c:v>
                </c:pt>
                <c:pt idx="329">
                  <c:v>58003.76</c:v>
                </c:pt>
                <c:pt idx="330">
                  <c:v>57955.66</c:v>
                </c:pt>
                <c:pt idx="331">
                  <c:v>56194.84</c:v>
                </c:pt>
                <c:pt idx="332">
                  <c:v>55931.89</c:v>
                </c:pt>
                <c:pt idx="333">
                  <c:v>53035.3</c:v>
                </c:pt>
                <c:pt idx="334">
                  <c:v>53806.93</c:v>
                </c:pt>
                <c:pt idx="335">
                  <c:v>51280.47</c:v>
                </c:pt>
                <c:pt idx="336">
                  <c:v>51201.23</c:v>
                </c:pt>
                <c:pt idx="337">
                  <c:v>49606.5</c:v>
                </c:pt>
                <c:pt idx="338">
                  <c:v>48673.65</c:v>
                </c:pt>
                <c:pt idx="339">
                  <c:v>48673.65</c:v>
                </c:pt>
                <c:pt idx="340">
                  <c:v>48224.13</c:v>
                </c:pt>
                <c:pt idx="341">
                  <c:v>47696.41</c:v>
                </c:pt>
                <c:pt idx="342">
                  <c:v>47941.440000000002</c:v>
                </c:pt>
                <c:pt idx="343">
                  <c:v>47941.440000000002</c:v>
                </c:pt>
                <c:pt idx="344">
                  <c:v>48788.15</c:v>
                </c:pt>
                <c:pt idx="345">
                  <c:v>48038.63</c:v>
                </c:pt>
                <c:pt idx="346">
                  <c:v>48038.63</c:v>
                </c:pt>
                <c:pt idx="347">
                  <c:v>48381.120000000003</c:v>
                </c:pt>
                <c:pt idx="348">
                  <c:v>47671.53</c:v>
                </c:pt>
                <c:pt idx="349">
                  <c:v>44959.56</c:v>
                </c:pt>
                <c:pt idx="350">
                  <c:v>44959.56</c:v>
                </c:pt>
                <c:pt idx="351">
                  <c:v>45611.87</c:v>
                </c:pt>
                <c:pt idx="352">
                  <c:v>44380.93</c:v>
                </c:pt>
                <c:pt idx="353">
                  <c:v>41465.949999999997</c:v>
                </c:pt>
                <c:pt idx="354">
                  <c:v>40957.360000000001</c:v>
                </c:pt>
                <c:pt idx="355" formatCode="_(&quot;€&quot;* #\ ##0.00_);_(&quot;€&quot;* \(#\ ##0.00\);_(&quot;€&quot;* &quot;-&quot;??_);_(@_)">
                  <c:v>39933.629999999997</c:v>
                </c:pt>
                <c:pt idx="356" formatCode="_(&quot;€&quot;* #\ ##0.00_);_(&quot;€&quot;* \(#\ ##0.00\);_(&quot;€&quot;* &quot;-&quot;??_);_(@_)">
                  <c:v>40921.410000000003</c:v>
                </c:pt>
                <c:pt idx="357" formatCode="_(&quot;€&quot;* #\ ##0.00_);_(&quot;€&quot;* \(#\ ##0.00\);_(&quot;€&quot;* &quot;-&quot;??_);_(@_)">
                  <c:v>40921.410000000003</c:v>
                </c:pt>
                <c:pt idx="358" formatCode="_(&quot;€&quot;* #\ ##0.00_);_(&quot;€&quot;* \(#\ ##0.00\);_(&quot;€&quot;* &quot;-&quot;??_);_(@_)">
                  <c:v>40921.410000000003</c:v>
                </c:pt>
                <c:pt idx="359" formatCode="_(&quot;€&quot;* #\ ##0.00_);_(&quot;€&quot;* \(#\ ##0.00\);_(&quot;€&quot;* &quot;-&quot;??_);_(@_)">
                  <c:v>41530.980000000003</c:v>
                </c:pt>
                <c:pt idx="360" formatCode="_(&quot;€&quot;* #\ ##0.00_);_(&quot;€&quot;* \(#\ ##0.00\);_(&quot;€&quot;* &quot;-&quot;??_);_(@_)">
                  <c:v>41236.019999999997</c:v>
                </c:pt>
                <c:pt idx="361" formatCode="_(&quot;€&quot;* #\ ##0.00_);_(&quot;€&quot;* \(#\ ##0.00\);_(&quot;€&quot;* &quot;-&quot;??_);_(@_)">
                  <c:v>41236.019999999997</c:v>
                </c:pt>
                <c:pt idx="362" formatCode="_(&quot;€&quot;* #\ ##0.00_);_(&quot;€&quot;* \(#\ ##0.00\);_(&quot;€&quot;* &quot;-&quot;??_);_(@_)">
                  <c:v>43104.34</c:v>
                </c:pt>
                <c:pt idx="363" formatCode="_(&quot;€&quot;* #\ ##0.00_);_(&quot;€&quot;* \(#\ ##0.00\);_(&quot;€&quot;* &quot;-&quot;??_);_(@_)">
                  <c:v>40038.06</c:v>
                </c:pt>
                <c:pt idx="364" formatCode="_(&quot;€&quot;* #\ ##0.00_);_(&quot;€&quot;* \(#\ ##0.00\);_(&quot;€&quot;* &quot;-&quot;??_);_(@_)">
                  <c:v>41861.050000000003</c:v>
                </c:pt>
                <c:pt idx="365" formatCode="_(&quot;€&quot;* #\ ##0.00_);_(&quot;€&quot;* \(#\ ##0.00\);_(&quot;€&quot;* &quot;-&quot;??_);_(@_)">
                  <c:v>42418.52</c:v>
                </c:pt>
                <c:pt idx="366" formatCode="_(&quot;€&quot;* #\ ##0.00_);_(&quot;€&quot;* \(#\ ##0.00\);_(&quot;€&quot;* &quot;-&quot;??_);_(@_)">
                  <c:v>40224.300000000003</c:v>
                </c:pt>
                <c:pt idx="367" formatCode="_(&quot;€&quot;* #\ ##0.00_);_(&quot;€&quot;* \(#\ ##0.00\);_(&quot;€&quot;* &quot;-&quot;??_);_(@_)">
                  <c:v>40694.550000000003</c:v>
                </c:pt>
                <c:pt idx="368" formatCode="_(&quot;€&quot;* #\ ##0.00_);_(&quot;€&quot;* \(#\ ##0.00\);_(&quot;€&quot;* &quot;-&quot;??_);_(@_)">
                  <c:v>38870.949999999997</c:v>
                </c:pt>
                <c:pt idx="369" formatCode="_(&quot;€&quot;* #\ ##0.00_);_(&quot;€&quot;* \(#\ ##0.00\);_(&quot;€&quot;* &quot;-&quot;??_);_(@_)">
                  <c:v>38870.949999999997</c:v>
                </c:pt>
                <c:pt idx="370" formatCode="_(&quot;€&quot;* #\ ##0.00_);_(&quot;€&quot;* \(#\ ##0.00\);_(&quot;€&quot;* &quot;-&quot;??_);_(@_)">
                  <c:v>39261.29</c:v>
                </c:pt>
                <c:pt idx="371" formatCode="_(&quot;€&quot;* #\ ##0.00_);_(&quot;€&quot;* \(#\ ##0.00\);_(&quot;€&quot;* &quot;-&quot;??_);_(@_)">
                  <c:v>38492.67</c:v>
                </c:pt>
                <c:pt idx="372" formatCode="_(&quot;€&quot;* #\ ##0.00_);_(&quot;€&quot;* \(#\ ##0.00\);_(&quot;€&quot;* &quot;-&quot;??_);_(@_)">
                  <c:v>38492.67</c:v>
                </c:pt>
                <c:pt idx="373" formatCode="_(&quot;€&quot;* #\ ##0.00_);_(&quot;€&quot;* \(#\ ##0.00\);_(&quot;€&quot;* &quot;-&quot;??_);_(@_)">
                  <c:v>38492.67</c:v>
                </c:pt>
                <c:pt idx="374" formatCode="_(&quot;€&quot;* #\ ##0.00_);_(&quot;€&quot;* \(#\ ##0.00\);_(&quot;€&quot;* &quot;-&quot;??_);_(@_)">
                  <c:v>40076.28</c:v>
                </c:pt>
                <c:pt idx="375" formatCode="_(&quot;€&quot;* #\ ##0.00_);_(&quot;€&quot;* \(#\ ##0.00\);_(&quot;€&quot;* &quot;-&quot;??_);_(@_)">
                  <c:v>39743.93</c:v>
                </c:pt>
                <c:pt idx="376" formatCode="_(&quot;€&quot;* #\ ##0.00_);_(&quot;€&quot;* \(#\ ##0.00\);_(&quot;€&quot;* &quot;-&quot;??_);_(@_)">
                  <c:v>42156.58</c:v>
                </c:pt>
                <c:pt idx="377" formatCode="_(&quot;€&quot;* #\ ##0.00_);_(&quot;€&quot;* \(#\ ##0.00\);_(&quot;€&quot;* &quot;-&quot;??_);_(@_)">
                  <c:v>41656.44</c:v>
                </c:pt>
                <c:pt idx="378" formatCode="_(&quot;€&quot;* #\ ##0.00_);_(&quot;€&quot;* \(#\ ##0.00\);_(&quot;€&quot;* &quot;-&quot;??_);_(@_)">
                  <c:v>42257.75</c:v>
                </c:pt>
                <c:pt idx="379" formatCode="_(&quot;€&quot;* #\ ##0.00_);_(&quot;€&quot;* \(#\ ##0.00\);_(&quot;€&quot;* &quot;-&quot;??_);_(@_)">
                  <c:v>42351.67</c:v>
                </c:pt>
                <c:pt idx="380" formatCode="_(&quot;€&quot;* #\ ##0.00_);_(&quot;€&quot;* \(#\ ##0.00\);_(&quot;€&quot;* &quot;-&quot;??_);_(@_)">
                  <c:v>41827.699999999997</c:v>
                </c:pt>
                <c:pt idx="381" formatCode="_(&quot;€&quot;* #\ ##0.00_);_(&quot;€&quot;* \(#\ ##0.00\);_(&quot;€&quot;* &quot;-&quot;??_);_(@_)">
                  <c:v>40504.379999999997</c:v>
                </c:pt>
                <c:pt idx="382" formatCode="_(&quot;€&quot;* #\ ##0.00_);_(&quot;€&quot;* \(#\ ##0.00\);_(&quot;€&quot;* &quot;-&quot;??_);_(@_)">
                  <c:v>39244.71</c:v>
                </c:pt>
                <c:pt idx="383" formatCode="_(&quot;€&quot;* #\ ##0.00_);_(&quot;€&quot;* \(#\ ##0.00\);_(&quot;€&quot;* &quot;-&quot;??_);_(@_)">
                  <c:v>37770.51</c:v>
                </c:pt>
                <c:pt idx="384" formatCode="_(&quot;€&quot;* #\ ##0.00_);_(&quot;€&quot;* \(#\ ##0.00\);_(&quot;€&quot;* &quot;-&quot;??_);_(@_)">
                  <c:v>38383.21</c:v>
                </c:pt>
                <c:pt idx="385" formatCode="_(&quot;€&quot;* #\ ##0.00_);_(&quot;€&quot;* \(#\ ##0.00\);_(&quot;€&quot;* &quot;-&quot;??_);_(@_)">
                  <c:v>38271.360000000001</c:v>
                </c:pt>
                <c:pt idx="386" formatCode="_(&quot;€&quot;* #\ ##0.00_);_(&quot;€&quot;* \(#\ ##0.00\);_(&quot;€&quot;* &quot;-&quot;??_);_(@_)">
                  <c:v>38271.360000000001</c:v>
                </c:pt>
                <c:pt idx="387" formatCode="_(&quot;€&quot;* #\ ##0.00_);_(&quot;€&quot;* \(#\ ##0.00\);_(&quot;€&quot;* &quot;-&quot;??_);_(@_)">
                  <c:v>35522.339999999997</c:v>
                </c:pt>
                <c:pt idx="388" formatCode="_(&quot;€&quot;* #\ ##0.00_);_(&quot;€&quot;* \(#\ ##0.00\);_(&quot;€&quot;* &quot;-&quot;??_);_(@_)">
                  <c:v>35522.339999999997</c:v>
                </c:pt>
                <c:pt idx="389" formatCode="_(&quot;€&quot;* #\ ##0.00_);_(&quot;€&quot;* \(#\ ##0.00\);_(&quot;€&quot;* &quot;-&quot;??_);_(@_)">
                  <c:v>36407.769999999997</c:v>
                </c:pt>
                <c:pt idx="390" formatCode="_(&quot;€&quot;* #\ ##0.00_);_(&quot;€&quot;* \(#\ ##0.00\);_(&quot;€&quot;* &quot;-&quot;??_);_(@_)">
                  <c:v>36152.17</c:v>
                </c:pt>
                <c:pt idx="391" formatCode="_(&quot;€&quot;* #\ ##0.00_);_(&quot;€&quot;* \(#\ ##0.00\);_(&quot;€&quot;* &quot;-&quot;??_);_(@_)">
                  <c:v>36426.86</c:v>
                </c:pt>
                <c:pt idx="392" formatCode="_(&quot;€&quot;* #\ ##0.00_);_(&quot;€&quot;* \(#\ ##0.00\);_(&quot;€&quot;* &quot;-&quot;??_);_(@_)">
                  <c:v>36426.86</c:v>
                </c:pt>
                <c:pt idx="393" formatCode="_(&quot;€&quot;* #\ ##0.00_);_(&quot;€&quot;* \(#\ ##0.00\);_(&quot;€&quot;* &quot;-&quot;??_);_(@_)">
                  <c:v>37211.06</c:v>
                </c:pt>
                <c:pt idx="394" formatCode="_(&quot;€&quot;* #\ ##0.00_);_(&quot;€&quot;* \(#\ ##0.00\);_(&quot;€&quot;* &quot;-&quot;??_);_(@_)">
                  <c:v>34982.019999999997</c:v>
                </c:pt>
                <c:pt idx="395" formatCode="_(&quot;€&quot;* #\ ##0.00_);_(&quot;€&quot;* \(#\ ##0.00\);_(&quot;€&quot;* &quot;-&quot;??_);_(@_)">
                  <c:v>36400.32</c:v>
                </c:pt>
                <c:pt idx="396" formatCode="_(&quot;€&quot;* #\ ##0.00_);_(&quot;€&quot;* \(#\ ##0.00\);_(&quot;€&quot;* &quot;-&quot;??_);_(@_)">
                  <c:v>36400.32</c:v>
                </c:pt>
                <c:pt idx="397" formatCode="_(&quot;€&quot;* #\ ##0.00_);_(&quot;€&quot;* \(#\ ##0.00\);_(&quot;€&quot;* &quot;-&quot;??_);_(@_)">
                  <c:v>35169.93</c:v>
                </c:pt>
                <c:pt idx="398" formatCode="_(&quot;€&quot;* #\ ##0.00_);_(&quot;€&quot;* \(#\ ##0.00\);_(&quot;€&quot;* &quot;-&quot;??_);_(@_)">
                  <c:v>34035.919999999998</c:v>
                </c:pt>
                <c:pt idx="399" formatCode="_(&quot;€&quot;* #\ ##0.00_);_(&quot;€&quot;* \(#\ ##0.00\);_(&quot;€&quot;* &quot;-&quot;??_);_(@_)">
                  <c:v>34035.919999999998</c:v>
                </c:pt>
                <c:pt idx="400" formatCode="_(&quot;€&quot;* #\ ##0.00_);_(&quot;€&quot;* \(#\ ##0.00\);_(&quot;€&quot;* &quot;-&quot;??_);_(@_)">
                  <c:v>33347.21</c:v>
                </c:pt>
                <c:pt idx="401" formatCode="_(&quot;€&quot;* #\ ##0.00_);_(&quot;€&quot;* \(#\ ##0.00\);_(&quot;€&quot;* &quot;-&quot;??_);_(@_)">
                  <c:v>33969.870000000003</c:v>
                </c:pt>
                <c:pt idx="402" formatCode="_(&quot;€&quot;* #\ ##0.00_);_(&quot;€&quot;* \(#\ ##0.00\);_(&quot;€&quot;* &quot;-&quot;??_);_(@_)">
                  <c:v>33969.870000000003</c:v>
                </c:pt>
                <c:pt idx="403" formatCode="_(&quot;€&quot;* #\ ##0.00_);_(&quot;€&quot;* \(#\ ##0.00\);_(&quot;€&quot;* &quot;-&quot;??_);_(@_)">
                  <c:v>33074.199999999997</c:v>
                </c:pt>
                <c:pt idx="404" formatCode="_(&quot;€&quot;* #\ ##0.00_);_(&quot;€&quot;* \(#\ ##0.00\);_(&quot;€&quot;* &quot;-&quot;??_);_(@_)">
                  <c:v>33240.78</c:v>
                </c:pt>
                <c:pt idx="405" formatCode="_(&quot;€&quot;* #\ ##0.00_);_(&quot;€&quot;* \(#\ ##0.00\);_(&quot;€&quot;* &quot;-&quot;??_);_(@_)">
                  <c:v>34353.800000000003</c:v>
                </c:pt>
                <c:pt idx="406" formatCode="_(&quot;€&quot;* #\ ##0.00_);_(&quot;€&quot;* \(#\ ##0.00\);_(&quot;€&quot;* &quot;-&quot;??_);_(@_)">
                  <c:v>34277.660000000003</c:v>
                </c:pt>
                <c:pt idx="407" formatCode="_(&quot;€&quot;* #\ ##0.00_);_(&quot;€&quot;* \(#\ ##0.00\);_(&quot;€&quot;* &quot;-&quot;??_);_(@_)">
                  <c:v>35290.28</c:v>
                </c:pt>
                <c:pt idx="408" formatCode="_(&quot;€&quot;* #\ ##0.00_);_(&quot;€&quot;* \(#\ ##0.00\);_(&quot;€&quot;* &quot;-&quot;??_);_(@_)">
                  <c:v>36579.74</c:v>
                </c:pt>
                <c:pt idx="409" formatCode="_(&quot;€&quot;* #\ ##0.00_);_(&quot;€&quot;* \(#\ ##0.00\);_(&quot;€&quot;* &quot;-&quot;??_);_(@_)">
                  <c:v>36786.910000000003</c:v>
                </c:pt>
                <c:pt idx="410" formatCode="_(&quot;€&quot;* #\ ##0.00_);_(&quot;€&quot;* \(#\ ##0.00\);_(&quot;€&quot;* &quot;-&quot;??_);_(@_)">
                  <c:v>35269.94</c:v>
                </c:pt>
                <c:pt idx="411" formatCode="_(&quot;€&quot;* #\ ##0.00_);_(&quot;€&quot;* \(#\ ##0.00\);_(&quot;€&quot;* &quot;-&quot;??_);_(@_)">
                  <c:v>35078.589999999997</c:v>
                </c:pt>
              </c:numCache>
            </c:numRef>
          </c:val>
          <c:smooth val="0"/>
          <c:extLst>
            <c:ext xmlns:c16="http://schemas.microsoft.com/office/drawing/2014/chart" uri="{C3380CC4-5D6E-409C-BE32-E72D297353CC}">
              <c16:uniqueId val="{00000003-26C8-4F85-A91F-CED6FA8DBF1C}"/>
            </c:ext>
          </c:extLst>
        </c:ser>
        <c:dLbls>
          <c:showLegendKey val="0"/>
          <c:showVal val="0"/>
          <c:showCatName val="0"/>
          <c:showSerName val="0"/>
          <c:showPercent val="0"/>
          <c:showBubbleSize val="0"/>
        </c:dLbls>
        <c:smooth val="0"/>
        <c:axId val="1418891919"/>
        <c:axId val="1418893359"/>
        <c:extLst>
          <c:ext xmlns:c15="http://schemas.microsoft.com/office/drawing/2012/chart" uri="{02D57815-91ED-43cb-92C2-25804820EDAC}">
            <c15:filteredLineSeries>
              <c15:ser>
                <c:idx val="0"/>
                <c:order val="0"/>
                <c:tx>
                  <c:strRef>
                    <c:extLst>
                      <c:ext uri="{02D57815-91ED-43cb-92C2-25804820EDAC}">
                        <c15:formulaRef>
                          <c15:sqref>Accueil!$P$3</c15:sqref>
                        </c15:formulaRef>
                      </c:ext>
                    </c:extLst>
                    <c:strCache>
                      <c:ptCount val="1"/>
                      <c:pt idx="0">
                        <c:v>Lofts</c:v>
                      </c:pt>
                    </c:strCache>
                  </c:strRef>
                </c:tx>
                <c:spPr>
                  <a:ln w="28575" cap="rnd">
                    <a:solidFill>
                      <a:schemeClr val="accent1"/>
                    </a:solidFill>
                    <a:round/>
                  </a:ln>
                  <a:effectLst/>
                </c:spPr>
                <c:marker>
                  <c:symbol val="none"/>
                </c:marker>
                <c:cat>
                  <c:numRef>
                    <c:extLst>
                      <c:ext uri="{02D57815-91ED-43cb-92C2-25804820EDAC}">
                        <c15:fullRef>
                          <c15:sqref>Accueil!$O$4:$O$492</c15:sqref>
                        </c15:fullRef>
                        <c15:formulaRef>
                          <c15:sqref>(Accueil!$O$4:$O$397,Accueil!$O$400:$O$402,Accueil!$O$404:$O$406,Accueil!$O$408:$O$410,Accueil!$O$412:$O$414,Accueil!$O$416,Accueil!$O$418,Accueil!$O$420,Accueil!$O$422,Accueil!$O$424,Accueil!$O$426,Accueil!$O$428:$O$429,Accueil!$O$431:$O$492)</c15:sqref>
                        </c15:formulaRef>
                      </c:ext>
                    </c:extLst>
                    <c:numCache>
                      <c:formatCode>m/d/yyyy</c:formatCode>
                      <c:ptCount val="476"/>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45611</c:v>
                      </c:pt>
                      <c:pt idx="395">
                        <c:v>45610</c:v>
                      </c:pt>
                      <c:pt idx="396">
                        <c:v>45609</c:v>
                      </c:pt>
                      <c:pt idx="397">
                        <c:v>45607</c:v>
                      </c:pt>
                      <c:pt idx="398">
                        <c:v>45606</c:v>
                      </c:pt>
                      <c:pt idx="399">
                        <c:v>45605</c:v>
                      </c:pt>
                      <c:pt idx="400">
                        <c:v>45603</c:v>
                      </c:pt>
                      <c:pt idx="401">
                        <c:v>45602</c:v>
                      </c:pt>
                      <c:pt idx="402">
                        <c:v>45601</c:v>
                      </c:pt>
                      <c:pt idx="403">
                        <c:v>45599</c:v>
                      </c:pt>
                      <c:pt idx="404">
                        <c:v>45598</c:v>
                      </c:pt>
                      <c:pt idx="405">
                        <c:v>45597</c:v>
                      </c:pt>
                      <c:pt idx="406">
                        <c:v>45593</c:v>
                      </c:pt>
                      <c:pt idx="407">
                        <c:v>45591</c:v>
                      </c:pt>
                      <c:pt idx="408">
                        <c:v>45589</c:v>
                      </c:pt>
                      <c:pt idx="409">
                        <c:v>45587</c:v>
                      </c:pt>
                      <c:pt idx="410">
                        <c:v>45585</c:v>
                      </c:pt>
                      <c:pt idx="411">
                        <c:v>45583</c:v>
                      </c:pt>
                      <c:pt idx="412">
                        <c:v>45581</c:v>
                      </c:pt>
                      <c:pt idx="413">
                        <c:v>45580</c:v>
                      </c:pt>
                      <c:pt idx="414">
                        <c:v>45578</c:v>
                      </c:pt>
                      <c:pt idx="415">
                        <c:v>45577</c:v>
                      </c:pt>
                      <c:pt idx="416">
                        <c:v>45576</c:v>
                      </c:pt>
                      <c:pt idx="417">
                        <c:v>45575</c:v>
                      </c:pt>
                      <c:pt idx="418">
                        <c:v>45574</c:v>
                      </c:pt>
                      <c:pt idx="419">
                        <c:v>45573</c:v>
                      </c:pt>
                      <c:pt idx="420">
                        <c:v>45572</c:v>
                      </c:pt>
                      <c:pt idx="421">
                        <c:v>45571</c:v>
                      </c:pt>
                      <c:pt idx="422">
                        <c:v>45570</c:v>
                      </c:pt>
                      <c:pt idx="423">
                        <c:v>45569</c:v>
                      </c:pt>
                      <c:pt idx="424">
                        <c:v>45568</c:v>
                      </c:pt>
                      <c:pt idx="425">
                        <c:v>45567</c:v>
                      </c:pt>
                      <c:pt idx="426">
                        <c:v>45566</c:v>
                      </c:pt>
                      <c:pt idx="427">
                        <c:v>45565</c:v>
                      </c:pt>
                      <c:pt idx="428">
                        <c:v>45564</c:v>
                      </c:pt>
                      <c:pt idx="429">
                        <c:v>45563</c:v>
                      </c:pt>
                      <c:pt idx="430">
                        <c:v>45562</c:v>
                      </c:pt>
                      <c:pt idx="431">
                        <c:v>45561</c:v>
                      </c:pt>
                      <c:pt idx="432">
                        <c:v>45560</c:v>
                      </c:pt>
                      <c:pt idx="433">
                        <c:v>45559</c:v>
                      </c:pt>
                      <c:pt idx="434">
                        <c:v>45558</c:v>
                      </c:pt>
                      <c:pt idx="435">
                        <c:v>45557</c:v>
                      </c:pt>
                      <c:pt idx="436">
                        <c:v>45556</c:v>
                      </c:pt>
                      <c:pt idx="437">
                        <c:v>45555</c:v>
                      </c:pt>
                      <c:pt idx="438">
                        <c:v>45554</c:v>
                      </c:pt>
                      <c:pt idx="439">
                        <c:v>45553</c:v>
                      </c:pt>
                      <c:pt idx="440">
                        <c:v>45552</c:v>
                      </c:pt>
                      <c:pt idx="441">
                        <c:v>45551</c:v>
                      </c:pt>
                      <c:pt idx="442">
                        <c:v>45550</c:v>
                      </c:pt>
                      <c:pt idx="443">
                        <c:v>45549</c:v>
                      </c:pt>
                      <c:pt idx="444">
                        <c:v>45548</c:v>
                      </c:pt>
                      <c:pt idx="445">
                        <c:v>45547</c:v>
                      </c:pt>
                      <c:pt idx="446">
                        <c:v>45546</c:v>
                      </c:pt>
                      <c:pt idx="447">
                        <c:v>45545</c:v>
                      </c:pt>
                      <c:pt idx="448">
                        <c:v>45544</c:v>
                      </c:pt>
                      <c:pt idx="449">
                        <c:v>45543</c:v>
                      </c:pt>
                      <c:pt idx="450">
                        <c:v>45542</c:v>
                      </c:pt>
                      <c:pt idx="451">
                        <c:v>45541</c:v>
                      </c:pt>
                      <c:pt idx="452">
                        <c:v>45540</c:v>
                      </c:pt>
                      <c:pt idx="453">
                        <c:v>45539</c:v>
                      </c:pt>
                      <c:pt idx="454">
                        <c:v>45538</c:v>
                      </c:pt>
                      <c:pt idx="455">
                        <c:v>45537</c:v>
                      </c:pt>
                      <c:pt idx="456">
                        <c:v>45536</c:v>
                      </c:pt>
                      <c:pt idx="457">
                        <c:v>45535</c:v>
                      </c:pt>
                      <c:pt idx="458">
                        <c:v>45534</c:v>
                      </c:pt>
                      <c:pt idx="459">
                        <c:v>45533</c:v>
                      </c:pt>
                      <c:pt idx="460">
                        <c:v>45532</c:v>
                      </c:pt>
                      <c:pt idx="461">
                        <c:v>45531</c:v>
                      </c:pt>
                      <c:pt idx="462">
                        <c:v>45530</c:v>
                      </c:pt>
                      <c:pt idx="463">
                        <c:v>45529</c:v>
                      </c:pt>
                      <c:pt idx="464">
                        <c:v>45528</c:v>
                      </c:pt>
                      <c:pt idx="465">
                        <c:v>45527</c:v>
                      </c:pt>
                      <c:pt idx="466">
                        <c:v>45526</c:v>
                      </c:pt>
                      <c:pt idx="467">
                        <c:v>45525</c:v>
                      </c:pt>
                      <c:pt idx="468">
                        <c:v>45524</c:v>
                      </c:pt>
                      <c:pt idx="469">
                        <c:v>45523</c:v>
                      </c:pt>
                      <c:pt idx="470">
                        <c:v>45522</c:v>
                      </c:pt>
                      <c:pt idx="471">
                        <c:v>45521</c:v>
                      </c:pt>
                      <c:pt idx="472">
                        <c:v>45520</c:v>
                      </c:pt>
                      <c:pt idx="473">
                        <c:v>45519</c:v>
                      </c:pt>
                      <c:pt idx="474">
                        <c:v>45516</c:v>
                      </c:pt>
                      <c:pt idx="475">
                        <c:v>45515</c:v>
                      </c:pt>
                    </c:numCache>
                  </c:numRef>
                </c:cat>
                <c:val>
                  <c:numRef>
                    <c:extLst>
                      <c:ext uri="{02D57815-91ED-43cb-92C2-25804820EDAC}">
                        <c15:fullRef>
                          <c15:sqref>Accueil!$P$4:$P$492</c15:sqref>
                        </c15:fullRef>
                        <c15:formulaRef>
                          <c15:sqref>(Accueil!$P$4:$P$397,Accueil!$P$400:$P$402,Accueil!$P$404:$P$406,Accueil!$P$408:$P$410,Accueil!$P$412:$P$414,Accueil!$P$416,Accueil!$P$418,Accueil!$P$420,Accueil!$P$422,Accueil!$P$424,Accueil!$P$426,Accueil!$P$428:$P$429,Accueil!$P$431:$P$492)</c15:sqref>
                        </c15:formulaRef>
                      </c:ext>
                    </c:extLst>
                    <c:numCache>
                      <c:formatCode>_("€"* #\ ##0.00_);_("€"* \(#\ ##0.00\);_("€"* "-"??_);_(@_)</c:formatCode>
                      <c:ptCount val="476"/>
                      <c:pt idx="0">
                        <c:v>114397.26</c:v>
                      </c:pt>
                      <c:pt idx="1">
                        <c:v>114407.67</c:v>
                      </c:pt>
                      <c:pt idx="2">
                        <c:v>114422.72</c:v>
                      </c:pt>
                      <c:pt idx="3">
                        <c:v>114437.78</c:v>
                      </c:pt>
                      <c:pt idx="4">
                        <c:v>114564.84</c:v>
                      </c:pt>
                      <c:pt idx="5">
                        <c:v>114568.65</c:v>
                      </c:pt>
                      <c:pt idx="6">
                        <c:v>114594.15</c:v>
                      </c:pt>
                      <c:pt idx="7">
                        <c:v>114742.63</c:v>
                      </c:pt>
                      <c:pt idx="8">
                        <c:v>114751.26</c:v>
                      </c:pt>
                      <c:pt idx="9">
                        <c:v>114919.23</c:v>
                      </c:pt>
                      <c:pt idx="10">
                        <c:v>114906.24000000001</c:v>
                      </c:pt>
                      <c:pt idx="11">
                        <c:v>114893.25</c:v>
                      </c:pt>
                      <c:pt idx="12">
                        <c:v>114931.52</c:v>
                      </c:pt>
                      <c:pt idx="13">
                        <c:v>115046.73</c:v>
                      </c:pt>
                      <c:pt idx="14">
                        <c:v>115135.1</c:v>
                      </c:pt>
                      <c:pt idx="15">
                        <c:v>115176.36</c:v>
                      </c:pt>
                      <c:pt idx="16">
                        <c:v>115217.61</c:v>
                      </c:pt>
                      <c:pt idx="17">
                        <c:v>115258.86</c:v>
                      </c:pt>
                      <c:pt idx="18">
                        <c:v>115253.99</c:v>
                      </c:pt>
                      <c:pt idx="19">
                        <c:v>115249.11</c:v>
                      </c:pt>
                      <c:pt idx="20">
                        <c:v>115092.54</c:v>
                      </c:pt>
                      <c:pt idx="21">
                        <c:v>115145.12</c:v>
                      </c:pt>
                      <c:pt idx="22">
                        <c:v>115185.8</c:v>
                      </c:pt>
                      <c:pt idx="23">
                        <c:v>115182.69</c:v>
                      </c:pt>
                      <c:pt idx="24">
                        <c:v>115179.85</c:v>
                      </c:pt>
                      <c:pt idx="25">
                        <c:v>115177</c:v>
                      </c:pt>
                      <c:pt idx="26">
                        <c:v>115326.28</c:v>
                      </c:pt>
                      <c:pt idx="27">
                        <c:v>115322.87</c:v>
                      </c:pt>
                      <c:pt idx="28">
                        <c:v>115203.66</c:v>
                      </c:pt>
                      <c:pt idx="29">
                        <c:v>115330.98</c:v>
                      </c:pt>
                      <c:pt idx="30">
                        <c:v>115611</c:v>
                      </c:pt>
                      <c:pt idx="31">
                        <c:v>115891.02</c:v>
                      </c:pt>
                      <c:pt idx="32">
                        <c:v>115921.57</c:v>
                      </c:pt>
                      <c:pt idx="33">
                        <c:v>115800.55</c:v>
                      </c:pt>
                      <c:pt idx="34">
                        <c:v>115845.53</c:v>
                      </c:pt>
                      <c:pt idx="35">
                        <c:v>115890.5</c:v>
                      </c:pt>
                      <c:pt idx="36">
                        <c:v>115807.02</c:v>
                      </c:pt>
                      <c:pt idx="37">
                        <c:v>115871.54</c:v>
                      </c:pt>
                      <c:pt idx="38">
                        <c:v>116197.22</c:v>
                      </c:pt>
                      <c:pt idx="39">
                        <c:v>116190.21</c:v>
                      </c:pt>
                      <c:pt idx="40">
                        <c:v>115918.9</c:v>
                      </c:pt>
                      <c:pt idx="41">
                        <c:v>115895.72</c:v>
                      </c:pt>
                      <c:pt idx="42">
                        <c:v>116042.37</c:v>
                      </c:pt>
                      <c:pt idx="43">
                        <c:v>116189.03</c:v>
                      </c:pt>
                      <c:pt idx="44">
                        <c:v>116335.67999999999</c:v>
                      </c:pt>
                      <c:pt idx="45">
                        <c:v>116219.8</c:v>
                      </c:pt>
                      <c:pt idx="46">
                        <c:v>116103.92</c:v>
                      </c:pt>
                      <c:pt idx="47">
                        <c:v>115918.82</c:v>
                      </c:pt>
                      <c:pt idx="48">
                        <c:v>115901.95</c:v>
                      </c:pt>
                      <c:pt idx="49">
                        <c:v>116219.12</c:v>
                      </c:pt>
                      <c:pt idx="50">
                        <c:v>116476.28</c:v>
                      </c:pt>
                      <c:pt idx="51">
                        <c:v>116239.95</c:v>
                      </c:pt>
                      <c:pt idx="52">
                        <c:v>116287.02</c:v>
                      </c:pt>
                      <c:pt idx="53">
                        <c:v>116236.03</c:v>
                      </c:pt>
                      <c:pt idx="54">
                        <c:v>116185.04</c:v>
                      </c:pt>
                      <c:pt idx="55">
                        <c:v>116355.46</c:v>
                      </c:pt>
                      <c:pt idx="56">
                        <c:v>116410.93</c:v>
                      </c:pt>
                      <c:pt idx="57">
                        <c:v>116466.4</c:v>
                      </c:pt>
                      <c:pt idx="58">
                        <c:v>116433.99</c:v>
                      </c:pt>
                      <c:pt idx="59">
                        <c:v>116245.11</c:v>
                      </c:pt>
                      <c:pt idx="60">
                        <c:v>116167.87</c:v>
                      </c:pt>
                      <c:pt idx="61">
                        <c:v>116058.62</c:v>
                      </c:pt>
                      <c:pt idx="62">
                        <c:v>115826.26</c:v>
                      </c:pt>
                      <c:pt idx="63">
                        <c:v>115906.73</c:v>
                      </c:pt>
                      <c:pt idx="64">
                        <c:v>116095.05</c:v>
                      </c:pt>
                      <c:pt idx="65">
                        <c:v>116216.46</c:v>
                      </c:pt>
                      <c:pt idx="66">
                        <c:v>116459.29</c:v>
                      </c:pt>
                      <c:pt idx="67">
                        <c:v>116702.31</c:v>
                      </c:pt>
                      <c:pt idx="68">
                        <c:v>116622.78</c:v>
                      </c:pt>
                      <c:pt idx="69">
                        <c:v>116543.25</c:v>
                      </c:pt>
                      <c:pt idx="70">
                        <c:v>116463.72</c:v>
                      </c:pt>
                      <c:pt idx="71">
                        <c:v>116522.8</c:v>
                      </c:pt>
                      <c:pt idx="72">
                        <c:v>116581.77</c:v>
                      </c:pt>
                      <c:pt idx="73">
                        <c:v>116629.29</c:v>
                      </c:pt>
                      <c:pt idx="74">
                        <c:v>116676.8</c:v>
                      </c:pt>
                      <c:pt idx="75">
                        <c:v>116775.89</c:v>
                      </c:pt>
                      <c:pt idx="76">
                        <c:v>116982.61</c:v>
                      </c:pt>
                      <c:pt idx="77">
                        <c:v>116793.23</c:v>
                      </c:pt>
                      <c:pt idx="79">
                        <c:v>116771.03</c:v>
                      </c:pt>
                      <c:pt idx="80">
                        <c:v>116897.18</c:v>
                      </c:pt>
                      <c:pt idx="81">
                        <c:v>117023.33</c:v>
                      </c:pt>
                      <c:pt idx="82">
                        <c:v>116941.7</c:v>
                      </c:pt>
                      <c:pt idx="83">
                        <c:v>116692.9</c:v>
                      </c:pt>
                      <c:pt idx="84">
                        <c:v>116880.67</c:v>
                      </c:pt>
                      <c:pt idx="85">
                        <c:v>117185.43</c:v>
                      </c:pt>
                      <c:pt idx="86">
                        <c:v>117370.49</c:v>
                      </c:pt>
                      <c:pt idx="87">
                        <c:v>117420.12</c:v>
                      </c:pt>
                      <c:pt idx="88">
                        <c:v>117512.34</c:v>
                      </c:pt>
                      <c:pt idx="89">
                        <c:v>117632.5</c:v>
                      </c:pt>
                      <c:pt idx="90">
                        <c:v>117585.72</c:v>
                      </c:pt>
                      <c:pt idx="91">
                        <c:v>117609.45</c:v>
                      </c:pt>
                      <c:pt idx="92">
                        <c:v>117672.92</c:v>
                      </c:pt>
                      <c:pt idx="93">
                        <c:v>117800.33</c:v>
                      </c:pt>
                      <c:pt idx="94">
                        <c:v>117948.22</c:v>
                      </c:pt>
                      <c:pt idx="95">
                        <c:v>117959.54</c:v>
                      </c:pt>
                      <c:pt idx="96">
                        <c:v>117998.13</c:v>
                      </c:pt>
                      <c:pt idx="97">
                        <c:v>118375.35</c:v>
                      </c:pt>
                      <c:pt idx="98">
                        <c:v>118540.47</c:v>
                      </c:pt>
                      <c:pt idx="99">
                        <c:v>118486.59</c:v>
                      </c:pt>
                      <c:pt idx="100">
                        <c:v>118576.33</c:v>
                      </c:pt>
                      <c:pt idx="101">
                        <c:v>118667.75</c:v>
                      </c:pt>
                      <c:pt idx="102">
                        <c:v>118589.55</c:v>
                      </c:pt>
                      <c:pt idx="103">
                        <c:v>118576.43</c:v>
                      </c:pt>
                      <c:pt idx="104">
                        <c:v>118563.31</c:v>
                      </c:pt>
                      <c:pt idx="105">
                        <c:v>118400.69</c:v>
                      </c:pt>
                      <c:pt idx="106">
                        <c:v>118266.48</c:v>
                      </c:pt>
                      <c:pt idx="107">
                        <c:v>118538.33</c:v>
                      </c:pt>
                      <c:pt idx="108">
                        <c:v>118581.77</c:v>
                      </c:pt>
                      <c:pt idx="109">
                        <c:v>118625.2</c:v>
                      </c:pt>
                      <c:pt idx="110">
                        <c:v>118668.64</c:v>
                      </c:pt>
                      <c:pt idx="111">
                        <c:v>118712.08</c:v>
                      </c:pt>
                      <c:pt idx="112">
                        <c:v>118923.33</c:v>
                      </c:pt>
                      <c:pt idx="113">
                        <c:v>118881.86</c:v>
                      </c:pt>
                      <c:pt idx="114">
                        <c:v>118840.4</c:v>
                      </c:pt>
                      <c:pt idx="115">
                        <c:v>118859.93</c:v>
                      </c:pt>
                      <c:pt idx="116">
                        <c:v>118574.01</c:v>
                      </c:pt>
                      <c:pt idx="117">
                        <c:v>118524.03</c:v>
                      </c:pt>
                      <c:pt idx="118">
                        <c:v>118490.74</c:v>
                      </c:pt>
                      <c:pt idx="119">
                        <c:v>118456.37</c:v>
                      </c:pt>
                      <c:pt idx="120">
                        <c:v>118192.38</c:v>
                      </c:pt>
                      <c:pt idx="121">
                        <c:v>118087.31</c:v>
                      </c:pt>
                      <c:pt idx="122">
                        <c:v>117982.23</c:v>
                      </c:pt>
                      <c:pt idx="123">
                        <c:v>118155.03</c:v>
                      </c:pt>
                      <c:pt idx="124">
                        <c:v>118098.38</c:v>
                      </c:pt>
                      <c:pt idx="125">
                        <c:v>118041.73</c:v>
                      </c:pt>
                      <c:pt idx="126">
                        <c:v>117985.09</c:v>
                      </c:pt>
                      <c:pt idx="127">
                        <c:v>117872.01</c:v>
                      </c:pt>
                      <c:pt idx="128">
                        <c:v>117656.02</c:v>
                      </c:pt>
                      <c:pt idx="129">
                        <c:v>117658.21</c:v>
                      </c:pt>
                      <c:pt idx="130">
                        <c:v>117740.91</c:v>
                      </c:pt>
                      <c:pt idx="131">
                        <c:v>117812.64</c:v>
                      </c:pt>
                      <c:pt idx="132">
                        <c:v>117806.93</c:v>
                      </c:pt>
                      <c:pt idx="133">
                        <c:v>117801.21</c:v>
                      </c:pt>
                      <c:pt idx="134">
                        <c:v>117795.5</c:v>
                      </c:pt>
                      <c:pt idx="135">
                        <c:v>117675.65</c:v>
                      </c:pt>
                      <c:pt idx="136">
                        <c:v>117556.82</c:v>
                      </c:pt>
                      <c:pt idx="137">
                        <c:v>117437.99</c:v>
                      </c:pt>
                      <c:pt idx="138">
                        <c:v>117329.68</c:v>
                      </c:pt>
                      <c:pt idx="139">
                        <c:v>117277.81</c:v>
                      </c:pt>
                      <c:pt idx="140">
                        <c:v>117205.54</c:v>
                      </c:pt>
                      <c:pt idx="141">
                        <c:v>117133.27</c:v>
                      </c:pt>
                      <c:pt idx="142">
                        <c:v>117164.72</c:v>
                      </c:pt>
                      <c:pt idx="143">
                        <c:v>117274.94</c:v>
                      </c:pt>
                      <c:pt idx="144">
                        <c:v>117312.83</c:v>
                      </c:pt>
                      <c:pt idx="145">
                        <c:v>117350.73</c:v>
                      </c:pt>
                      <c:pt idx="146">
                        <c:v>117563.22</c:v>
                      </c:pt>
                      <c:pt idx="147">
                        <c:v>117468.26</c:v>
                      </c:pt>
                      <c:pt idx="148">
                        <c:v>117443.21</c:v>
                      </c:pt>
                      <c:pt idx="149">
                        <c:v>117418.17</c:v>
                      </c:pt>
                      <c:pt idx="150">
                        <c:v>117422.64</c:v>
                      </c:pt>
                      <c:pt idx="151">
                        <c:v>117217.84</c:v>
                      </c:pt>
                      <c:pt idx="152">
                        <c:v>117216.42</c:v>
                      </c:pt>
                      <c:pt idx="153">
                        <c:v>117197.92</c:v>
                      </c:pt>
                      <c:pt idx="154">
                        <c:v>117179.41</c:v>
                      </c:pt>
                      <c:pt idx="155">
                        <c:v>116994.03</c:v>
                      </c:pt>
                      <c:pt idx="156">
                        <c:v>116954.89</c:v>
                      </c:pt>
                      <c:pt idx="157">
                        <c:v>116971.86</c:v>
                      </c:pt>
                      <c:pt idx="158">
                        <c:v>116914.76</c:v>
                      </c:pt>
                      <c:pt idx="159">
                        <c:v>116794.74</c:v>
                      </c:pt>
                      <c:pt idx="160">
                        <c:v>116902.15</c:v>
                      </c:pt>
                      <c:pt idx="161">
                        <c:v>116777.75</c:v>
                      </c:pt>
                      <c:pt idx="162">
                        <c:v>116653.35</c:v>
                      </c:pt>
                      <c:pt idx="163">
                        <c:v>116386.77</c:v>
                      </c:pt>
                      <c:pt idx="164">
                        <c:v>116261.99</c:v>
                      </c:pt>
                      <c:pt idx="165">
                        <c:v>116574.37</c:v>
                      </c:pt>
                      <c:pt idx="166">
                        <c:v>116444.2</c:v>
                      </c:pt>
                      <c:pt idx="167">
                        <c:v>116314.03</c:v>
                      </c:pt>
                      <c:pt idx="168">
                        <c:v>116183.86</c:v>
                      </c:pt>
                      <c:pt idx="169">
                        <c:v>116324.23</c:v>
                      </c:pt>
                      <c:pt idx="170">
                        <c:v>116483.52</c:v>
                      </c:pt>
                      <c:pt idx="171">
                        <c:v>116664.38</c:v>
                      </c:pt>
                      <c:pt idx="172">
                        <c:v>116984.53</c:v>
                      </c:pt>
                      <c:pt idx="173">
                        <c:v>117180.24</c:v>
                      </c:pt>
                      <c:pt idx="174">
                        <c:v>117180.24</c:v>
                      </c:pt>
                      <c:pt idx="175">
                        <c:v>116953.35</c:v>
                      </c:pt>
                      <c:pt idx="176">
                        <c:v>117192.12</c:v>
                      </c:pt>
                      <c:pt idx="177">
                        <c:v>117430.89</c:v>
                      </c:pt>
                      <c:pt idx="178">
                        <c:v>117669.6</c:v>
                      </c:pt>
                      <c:pt idx="179">
                        <c:v>118012.26</c:v>
                      </c:pt>
                      <c:pt idx="180">
                        <c:v>118354.92</c:v>
                      </c:pt>
                      <c:pt idx="181">
                        <c:v>118674.04</c:v>
                      </c:pt>
                      <c:pt idx="182">
                        <c:v>118841.01</c:v>
                      </c:pt>
                      <c:pt idx="183">
                        <c:v>118542.33</c:v>
                      </c:pt>
                      <c:pt idx="184">
                        <c:v>118798.59</c:v>
                      </c:pt>
                      <c:pt idx="185">
                        <c:v>119198.05</c:v>
                      </c:pt>
                      <c:pt idx="186">
                        <c:v>119553.3</c:v>
                      </c:pt>
                      <c:pt idx="187">
                        <c:v>119908.56</c:v>
                      </c:pt>
                      <c:pt idx="188">
                        <c:v>120220.84</c:v>
                      </c:pt>
                      <c:pt idx="189">
                        <c:v>120583.09</c:v>
                      </c:pt>
                      <c:pt idx="190">
                        <c:v>120978.58</c:v>
                      </c:pt>
                      <c:pt idx="191">
                        <c:v>121411.69</c:v>
                      </c:pt>
                      <c:pt idx="192">
                        <c:v>121397.68</c:v>
                      </c:pt>
                      <c:pt idx="193">
                        <c:v>121383.67</c:v>
                      </c:pt>
                      <c:pt idx="194">
                        <c:v>121369.66</c:v>
                      </c:pt>
                      <c:pt idx="195">
                        <c:v>121021.44</c:v>
                      </c:pt>
                      <c:pt idx="196">
                        <c:v>120654.57</c:v>
                      </c:pt>
                      <c:pt idx="197">
                        <c:v>120627.42</c:v>
                      </c:pt>
                      <c:pt idx="198">
                        <c:v>120962.83</c:v>
                      </c:pt>
                      <c:pt idx="199">
                        <c:v>120951.12</c:v>
                      </c:pt>
                      <c:pt idx="200">
                        <c:v>121112.17</c:v>
                      </c:pt>
                      <c:pt idx="201">
                        <c:v>121273.22</c:v>
                      </c:pt>
                      <c:pt idx="202">
                        <c:v>121434.27</c:v>
                      </c:pt>
                      <c:pt idx="203">
                        <c:v>121571.33</c:v>
                      </c:pt>
                      <c:pt idx="204">
                        <c:v>121368.66</c:v>
                      </c:pt>
                      <c:pt idx="205">
                        <c:v>121378.5</c:v>
                      </c:pt>
                      <c:pt idx="206">
                        <c:v>121180.79</c:v>
                      </c:pt>
                      <c:pt idx="207">
                        <c:v>120983.08</c:v>
                      </c:pt>
                      <c:pt idx="208">
                        <c:v>121008.23</c:v>
                      </c:pt>
                      <c:pt idx="209">
                        <c:v>121033.39</c:v>
                      </c:pt>
                      <c:pt idx="210">
                        <c:v>121010.46</c:v>
                      </c:pt>
                      <c:pt idx="211">
                        <c:v>121071.43</c:v>
                      </c:pt>
                      <c:pt idx="212">
                        <c:v>121132.4</c:v>
                      </c:pt>
                      <c:pt idx="213">
                        <c:v>121240.08</c:v>
                      </c:pt>
                      <c:pt idx="214">
                        <c:v>121109.55</c:v>
                      </c:pt>
                      <c:pt idx="215">
                        <c:v>121156.39</c:v>
                      </c:pt>
                      <c:pt idx="216">
                        <c:v>121203.24</c:v>
                      </c:pt>
                      <c:pt idx="217">
                        <c:v>121426.83</c:v>
                      </c:pt>
                      <c:pt idx="218">
                        <c:v>121312.7</c:v>
                      </c:pt>
                      <c:pt idx="219">
                        <c:v>121265.83</c:v>
                      </c:pt>
                      <c:pt idx="220">
                        <c:v>121311.52</c:v>
                      </c:pt>
                      <c:pt idx="221">
                        <c:v>121302.49</c:v>
                      </c:pt>
                      <c:pt idx="222">
                        <c:v>121293.47</c:v>
                      </c:pt>
                      <c:pt idx="223">
                        <c:v>121065.93</c:v>
                      </c:pt>
                      <c:pt idx="224">
                        <c:v>121043.87</c:v>
                      </c:pt>
                      <c:pt idx="225">
                        <c:v>121010.29</c:v>
                      </c:pt>
                      <c:pt idx="226">
                        <c:v>120976.7</c:v>
                      </c:pt>
                      <c:pt idx="227">
                        <c:v>120990.67</c:v>
                      </c:pt>
                      <c:pt idx="228">
                        <c:v>121016.34</c:v>
                      </c:pt>
                      <c:pt idx="229">
                        <c:v>121009.82</c:v>
                      </c:pt>
                      <c:pt idx="230">
                        <c:v>121000</c:v>
                      </c:pt>
                      <c:pt idx="231">
                        <c:v>120990.18</c:v>
                      </c:pt>
                      <c:pt idx="232">
                        <c:v>121407.41</c:v>
                      </c:pt>
                      <c:pt idx="233">
                        <c:v>121392.8</c:v>
                      </c:pt>
                      <c:pt idx="234">
                        <c:v>121193.60000000001</c:v>
                      </c:pt>
                      <c:pt idx="235">
                        <c:v>120994.4</c:v>
                      </c:pt>
                      <c:pt idx="236">
                        <c:v>121144.69</c:v>
                      </c:pt>
                      <c:pt idx="237">
                        <c:v>121094.52</c:v>
                      </c:pt>
                      <c:pt idx="238">
                        <c:v>121009.49</c:v>
                      </c:pt>
                      <c:pt idx="239">
                        <c:v>121017.97</c:v>
                      </c:pt>
                      <c:pt idx="240">
                        <c:v>121037.21</c:v>
                      </c:pt>
                      <c:pt idx="241">
                        <c:v>121056.44</c:v>
                      </c:pt>
                      <c:pt idx="242">
                        <c:v>121046.15</c:v>
                      </c:pt>
                      <c:pt idx="243">
                        <c:v>120759.11</c:v>
                      </c:pt>
                      <c:pt idx="244">
                        <c:v>120904.46</c:v>
                      </c:pt>
                      <c:pt idx="245">
                        <c:v>121022.85</c:v>
                      </c:pt>
                      <c:pt idx="246">
                        <c:v>121192.78</c:v>
                      </c:pt>
                      <c:pt idx="247">
                        <c:v>121146.08</c:v>
                      </c:pt>
                      <c:pt idx="248">
                        <c:v>121088.31</c:v>
                      </c:pt>
                      <c:pt idx="249">
                        <c:v>121001.65</c:v>
                      </c:pt>
                      <c:pt idx="250">
                        <c:v>121047.91</c:v>
                      </c:pt>
                      <c:pt idx="251">
                        <c:v>120961.77</c:v>
                      </c:pt>
                      <c:pt idx="252">
                        <c:v>121121.53</c:v>
                      </c:pt>
                      <c:pt idx="253">
                        <c:v>121363.54</c:v>
                      </c:pt>
                      <c:pt idx="254">
                        <c:v>121902.03</c:v>
                      </c:pt>
                      <c:pt idx="255">
                        <c:v>121923.8</c:v>
                      </c:pt>
                      <c:pt idx="256">
                        <c:v>121820.71</c:v>
                      </c:pt>
                      <c:pt idx="257">
                        <c:v>121997.2</c:v>
                      </c:pt>
                      <c:pt idx="258">
                        <c:v>122041.29</c:v>
                      </c:pt>
                      <c:pt idx="259">
                        <c:v>122129.45</c:v>
                      </c:pt>
                      <c:pt idx="260">
                        <c:v>122079.65</c:v>
                      </c:pt>
                      <c:pt idx="261">
                        <c:v>122370.16</c:v>
                      </c:pt>
                      <c:pt idx="262">
                        <c:v>122371.18</c:v>
                      </c:pt>
                      <c:pt idx="263">
                        <c:v>122608.91</c:v>
                      </c:pt>
                      <c:pt idx="264">
                        <c:v>122610.15</c:v>
                      </c:pt>
                      <c:pt idx="265">
                        <c:v>122691.89</c:v>
                      </c:pt>
                      <c:pt idx="266">
                        <c:v>122718.73</c:v>
                      </c:pt>
                      <c:pt idx="267">
                        <c:v>122806.41</c:v>
                      </c:pt>
                      <c:pt idx="268">
                        <c:v>123003.93</c:v>
                      </c:pt>
                      <c:pt idx="269">
                        <c:v>122931.12</c:v>
                      </c:pt>
                      <c:pt idx="270">
                        <c:v>122964.47</c:v>
                      </c:pt>
                      <c:pt idx="271">
                        <c:v>123040.89</c:v>
                      </c:pt>
                      <c:pt idx="272">
                        <c:v>123117.3</c:v>
                      </c:pt>
                      <c:pt idx="273">
                        <c:v>123361.52</c:v>
                      </c:pt>
                      <c:pt idx="274">
                        <c:v>124540.25</c:v>
                      </c:pt>
                      <c:pt idx="275">
                        <c:v>124771.46</c:v>
                      </c:pt>
                      <c:pt idx="276">
                        <c:v>124965.3</c:v>
                      </c:pt>
                      <c:pt idx="277">
                        <c:v>125021.05</c:v>
                      </c:pt>
                      <c:pt idx="278">
                        <c:v>125231.83</c:v>
                      </c:pt>
                      <c:pt idx="279">
                        <c:v>125442.61</c:v>
                      </c:pt>
                      <c:pt idx="280">
                        <c:v>125549.55</c:v>
                      </c:pt>
                      <c:pt idx="281">
                        <c:v>125656.48</c:v>
                      </c:pt>
                      <c:pt idx="282">
                        <c:v>125763.42</c:v>
                      </c:pt>
                      <c:pt idx="283">
                        <c:v>125789.68</c:v>
                      </c:pt>
                      <c:pt idx="284">
                        <c:v>125954.03</c:v>
                      </c:pt>
                      <c:pt idx="285">
                        <c:v>125987.22</c:v>
                      </c:pt>
                      <c:pt idx="286">
                        <c:v>126020.42</c:v>
                      </c:pt>
                      <c:pt idx="287">
                        <c:v>126053.61</c:v>
                      </c:pt>
                      <c:pt idx="288">
                        <c:v>126007.91</c:v>
                      </c:pt>
                      <c:pt idx="289">
                        <c:v>125962.21</c:v>
                      </c:pt>
                      <c:pt idx="290">
                        <c:v>126057.13</c:v>
                      </c:pt>
                      <c:pt idx="291">
                        <c:v>126043.74</c:v>
                      </c:pt>
                      <c:pt idx="292">
                        <c:v>125921.69</c:v>
                      </c:pt>
                      <c:pt idx="293">
                        <c:v>125742.39</c:v>
                      </c:pt>
                      <c:pt idx="294">
                        <c:v>125799.4</c:v>
                      </c:pt>
                      <c:pt idx="295">
                        <c:v>125798.36</c:v>
                      </c:pt>
                      <c:pt idx="296">
                        <c:v>125846.92</c:v>
                      </c:pt>
                      <c:pt idx="297">
                        <c:v>125783.65</c:v>
                      </c:pt>
                      <c:pt idx="298">
                        <c:v>125792.06</c:v>
                      </c:pt>
                      <c:pt idx="299">
                        <c:v>125800.47</c:v>
                      </c:pt>
                      <c:pt idx="300">
                        <c:v>125848.88</c:v>
                      </c:pt>
                      <c:pt idx="301">
                        <c:v>125927.7</c:v>
                      </c:pt>
                      <c:pt idx="302">
                        <c:v>126006.53</c:v>
                      </c:pt>
                      <c:pt idx="303">
                        <c:v>126327.38</c:v>
                      </c:pt>
                      <c:pt idx="304">
                        <c:v>126258.89</c:v>
                      </c:pt>
                      <c:pt idx="305">
                        <c:v>126606.63</c:v>
                      </c:pt>
                      <c:pt idx="306">
                        <c:v>126725.38</c:v>
                      </c:pt>
                      <c:pt idx="307">
                        <c:v>126794.02</c:v>
                      </c:pt>
                      <c:pt idx="308">
                        <c:v>126862.67</c:v>
                      </c:pt>
                      <c:pt idx="309">
                        <c:v>126691.26</c:v>
                      </c:pt>
                      <c:pt idx="310">
                        <c:v>126649.78</c:v>
                      </c:pt>
                      <c:pt idx="311">
                        <c:v>126608.3</c:v>
                      </c:pt>
                      <c:pt idx="312">
                        <c:v>126442.29</c:v>
                      </c:pt>
                      <c:pt idx="313">
                        <c:v>126246.18</c:v>
                      </c:pt>
                      <c:pt idx="314">
                        <c:v>126050.07</c:v>
                      </c:pt>
                      <c:pt idx="315">
                        <c:v>125853.97</c:v>
                      </c:pt>
                      <c:pt idx="316">
                        <c:v>125754.12</c:v>
                      </c:pt>
                      <c:pt idx="317">
                        <c:v>125681.04</c:v>
                      </c:pt>
                      <c:pt idx="318">
                        <c:v>125693.35</c:v>
                      </c:pt>
                      <c:pt idx="319">
                        <c:v>125586.38</c:v>
                      </c:pt>
                      <c:pt idx="320">
                        <c:v>125465.67</c:v>
                      </c:pt>
                      <c:pt idx="321">
                        <c:v>125597.66</c:v>
                      </c:pt>
                      <c:pt idx="322">
                        <c:v>125678.14</c:v>
                      </c:pt>
                      <c:pt idx="323">
                        <c:v>125640.23</c:v>
                      </c:pt>
                      <c:pt idx="324">
                        <c:v>125576.98</c:v>
                      </c:pt>
                      <c:pt idx="325">
                        <c:v>125629.53</c:v>
                      </c:pt>
                      <c:pt idx="326">
                        <c:v>125543.21</c:v>
                      </c:pt>
                      <c:pt idx="327">
                        <c:v>125576.8</c:v>
                      </c:pt>
                      <c:pt idx="328">
                        <c:v>125610.39</c:v>
                      </c:pt>
                      <c:pt idx="329">
                        <c:v>125643.97</c:v>
                      </c:pt>
                      <c:pt idx="330">
                        <c:v>125643.48</c:v>
                      </c:pt>
                      <c:pt idx="331">
                        <c:v>125613.26</c:v>
                      </c:pt>
                      <c:pt idx="332">
                        <c:v>125683.77</c:v>
                      </c:pt>
                      <c:pt idx="333">
                        <c:v>125901.6</c:v>
                      </c:pt>
                      <c:pt idx="334">
                        <c:v>125999.53</c:v>
                      </c:pt>
                      <c:pt idx="335">
                        <c:v>125982.27</c:v>
                      </c:pt>
                      <c:pt idx="336">
                        <c:v>125965.01</c:v>
                      </c:pt>
                      <c:pt idx="337">
                        <c:v>125947.76</c:v>
                      </c:pt>
                      <c:pt idx="338">
                        <c:v>126194.81</c:v>
                      </c:pt>
                      <c:pt idx="339">
                        <c:v>126166.24</c:v>
                      </c:pt>
                      <c:pt idx="340">
                        <c:v>126137.67</c:v>
                      </c:pt>
                      <c:pt idx="341">
                        <c:v>126152.6</c:v>
                      </c:pt>
                      <c:pt idx="342">
                        <c:v>126119.34</c:v>
                      </c:pt>
                      <c:pt idx="343">
                        <c:v>126086.07</c:v>
                      </c:pt>
                      <c:pt idx="344">
                        <c:v>126355.42</c:v>
                      </c:pt>
                      <c:pt idx="345">
                        <c:v>126624.78</c:v>
                      </c:pt>
                      <c:pt idx="346">
                        <c:v>126560.08</c:v>
                      </c:pt>
                      <c:pt idx="347">
                        <c:v>126383.23</c:v>
                      </c:pt>
                      <c:pt idx="348">
                        <c:v>126290.36</c:v>
                      </c:pt>
                      <c:pt idx="349">
                        <c:v>126406.99</c:v>
                      </c:pt>
                      <c:pt idx="350">
                        <c:v>126523.62</c:v>
                      </c:pt>
                      <c:pt idx="351">
                        <c:v>126178.89</c:v>
                      </c:pt>
                      <c:pt idx="352">
                        <c:v>126372.74</c:v>
                      </c:pt>
                      <c:pt idx="353">
                        <c:v>126769.62</c:v>
                      </c:pt>
                      <c:pt idx="354">
                        <c:v>126872.4</c:v>
                      </c:pt>
                      <c:pt idx="355">
                        <c:v>126975.17</c:v>
                      </c:pt>
                      <c:pt idx="356">
                        <c:v>126897.02</c:v>
                      </c:pt>
                      <c:pt idx="357">
                        <c:v>126588.37</c:v>
                      </c:pt>
                      <c:pt idx="358">
                        <c:v>126279.72</c:v>
                      </c:pt>
                      <c:pt idx="359">
                        <c:v>126344.48</c:v>
                      </c:pt>
                      <c:pt idx="360">
                        <c:v>126430.47</c:v>
                      </c:pt>
                      <c:pt idx="361">
                        <c:v>125683.21</c:v>
                      </c:pt>
                      <c:pt idx="362">
                        <c:v>125886.23</c:v>
                      </c:pt>
                      <c:pt idx="363">
                        <c:v>125921.72</c:v>
                      </c:pt>
                      <c:pt idx="364">
                        <c:v>125957.22</c:v>
                      </c:pt>
                      <c:pt idx="365">
                        <c:v>125992.71</c:v>
                      </c:pt>
                      <c:pt idx="366">
                        <c:v>126247.86</c:v>
                      </c:pt>
                      <c:pt idx="367">
                        <c:v>126385.54</c:v>
                      </c:pt>
                      <c:pt idx="368">
                        <c:v>126302.37</c:v>
                      </c:pt>
                      <c:pt idx="369">
                        <c:v>126212.38</c:v>
                      </c:pt>
                      <c:pt idx="370">
                        <c:v>126122.39</c:v>
                      </c:pt>
                      <c:pt idx="371">
                        <c:v>126032.4</c:v>
                      </c:pt>
                      <c:pt idx="372">
                        <c:v>125887.71</c:v>
                      </c:pt>
                      <c:pt idx="373">
                        <c:v>125768.25</c:v>
                      </c:pt>
                      <c:pt idx="374">
                        <c:v>125527.34</c:v>
                      </c:pt>
                      <c:pt idx="375">
                        <c:v>125521.21</c:v>
                      </c:pt>
                      <c:pt idx="376">
                        <c:v>125678.39</c:v>
                      </c:pt>
                      <c:pt idx="377">
                        <c:v>125882.29</c:v>
                      </c:pt>
                      <c:pt idx="378">
                        <c:v>125914.68</c:v>
                      </c:pt>
                      <c:pt idx="379">
                        <c:v>125947.19</c:v>
                      </c:pt>
                      <c:pt idx="380">
                        <c:v>125862.76</c:v>
                      </c:pt>
                      <c:pt idx="381">
                        <c:v>125786.35</c:v>
                      </c:pt>
                      <c:pt idx="382">
                        <c:v>125643.31</c:v>
                      </c:pt>
                      <c:pt idx="383">
                        <c:v>125500.27</c:v>
                      </c:pt>
                      <c:pt idx="384">
                        <c:v>125293.31</c:v>
                      </c:pt>
                      <c:pt idx="385">
                        <c:v>125376.66</c:v>
                      </c:pt>
                      <c:pt idx="386">
                        <c:v>125292.84</c:v>
                      </c:pt>
                      <c:pt idx="387">
                        <c:v>125276.62</c:v>
                      </c:pt>
                      <c:pt idx="388">
                        <c:v>125342.16</c:v>
                      </c:pt>
                      <c:pt idx="389">
                        <c:v>125467.96</c:v>
                      </c:pt>
                      <c:pt idx="390">
                        <c:v>125760.93</c:v>
                      </c:pt>
                      <c:pt idx="391">
                        <c:v>125810.17</c:v>
                      </c:pt>
                      <c:pt idx="392">
                        <c:v>125767.48</c:v>
                      </c:pt>
                      <c:pt idx="393">
                        <c:v>125724.79</c:v>
                      </c:pt>
                      <c:pt idx="394">
                        <c:v>125390.26</c:v>
                      </c:pt>
                      <c:pt idx="395">
                        <c:v>125503.3</c:v>
                      </c:pt>
                      <c:pt idx="396">
                        <c:v>125783.29</c:v>
                      </c:pt>
                      <c:pt idx="397">
                        <c:v>125958.57</c:v>
                      </c:pt>
                      <c:pt idx="398">
                        <c:v>125730.45</c:v>
                      </c:pt>
                      <c:pt idx="399">
                        <c:v>125502.33</c:v>
                      </c:pt>
                      <c:pt idx="400">
                        <c:v>125397.13</c:v>
                      </c:pt>
                      <c:pt idx="401">
                        <c:v>125440.25</c:v>
                      </c:pt>
                      <c:pt idx="402">
                        <c:v>125330.08</c:v>
                      </c:pt>
                      <c:pt idx="403">
                        <c:v>125109.07</c:v>
                      </c:pt>
                      <c:pt idx="404">
                        <c:v>125229.42</c:v>
                      </c:pt>
                      <c:pt idx="405">
                        <c:v>125349.78</c:v>
                      </c:pt>
                      <c:pt idx="406">
                        <c:v>125499.08</c:v>
                      </c:pt>
                      <c:pt idx="407">
                        <c:v>125765.33</c:v>
                      </c:pt>
                      <c:pt idx="408">
                        <c:v>125842.78</c:v>
                      </c:pt>
                      <c:pt idx="409">
                        <c:v>125761.01</c:v>
                      </c:pt>
                      <c:pt idx="410">
                        <c:v>125207.13</c:v>
                      </c:pt>
                      <c:pt idx="411">
                        <c:v>124597.95</c:v>
                      </c:pt>
                      <c:pt idx="412">
                        <c:v>124159.9</c:v>
                      </c:pt>
                      <c:pt idx="413">
                        <c:v>123970.09</c:v>
                      </c:pt>
                      <c:pt idx="414">
                        <c:v>123616.33</c:v>
                      </c:pt>
                      <c:pt idx="415">
                        <c:v>123637.21</c:v>
                      </c:pt>
                      <c:pt idx="416">
                        <c:v>123428.48</c:v>
                      </c:pt>
                      <c:pt idx="417" formatCode="&quot;€&quot;* #\ ##0.00;&quot;€&quot;* \-#\ ##0.00">
                        <c:v>123202.01</c:v>
                      </c:pt>
                      <c:pt idx="418" formatCode="&quot;€&quot;* #\ ##0.00;&quot;€&quot;* \-#\ ##0.00">
                        <c:v>122975.55</c:v>
                      </c:pt>
                      <c:pt idx="419" formatCode="&quot;€&quot;* #\ ##0.00;&quot;€&quot;* \-#\ ##0.00">
                        <c:v>122978.7</c:v>
                      </c:pt>
                      <c:pt idx="420" formatCode="&quot;€&quot;* #\ ##0.00;&quot;€&quot;* \-#\ ##0.00">
                        <c:v>122822.94</c:v>
                      </c:pt>
                      <c:pt idx="421" formatCode="&quot;€&quot;* #\ ##0.00;&quot;€&quot;* \-#\ ##0.00">
                        <c:v>122668.93</c:v>
                      </c:pt>
                      <c:pt idx="422" formatCode="&quot;€&quot;* #\ ##0.00;&quot;€&quot;* \-#\ ##0.00">
                        <c:v>122514.93</c:v>
                      </c:pt>
                      <c:pt idx="423" formatCode="&quot;€&quot;* #\ ##0.00;&quot;€&quot;* \-#\ ##0.00">
                        <c:v>122360.93</c:v>
                      </c:pt>
                      <c:pt idx="424" formatCode="&quot;€&quot;* #\ ##0.00;&quot;€&quot;* \-#\ ##0.00">
                        <c:v>122014.8</c:v>
                      </c:pt>
                      <c:pt idx="425" formatCode="&quot;€&quot;* #\ ##0.00;&quot;€&quot;* \-#\ ##0.00">
                        <c:v>121902.61</c:v>
                      </c:pt>
                      <c:pt idx="426" formatCode="&quot;€&quot;* #\ ##0.00;&quot;€&quot;* \-#\ ##0.00">
                        <c:v>121790.43</c:v>
                      </c:pt>
                      <c:pt idx="427" formatCode="&quot;€&quot;* #\ ##0.00;&quot;€&quot;* \-#\ ##0.00">
                        <c:v>121837.15</c:v>
                      </c:pt>
                      <c:pt idx="428" formatCode="&quot;€&quot;* #\ ##0.00;&quot;€&quot;* \-#\ ##0.00">
                        <c:v>121665.69</c:v>
                      </c:pt>
                      <c:pt idx="429" formatCode="&quot;€&quot;* #\ ##0.00;&quot;€&quot;* \-#\ ##0.00">
                        <c:v>121260.3</c:v>
                      </c:pt>
                      <c:pt idx="430" formatCode="&quot;€&quot;* #\ ##0.00;&quot;€&quot;* \-#\ ##0.00">
                        <c:v>120865.87</c:v>
                      </c:pt>
                      <c:pt idx="431" formatCode="&quot;€&quot;* #\ ##0.00;&quot;€&quot;* \-#\ ##0.00">
                        <c:v>120456.85</c:v>
                      </c:pt>
                      <c:pt idx="432" formatCode="&quot;€&quot;* #\ ##0.00;&quot;€&quot;* \-#\ ##0.00">
                        <c:v>120047.84</c:v>
                      </c:pt>
                      <c:pt idx="433" formatCode="&quot;€&quot;* #\ ##0.00;&quot;€&quot;* \-#\ ##0.00">
                        <c:v>119887.43</c:v>
                      </c:pt>
                      <c:pt idx="434" formatCode="&quot;€&quot;* #\ ##0.00;&quot;€&quot;* \-#\ ##0.00">
                        <c:v>119841.14</c:v>
                      </c:pt>
                      <c:pt idx="435" formatCode="&quot;€&quot;* #\ ##0.00;&quot;€&quot;* \-#\ ##0.00">
                        <c:v>119793.84</c:v>
                      </c:pt>
                      <c:pt idx="436" formatCode="&quot;€&quot;* #\ ##0.00;&quot;€&quot;* \-#\ ##0.00">
                        <c:v>119746.54</c:v>
                      </c:pt>
                      <c:pt idx="437" formatCode="&quot;€&quot;* #\ ##0.00;&quot;€&quot;* \-#\ ##0.00">
                        <c:v>119658.02</c:v>
                      </c:pt>
                      <c:pt idx="438" formatCode="&quot;€&quot;* #\ ##0.00;&quot;€&quot;* \-#\ ##0.00">
                        <c:v>119513.06</c:v>
                      </c:pt>
                      <c:pt idx="439" formatCode="&quot;€&quot;* #\ ##0.00;&quot;€&quot;* \-#\ ##0.00">
                        <c:v>119368.1</c:v>
                      </c:pt>
                      <c:pt idx="440" formatCode="&quot;€&quot;* #\ ##0.00;&quot;€&quot;* \-#\ ##0.00">
                        <c:v>119223.14</c:v>
                      </c:pt>
                      <c:pt idx="441" formatCode="&quot;€&quot;* #\ ##0.00;&quot;€&quot;* \-#\ ##0.00">
                        <c:v>119078.17</c:v>
                      </c:pt>
                      <c:pt idx="442" formatCode="&quot;€&quot;* #\ ##0.00;&quot;€&quot;* \-#\ ##0.00">
                        <c:v>118819.08</c:v>
                      </c:pt>
                      <c:pt idx="443" formatCode="&quot;€&quot;* #\ ##0.00;&quot;€&quot;* \-#\ ##0.00">
                        <c:v>118988.46</c:v>
                      </c:pt>
                      <c:pt idx="444" formatCode="&quot;€&quot;* #\ ##0.00;&quot;€&quot;* \-#\ ##0.00">
                        <c:v>118770.95</c:v>
                      </c:pt>
                      <c:pt idx="445" formatCode="&quot;€&quot;* #\ ##0.00;&quot;€&quot;* \-#\ ##0.00">
                        <c:v>118553.43</c:v>
                      </c:pt>
                      <c:pt idx="446" formatCode="&quot;€&quot;* #\ ##0.00;&quot;€&quot;* \-#\ ##0.00">
                        <c:v>118570.03</c:v>
                      </c:pt>
                      <c:pt idx="447" formatCode="&quot;€&quot;* #\ ##0.00;&quot;€&quot;* \-#\ ##0.00">
                        <c:v>118871.45</c:v>
                      </c:pt>
                      <c:pt idx="448" formatCode="&quot;€&quot;* #\ ##0.00;&quot;€&quot;* \-#\ ##0.00">
                        <c:v>119102.95</c:v>
                      </c:pt>
                      <c:pt idx="449" formatCode="&quot;€&quot;* #\ ##0.00;&quot;€&quot;* \-#\ ##0.00">
                        <c:v>119334.46</c:v>
                      </c:pt>
                      <c:pt idx="450" formatCode="&quot;€&quot;* #\ ##0.00;&quot;€&quot;* \-#\ ##0.00">
                        <c:v>119319.47</c:v>
                      </c:pt>
                      <c:pt idx="451" formatCode="&quot;€&quot;* #\ ##0.00;&quot;€&quot;* \-#\ ##0.00">
                        <c:v>119486.03</c:v>
                      </c:pt>
                      <c:pt idx="452" formatCode="&quot;€&quot;* #\ ##0.00;&quot;€&quot;* \-#\ ##0.00">
                        <c:v>119215.09</c:v>
                      </c:pt>
                      <c:pt idx="453" formatCode="&quot;€&quot;* #\ ##0.00;&quot;€&quot;* \-#\ ##0.00">
                        <c:v>119071.77</c:v>
                      </c:pt>
                      <c:pt idx="454" formatCode="&quot;€&quot;* #\ ##0.00;&quot;€&quot;* \-#\ ##0.00">
                        <c:v>118805.63</c:v>
                      </c:pt>
                      <c:pt idx="455" formatCode="&quot;€&quot;* #\ ##0.00;&quot;€&quot;* \-#\ ##0.00">
                        <c:v>118844.97</c:v>
                      </c:pt>
                      <c:pt idx="456" formatCode="&quot;€&quot;* #\ ##0.00;&quot;€&quot;* \-#\ ##0.00">
                        <c:v>118738.06</c:v>
                      </c:pt>
                      <c:pt idx="457" formatCode="&quot;€&quot;* #\ ##0.00;&quot;€&quot;* \-#\ ##0.00">
                        <c:v>118664.19</c:v>
                      </c:pt>
                      <c:pt idx="458" formatCode="&quot;€&quot;* #\ ##0.00;&quot;€&quot;* \-#\ ##0.00">
                        <c:v>118585.43</c:v>
                      </c:pt>
                      <c:pt idx="459" formatCode="&quot;€&quot;* #\ ##0.00;&quot;€&quot;* \-#\ ##0.00">
                        <c:v>118537.81</c:v>
                      </c:pt>
                      <c:pt idx="460" formatCode="&quot;€&quot;* #\ ##0.00;&quot;€&quot;* \-#\ ##0.00">
                        <c:v>118394.07</c:v>
                      </c:pt>
                      <c:pt idx="461" formatCode="&quot;€&quot;* #\ ##0.00;&quot;€&quot;* \-#\ ##0.00">
                        <c:v>118263.23</c:v>
                      </c:pt>
                      <c:pt idx="462" formatCode="&quot;€&quot;* #\ ##0.00;&quot;€&quot;* \-#\ ##0.00">
                        <c:v>118132.39</c:v>
                      </c:pt>
                      <c:pt idx="463" formatCode="&quot;€&quot;* #\ ##0.00;&quot;€&quot;* \-#\ ##0.00">
                        <c:v>118001.55</c:v>
                      </c:pt>
                      <c:pt idx="464" formatCode="&quot;€&quot;* #\ ##0.00;&quot;€&quot;* \-#\ ##0.00">
                        <c:v>118012.9</c:v>
                      </c:pt>
                      <c:pt idx="465" formatCode="&quot;€&quot;* #\ ##0.00;&quot;€&quot;* \-#\ ##0.00">
                        <c:v>117746.83</c:v>
                      </c:pt>
                      <c:pt idx="466" formatCode="&quot;€&quot;* #\ ##0.00;&quot;€&quot;* \-#\ ##0.00">
                        <c:v>117479.89</c:v>
                      </c:pt>
                      <c:pt idx="467" formatCode="&quot;€&quot;* #\ ##0.00;&quot;€&quot;* \-#\ ##0.00">
                        <c:v>117254.43</c:v>
                      </c:pt>
                      <c:pt idx="468" formatCode="&quot;€&quot;* #\ ##0.00;&quot;€&quot;* \-#\ ##0.00">
                        <c:v>117028.98</c:v>
                      </c:pt>
                      <c:pt idx="469" formatCode="&quot;€&quot;* #\ ##0.00;&quot;€&quot;* \-#\ ##0.00">
                        <c:v>116928.63</c:v>
                      </c:pt>
                      <c:pt idx="470" formatCode="&quot;€&quot;* #\ ##0.00;&quot;€&quot;* \-#\ ##0.00">
                        <c:v>116828.28</c:v>
                      </c:pt>
                      <c:pt idx="471" formatCode="&quot;€&quot;* #\ ##0.00;&quot;€&quot;* \-#\ ##0.00">
                        <c:v>116654.83</c:v>
                      </c:pt>
                      <c:pt idx="472" formatCode="&quot;€&quot;* #\ ##0.00;&quot;€&quot;* \-#\ ##0.00">
                        <c:v>116481.37</c:v>
                      </c:pt>
                      <c:pt idx="473" formatCode="&quot;€&quot;* #\ ##0.00;&quot;€&quot;* \-#\ ##0.00">
                        <c:v>116074.18</c:v>
                      </c:pt>
                      <c:pt idx="474" formatCode="&quot;€&quot;* #\ ##0.00;&quot;€&quot;* \-#\ ##0.00">
                        <c:v>115486.38</c:v>
                      </c:pt>
                      <c:pt idx="475" formatCode="&quot;€&quot;* #\ ##0.00;&quot;€&quot;* \-#\ ##0.00">
                        <c:v>115421.22</c:v>
                      </c:pt>
                    </c:numCache>
                  </c:numRef>
                </c:val>
                <c:smooth val="0"/>
                <c:extLst>
                  <c:ext xmlns:c16="http://schemas.microsoft.com/office/drawing/2014/chart" uri="{C3380CC4-5D6E-409C-BE32-E72D297353CC}">
                    <c16:uniqueId val="{00000001-26C8-4F85-A91F-CED6FA8DBF1C}"/>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Accueil!$Q$3</c15:sqref>
                        </c15:formulaRef>
                      </c:ext>
                    </c:extLst>
                    <c:strCache>
                      <c:ptCount val="1"/>
                      <c:pt idx="0">
                        <c:v>CA 12M</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Accueil!$O$4:$O$492</c15:sqref>
                        </c15:fullRef>
                        <c15:formulaRef>
                          <c15:sqref>(Accueil!$O$4:$O$397,Accueil!$O$400:$O$402,Accueil!$O$404:$O$406,Accueil!$O$408:$O$410,Accueil!$O$412:$O$414,Accueil!$O$416,Accueil!$O$418,Accueil!$O$420,Accueil!$O$422,Accueil!$O$424,Accueil!$O$426,Accueil!$O$428:$O$429,Accueil!$O$431:$O$492)</c15:sqref>
                        </c15:formulaRef>
                      </c:ext>
                    </c:extLst>
                    <c:numCache>
                      <c:formatCode>m/d/yyyy</c:formatCode>
                      <c:ptCount val="476"/>
                      <c:pt idx="0">
                        <c:v>46080</c:v>
                      </c:pt>
                      <c:pt idx="1">
                        <c:v>46079</c:v>
                      </c:pt>
                      <c:pt idx="2">
                        <c:v>46078</c:v>
                      </c:pt>
                      <c:pt idx="3">
                        <c:v>46077</c:v>
                      </c:pt>
                      <c:pt idx="4">
                        <c:v>46075</c:v>
                      </c:pt>
                      <c:pt idx="5">
                        <c:v>46074</c:v>
                      </c:pt>
                      <c:pt idx="6">
                        <c:v>46072</c:v>
                      </c:pt>
                      <c:pt idx="7">
                        <c:v>46071</c:v>
                      </c:pt>
                      <c:pt idx="8">
                        <c:v>46070</c:v>
                      </c:pt>
                      <c:pt idx="9">
                        <c:v>46069</c:v>
                      </c:pt>
                      <c:pt idx="10">
                        <c:v>46068</c:v>
                      </c:pt>
                      <c:pt idx="11">
                        <c:v>46067</c:v>
                      </c:pt>
                      <c:pt idx="12">
                        <c:v>46066</c:v>
                      </c:pt>
                      <c:pt idx="13">
                        <c:v>46065</c:v>
                      </c:pt>
                      <c:pt idx="14">
                        <c:v>46064</c:v>
                      </c:pt>
                      <c:pt idx="15">
                        <c:v>46063</c:v>
                      </c:pt>
                      <c:pt idx="16">
                        <c:v>46062</c:v>
                      </c:pt>
                      <c:pt idx="17">
                        <c:v>46061</c:v>
                      </c:pt>
                      <c:pt idx="18">
                        <c:v>46060</c:v>
                      </c:pt>
                      <c:pt idx="19">
                        <c:v>46059</c:v>
                      </c:pt>
                      <c:pt idx="20">
                        <c:v>46058</c:v>
                      </c:pt>
                      <c:pt idx="21">
                        <c:v>46057</c:v>
                      </c:pt>
                      <c:pt idx="22">
                        <c:v>46056</c:v>
                      </c:pt>
                      <c:pt idx="23">
                        <c:v>46055</c:v>
                      </c:pt>
                      <c:pt idx="24">
                        <c:v>46054</c:v>
                      </c:pt>
                      <c:pt idx="25">
                        <c:v>46053</c:v>
                      </c:pt>
                      <c:pt idx="26">
                        <c:v>46052</c:v>
                      </c:pt>
                      <c:pt idx="27">
                        <c:v>46051</c:v>
                      </c:pt>
                      <c:pt idx="28">
                        <c:v>46050</c:v>
                      </c:pt>
                      <c:pt idx="29">
                        <c:v>46049</c:v>
                      </c:pt>
                      <c:pt idx="30">
                        <c:v>46048</c:v>
                      </c:pt>
                      <c:pt idx="31">
                        <c:v>46047</c:v>
                      </c:pt>
                      <c:pt idx="32">
                        <c:v>46046</c:v>
                      </c:pt>
                      <c:pt idx="33">
                        <c:v>46045</c:v>
                      </c:pt>
                      <c:pt idx="34">
                        <c:v>46044</c:v>
                      </c:pt>
                      <c:pt idx="35">
                        <c:v>46043</c:v>
                      </c:pt>
                      <c:pt idx="36">
                        <c:v>46042</c:v>
                      </c:pt>
                      <c:pt idx="37">
                        <c:v>46041</c:v>
                      </c:pt>
                      <c:pt idx="38">
                        <c:v>46039</c:v>
                      </c:pt>
                      <c:pt idx="39">
                        <c:v>46038</c:v>
                      </c:pt>
                      <c:pt idx="40">
                        <c:v>46037</c:v>
                      </c:pt>
                      <c:pt idx="41">
                        <c:v>46036</c:v>
                      </c:pt>
                      <c:pt idx="42">
                        <c:v>46035</c:v>
                      </c:pt>
                      <c:pt idx="43">
                        <c:v>46034</c:v>
                      </c:pt>
                      <c:pt idx="44">
                        <c:v>46033</c:v>
                      </c:pt>
                      <c:pt idx="45">
                        <c:v>46032</c:v>
                      </c:pt>
                      <c:pt idx="46">
                        <c:v>46031</c:v>
                      </c:pt>
                      <c:pt idx="47">
                        <c:v>46030</c:v>
                      </c:pt>
                      <c:pt idx="48">
                        <c:v>46029</c:v>
                      </c:pt>
                      <c:pt idx="49">
                        <c:v>46028</c:v>
                      </c:pt>
                      <c:pt idx="50">
                        <c:v>46026</c:v>
                      </c:pt>
                      <c:pt idx="51">
                        <c:v>46024</c:v>
                      </c:pt>
                      <c:pt idx="52">
                        <c:v>46021</c:v>
                      </c:pt>
                      <c:pt idx="53">
                        <c:v>46020</c:v>
                      </c:pt>
                      <c:pt idx="54">
                        <c:v>46019</c:v>
                      </c:pt>
                      <c:pt idx="55">
                        <c:v>46017</c:v>
                      </c:pt>
                      <c:pt idx="56">
                        <c:v>46016</c:v>
                      </c:pt>
                      <c:pt idx="57">
                        <c:v>46015</c:v>
                      </c:pt>
                      <c:pt idx="58">
                        <c:v>46013</c:v>
                      </c:pt>
                      <c:pt idx="59">
                        <c:v>46011</c:v>
                      </c:pt>
                      <c:pt idx="60">
                        <c:v>46010</c:v>
                      </c:pt>
                      <c:pt idx="61">
                        <c:v>46007</c:v>
                      </c:pt>
                      <c:pt idx="62">
                        <c:v>46005</c:v>
                      </c:pt>
                      <c:pt idx="63">
                        <c:v>46003</c:v>
                      </c:pt>
                      <c:pt idx="64">
                        <c:v>46002</c:v>
                      </c:pt>
                      <c:pt idx="65">
                        <c:v>46001</c:v>
                      </c:pt>
                      <c:pt idx="66">
                        <c:v>45999</c:v>
                      </c:pt>
                      <c:pt idx="67">
                        <c:v>45998</c:v>
                      </c:pt>
                      <c:pt idx="68">
                        <c:v>45997</c:v>
                      </c:pt>
                      <c:pt idx="69">
                        <c:v>45996</c:v>
                      </c:pt>
                      <c:pt idx="70">
                        <c:v>45995</c:v>
                      </c:pt>
                      <c:pt idx="71">
                        <c:v>45994</c:v>
                      </c:pt>
                      <c:pt idx="72">
                        <c:v>45993</c:v>
                      </c:pt>
                      <c:pt idx="73">
                        <c:v>45992</c:v>
                      </c:pt>
                      <c:pt idx="74">
                        <c:v>45991</c:v>
                      </c:pt>
                      <c:pt idx="75">
                        <c:v>45989</c:v>
                      </c:pt>
                      <c:pt idx="76">
                        <c:v>45988</c:v>
                      </c:pt>
                      <c:pt idx="77">
                        <c:v>45987</c:v>
                      </c:pt>
                      <c:pt idx="79">
                        <c:v>45986</c:v>
                      </c:pt>
                      <c:pt idx="80">
                        <c:v>45985</c:v>
                      </c:pt>
                      <c:pt idx="81">
                        <c:v>45984</c:v>
                      </c:pt>
                      <c:pt idx="82">
                        <c:v>45983</c:v>
                      </c:pt>
                      <c:pt idx="83">
                        <c:v>45982</c:v>
                      </c:pt>
                      <c:pt idx="84">
                        <c:v>45981</c:v>
                      </c:pt>
                      <c:pt idx="85">
                        <c:v>45980</c:v>
                      </c:pt>
                      <c:pt idx="86">
                        <c:v>45979</c:v>
                      </c:pt>
                      <c:pt idx="87">
                        <c:v>45977</c:v>
                      </c:pt>
                      <c:pt idx="88">
                        <c:v>45976</c:v>
                      </c:pt>
                      <c:pt idx="89">
                        <c:v>45975</c:v>
                      </c:pt>
                      <c:pt idx="90">
                        <c:v>45974</c:v>
                      </c:pt>
                      <c:pt idx="91">
                        <c:v>45973</c:v>
                      </c:pt>
                      <c:pt idx="92">
                        <c:v>45972</c:v>
                      </c:pt>
                      <c:pt idx="93">
                        <c:v>45971</c:v>
                      </c:pt>
                      <c:pt idx="94">
                        <c:v>45970</c:v>
                      </c:pt>
                      <c:pt idx="95">
                        <c:v>45968</c:v>
                      </c:pt>
                      <c:pt idx="96">
                        <c:v>45966</c:v>
                      </c:pt>
                      <c:pt idx="97">
                        <c:v>45964</c:v>
                      </c:pt>
                      <c:pt idx="98">
                        <c:v>45963</c:v>
                      </c:pt>
                      <c:pt idx="99">
                        <c:v>45961</c:v>
                      </c:pt>
                      <c:pt idx="100">
                        <c:v>45960</c:v>
                      </c:pt>
                      <c:pt idx="101">
                        <c:v>45958</c:v>
                      </c:pt>
                      <c:pt idx="102">
                        <c:v>45957</c:v>
                      </c:pt>
                      <c:pt idx="103">
                        <c:v>45956</c:v>
                      </c:pt>
                      <c:pt idx="104">
                        <c:v>45955</c:v>
                      </c:pt>
                      <c:pt idx="105">
                        <c:v>45954</c:v>
                      </c:pt>
                      <c:pt idx="106">
                        <c:v>45953</c:v>
                      </c:pt>
                      <c:pt idx="107">
                        <c:v>45952</c:v>
                      </c:pt>
                      <c:pt idx="108">
                        <c:v>45951</c:v>
                      </c:pt>
                      <c:pt idx="109">
                        <c:v>45950</c:v>
                      </c:pt>
                      <c:pt idx="110">
                        <c:v>45949</c:v>
                      </c:pt>
                      <c:pt idx="111">
                        <c:v>45948</c:v>
                      </c:pt>
                      <c:pt idx="112">
                        <c:v>45947</c:v>
                      </c:pt>
                      <c:pt idx="113">
                        <c:v>45946</c:v>
                      </c:pt>
                      <c:pt idx="114">
                        <c:v>45945</c:v>
                      </c:pt>
                      <c:pt idx="115">
                        <c:v>45944</c:v>
                      </c:pt>
                      <c:pt idx="116">
                        <c:v>45942</c:v>
                      </c:pt>
                      <c:pt idx="117">
                        <c:v>45941</c:v>
                      </c:pt>
                      <c:pt idx="118">
                        <c:v>45940</c:v>
                      </c:pt>
                      <c:pt idx="119">
                        <c:v>45939</c:v>
                      </c:pt>
                      <c:pt idx="120">
                        <c:v>45938</c:v>
                      </c:pt>
                      <c:pt idx="121">
                        <c:v>45937</c:v>
                      </c:pt>
                      <c:pt idx="122">
                        <c:v>45936</c:v>
                      </c:pt>
                      <c:pt idx="123">
                        <c:v>45935</c:v>
                      </c:pt>
                      <c:pt idx="124">
                        <c:v>45934</c:v>
                      </c:pt>
                      <c:pt idx="125">
                        <c:v>45933</c:v>
                      </c:pt>
                      <c:pt idx="126">
                        <c:v>45932</c:v>
                      </c:pt>
                      <c:pt idx="127">
                        <c:v>45931</c:v>
                      </c:pt>
                      <c:pt idx="128">
                        <c:v>45930</c:v>
                      </c:pt>
                      <c:pt idx="129">
                        <c:v>45929</c:v>
                      </c:pt>
                      <c:pt idx="130">
                        <c:v>45928</c:v>
                      </c:pt>
                      <c:pt idx="131">
                        <c:v>45927</c:v>
                      </c:pt>
                      <c:pt idx="132">
                        <c:v>45926</c:v>
                      </c:pt>
                      <c:pt idx="133">
                        <c:v>45925</c:v>
                      </c:pt>
                      <c:pt idx="134">
                        <c:v>45924</c:v>
                      </c:pt>
                      <c:pt idx="135">
                        <c:v>45923</c:v>
                      </c:pt>
                      <c:pt idx="136">
                        <c:v>45922</c:v>
                      </c:pt>
                      <c:pt idx="137">
                        <c:v>45921</c:v>
                      </c:pt>
                      <c:pt idx="138">
                        <c:v>45920</c:v>
                      </c:pt>
                      <c:pt idx="139">
                        <c:v>45919</c:v>
                      </c:pt>
                      <c:pt idx="140">
                        <c:v>45918</c:v>
                      </c:pt>
                      <c:pt idx="141">
                        <c:v>45917</c:v>
                      </c:pt>
                      <c:pt idx="142">
                        <c:v>45915</c:v>
                      </c:pt>
                      <c:pt idx="143">
                        <c:v>45914</c:v>
                      </c:pt>
                      <c:pt idx="144">
                        <c:v>45913</c:v>
                      </c:pt>
                      <c:pt idx="145">
                        <c:v>45912</c:v>
                      </c:pt>
                      <c:pt idx="146">
                        <c:v>45911</c:v>
                      </c:pt>
                      <c:pt idx="147">
                        <c:v>45910</c:v>
                      </c:pt>
                      <c:pt idx="148">
                        <c:v>45909</c:v>
                      </c:pt>
                      <c:pt idx="149">
                        <c:v>45908</c:v>
                      </c:pt>
                      <c:pt idx="150">
                        <c:v>45907</c:v>
                      </c:pt>
                      <c:pt idx="151">
                        <c:v>45906</c:v>
                      </c:pt>
                      <c:pt idx="152">
                        <c:v>45905</c:v>
                      </c:pt>
                      <c:pt idx="153">
                        <c:v>45904</c:v>
                      </c:pt>
                      <c:pt idx="154">
                        <c:v>45903</c:v>
                      </c:pt>
                      <c:pt idx="155">
                        <c:v>45902</c:v>
                      </c:pt>
                      <c:pt idx="156">
                        <c:v>45901</c:v>
                      </c:pt>
                      <c:pt idx="157">
                        <c:v>45899</c:v>
                      </c:pt>
                      <c:pt idx="158">
                        <c:v>45898</c:v>
                      </c:pt>
                      <c:pt idx="159">
                        <c:v>45897</c:v>
                      </c:pt>
                      <c:pt idx="160">
                        <c:v>45896</c:v>
                      </c:pt>
                      <c:pt idx="161">
                        <c:v>45895</c:v>
                      </c:pt>
                      <c:pt idx="162">
                        <c:v>45894</c:v>
                      </c:pt>
                      <c:pt idx="163">
                        <c:v>45893</c:v>
                      </c:pt>
                      <c:pt idx="164">
                        <c:v>45892</c:v>
                      </c:pt>
                      <c:pt idx="165">
                        <c:v>45890</c:v>
                      </c:pt>
                      <c:pt idx="166">
                        <c:v>45889</c:v>
                      </c:pt>
                      <c:pt idx="167">
                        <c:v>45888</c:v>
                      </c:pt>
                      <c:pt idx="168">
                        <c:v>45887</c:v>
                      </c:pt>
                      <c:pt idx="169">
                        <c:v>45886</c:v>
                      </c:pt>
                      <c:pt idx="170">
                        <c:v>45885</c:v>
                      </c:pt>
                      <c:pt idx="171">
                        <c:v>45884</c:v>
                      </c:pt>
                      <c:pt idx="172">
                        <c:v>45883</c:v>
                      </c:pt>
                      <c:pt idx="173">
                        <c:v>45882</c:v>
                      </c:pt>
                      <c:pt idx="174">
                        <c:v>45881</c:v>
                      </c:pt>
                      <c:pt idx="175">
                        <c:v>45880</c:v>
                      </c:pt>
                      <c:pt idx="176">
                        <c:v>45879</c:v>
                      </c:pt>
                      <c:pt idx="177">
                        <c:v>45878</c:v>
                      </c:pt>
                      <c:pt idx="178">
                        <c:v>45877</c:v>
                      </c:pt>
                      <c:pt idx="179">
                        <c:v>45876</c:v>
                      </c:pt>
                      <c:pt idx="180">
                        <c:v>45875</c:v>
                      </c:pt>
                      <c:pt idx="181">
                        <c:v>45874</c:v>
                      </c:pt>
                      <c:pt idx="182">
                        <c:v>45873</c:v>
                      </c:pt>
                      <c:pt idx="183">
                        <c:v>45872</c:v>
                      </c:pt>
                      <c:pt idx="184">
                        <c:v>45871</c:v>
                      </c:pt>
                      <c:pt idx="185">
                        <c:v>45870</c:v>
                      </c:pt>
                      <c:pt idx="186">
                        <c:v>45869</c:v>
                      </c:pt>
                      <c:pt idx="187">
                        <c:v>45868</c:v>
                      </c:pt>
                      <c:pt idx="188">
                        <c:v>45867</c:v>
                      </c:pt>
                      <c:pt idx="189">
                        <c:v>45866</c:v>
                      </c:pt>
                      <c:pt idx="190">
                        <c:v>45865</c:v>
                      </c:pt>
                      <c:pt idx="191">
                        <c:v>45864</c:v>
                      </c:pt>
                      <c:pt idx="192">
                        <c:v>45863</c:v>
                      </c:pt>
                      <c:pt idx="193">
                        <c:v>45862</c:v>
                      </c:pt>
                      <c:pt idx="194">
                        <c:v>45861</c:v>
                      </c:pt>
                      <c:pt idx="195">
                        <c:v>45859</c:v>
                      </c:pt>
                      <c:pt idx="196">
                        <c:v>45858</c:v>
                      </c:pt>
                      <c:pt idx="197">
                        <c:v>45857</c:v>
                      </c:pt>
                      <c:pt idx="198">
                        <c:v>45856</c:v>
                      </c:pt>
                      <c:pt idx="199">
                        <c:v>45855</c:v>
                      </c:pt>
                      <c:pt idx="200">
                        <c:v>45854</c:v>
                      </c:pt>
                      <c:pt idx="201">
                        <c:v>45853</c:v>
                      </c:pt>
                      <c:pt idx="202">
                        <c:v>45852</c:v>
                      </c:pt>
                      <c:pt idx="203">
                        <c:v>45851</c:v>
                      </c:pt>
                      <c:pt idx="204">
                        <c:v>45850</c:v>
                      </c:pt>
                      <c:pt idx="205">
                        <c:v>45849</c:v>
                      </c:pt>
                      <c:pt idx="206">
                        <c:v>45848</c:v>
                      </c:pt>
                      <c:pt idx="207">
                        <c:v>45847</c:v>
                      </c:pt>
                      <c:pt idx="208">
                        <c:v>45846</c:v>
                      </c:pt>
                      <c:pt idx="209">
                        <c:v>45845</c:v>
                      </c:pt>
                      <c:pt idx="210">
                        <c:v>45844</c:v>
                      </c:pt>
                      <c:pt idx="211">
                        <c:v>45843</c:v>
                      </c:pt>
                      <c:pt idx="212">
                        <c:v>45842</c:v>
                      </c:pt>
                      <c:pt idx="213">
                        <c:v>45841</c:v>
                      </c:pt>
                      <c:pt idx="214">
                        <c:v>45840</c:v>
                      </c:pt>
                      <c:pt idx="215">
                        <c:v>45839</c:v>
                      </c:pt>
                      <c:pt idx="216">
                        <c:v>45838</c:v>
                      </c:pt>
                      <c:pt idx="217">
                        <c:v>45837</c:v>
                      </c:pt>
                      <c:pt idx="218">
                        <c:v>45835</c:v>
                      </c:pt>
                      <c:pt idx="219">
                        <c:v>45834</c:v>
                      </c:pt>
                      <c:pt idx="220">
                        <c:v>45833</c:v>
                      </c:pt>
                      <c:pt idx="221">
                        <c:v>45832</c:v>
                      </c:pt>
                      <c:pt idx="222">
                        <c:v>45831</c:v>
                      </c:pt>
                      <c:pt idx="223">
                        <c:v>45830</c:v>
                      </c:pt>
                      <c:pt idx="224">
                        <c:v>45829</c:v>
                      </c:pt>
                      <c:pt idx="225">
                        <c:v>45828</c:v>
                      </c:pt>
                      <c:pt idx="226">
                        <c:v>45827</c:v>
                      </c:pt>
                      <c:pt idx="227">
                        <c:v>45826</c:v>
                      </c:pt>
                      <c:pt idx="228">
                        <c:v>45825</c:v>
                      </c:pt>
                      <c:pt idx="229">
                        <c:v>45824</c:v>
                      </c:pt>
                      <c:pt idx="230">
                        <c:v>45823</c:v>
                      </c:pt>
                      <c:pt idx="231">
                        <c:v>45822</c:v>
                      </c:pt>
                      <c:pt idx="232">
                        <c:v>45821</c:v>
                      </c:pt>
                      <c:pt idx="233">
                        <c:v>45820</c:v>
                      </c:pt>
                      <c:pt idx="234">
                        <c:v>45819</c:v>
                      </c:pt>
                      <c:pt idx="235">
                        <c:v>45818</c:v>
                      </c:pt>
                      <c:pt idx="236">
                        <c:v>45817</c:v>
                      </c:pt>
                      <c:pt idx="237">
                        <c:v>45814</c:v>
                      </c:pt>
                      <c:pt idx="238">
                        <c:v>45813</c:v>
                      </c:pt>
                      <c:pt idx="239">
                        <c:v>45812</c:v>
                      </c:pt>
                      <c:pt idx="240">
                        <c:v>45811</c:v>
                      </c:pt>
                      <c:pt idx="241">
                        <c:v>45810</c:v>
                      </c:pt>
                      <c:pt idx="242">
                        <c:v>45809</c:v>
                      </c:pt>
                      <c:pt idx="243">
                        <c:v>45803</c:v>
                      </c:pt>
                      <c:pt idx="244">
                        <c:v>45801</c:v>
                      </c:pt>
                      <c:pt idx="245">
                        <c:v>45800</c:v>
                      </c:pt>
                      <c:pt idx="246">
                        <c:v>45799</c:v>
                      </c:pt>
                      <c:pt idx="247">
                        <c:v>45798</c:v>
                      </c:pt>
                      <c:pt idx="248">
                        <c:v>45797</c:v>
                      </c:pt>
                      <c:pt idx="249">
                        <c:v>45793</c:v>
                      </c:pt>
                      <c:pt idx="250">
                        <c:v>45790</c:v>
                      </c:pt>
                      <c:pt idx="251">
                        <c:v>45789</c:v>
                      </c:pt>
                      <c:pt idx="252">
                        <c:v>45786</c:v>
                      </c:pt>
                      <c:pt idx="253">
                        <c:v>45783</c:v>
                      </c:pt>
                      <c:pt idx="254">
                        <c:v>45781</c:v>
                      </c:pt>
                      <c:pt idx="255">
                        <c:v>45779</c:v>
                      </c:pt>
                      <c:pt idx="256">
                        <c:v>45778</c:v>
                      </c:pt>
                      <c:pt idx="257">
                        <c:v>45774</c:v>
                      </c:pt>
                      <c:pt idx="258">
                        <c:v>45773</c:v>
                      </c:pt>
                      <c:pt idx="259">
                        <c:v>45771</c:v>
                      </c:pt>
                      <c:pt idx="260">
                        <c:v>45769</c:v>
                      </c:pt>
                      <c:pt idx="261">
                        <c:v>45768</c:v>
                      </c:pt>
                      <c:pt idx="262">
                        <c:v>45767</c:v>
                      </c:pt>
                      <c:pt idx="263">
                        <c:v>45763</c:v>
                      </c:pt>
                      <c:pt idx="264">
                        <c:v>45762</c:v>
                      </c:pt>
                      <c:pt idx="265">
                        <c:v>45758</c:v>
                      </c:pt>
                      <c:pt idx="266">
                        <c:v>45757</c:v>
                      </c:pt>
                      <c:pt idx="267">
                        <c:v>45756</c:v>
                      </c:pt>
                      <c:pt idx="268">
                        <c:v>45755</c:v>
                      </c:pt>
                      <c:pt idx="269">
                        <c:v>45754</c:v>
                      </c:pt>
                      <c:pt idx="270">
                        <c:v>45753</c:v>
                      </c:pt>
                      <c:pt idx="271">
                        <c:v>45752</c:v>
                      </c:pt>
                      <c:pt idx="272">
                        <c:v>45751</c:v>
                      </c:pt>
                      <c:pt idx="273">
                        <c:v>45750</c:v>
                      </c:pt>
                      <c:pt idx="274">
                        <c:v>45745</c:v>
                      </c:pt>
                      <c:pt idx="275">
                        <c:v>45744</c:v>
                      </c:pt>
                      <c:pt idx="276">
                        <c:v>45743</c:v>
                      </c:pt>
                      <c:pt idx="277">
                        <c:v>45742</c:v>
                      </c:pt>
                      <c:pt idx="278">
                        <c:v>45741</c:v>
                      </c:pt>
                      <c:pt idx="279">
                        <c:v>45740</c:v>
                      </c:pt>
                      <c:pt idx="280">
                        <c:v>45739</c:v>
                      </c:pt>
                      <c:pt idx="281">
                        <c:v>45738</c:v>
                      </c:pt>
                      <c:pt idx="282">
                        <c:v>45737</c:v>
                      </c:pt>
                      <c:pt idx="283">
                        <c:v>45736</c:v>
                      </c:pt>
                      <c:pt idx="284">
                        <c:v>45735</c:v>
                      </c:pt>
                      <c:pt idx="285">
                        <c:v>45734</c:v>
                      </c:pt>
                      <c:pt idx="286">
                        <c:v>45733</c:v>
                      </c:pt>
                      <c:pt idx="287">
                        <c:v>45732</c:v>
                      </c:pt>
                      <c:pt idx="288">
                        <c:v>45731</c:v>
                      </c:pt>
                      <c:pt idx="289">
                        <c:v>45730</c:v>
                      </c:pt>
                      <c:pt idx="290">
                        <c:v>45729</c:v>
                      </c:pt>
                      <c:pt idx="291">
                        <c:v>45728</c:v>
                      </c:pt>
                      <c:pt idx="292">
                        <c:v>45727</c:v>
                      </c:pt>
                      <c:pt idx="293">
                        <c:v>45726</c:v>
                      </c:pt>
                      <c:pt idx="294">
                        <c:v>45725</c:v>
                      </c:pt>
                      <c:pt idx="295">
                        <c:v>45724</c:v>
                      </c:pt>
                      <c:pt idx="296">
                        <c:v>45723</c:v>
                      </c:pt>
                      <c:pt idx="297">
                        <c:v>45722</c:v>
                      </c:pt>
                      <c:pt idx="298">
                        <c:v>45721</c:v>
                      </c:pt>
                      <c:pt idx="299">
                        <c:v>45720</c:v>
                      </c:pt>
                      <c:pt idx="300">
                        <c:v>45719</c:v>
                      </c:pt>
                      <c:pt idx="301">
                        <c:v>45718</c:v>
                      </c:pt>
                      <c:pt idx="302">
                        <c:v>45717</c:v>
                      </c:pt>
                      <c:pt idx="303">
                        <c:v>45716</c:v>
                      </c:pt>
                      <c:pt idx="304">
                        <c:v>45715</c:v>
                      </c:pt>
                      <c:pt idx="305">
                        <c:v>45711</c:v>
                      </c:pt>
                      <c:pt idx="306">
                        <c:v>45710</c:v>
                      </c:pt>
                      <c:pt idx="307">
                        <c:v>45709</c:v>
                      </c:pt>
                      <c:pt idx="308">
                        <c:v>45708</c:v>
                      </c:pt>
                      <c:pt idx="309">
                        <c:v>45707</c:v>
                      </c:pt>
                      <c:pt idx="310">
                        <c:v>45706</c:v>
                      </c:pt>
                      <c:pt idx="311">
                        <c:v>45705</c:v>
                      </c:pt>
                      <c:pt idx="312">
                        <c:v>45704</c:v>
                      </c:pt>
                      <c:pt idx="313">
                        <c:v>45703</c:v>
                      </c:pt>
                      <c:pt idx="314">
                        <c:v>45702</c:v>
                      </c:pt>
                      <c:pt idx="315">
                        <c:v>45701</c:v>
                      </c:pt>
                      <c:pt idx="316">
                        <c:v>45700</c:v>
                      </c:pt>
                      <c:pt idx="317">
                        <c:v>45698</c:v>
                      </c:pt>
                      <c:pt idx="318">
                        <c:v>45697</c:v>
                      </c:pt>
                      <c:pt idx="319">
                        <c:v>45696</c:v>
                      </c:pt>
                      <c:pt idx="320">
                        <c:v>45694</c:v>
                      </c:pt>
                      <c:pt idx="321">
                        <c:v>45693</c:v>
                      </c:pt>
                      <c:pt idx="322">
                        <c:v>45692</c:v>
                      </c:pt>
                      <c:pt idx="323">
                        <c:v>45687</c:v>
                      </c:pt>
                      <c:pt idx="324">
                        <c:v>45686</c:v>
                      </c:pt>
                      <c:pt idx="325">
                        <c:v>45685</c:v>
                      </c:pt>
                      <c:pt idx="326">
                        <c:v>45684</c:v>
                      </c:pt>
                      <c:pt idx="327">
                        <c:v>45683</c:v>
                      </c:pt>
                      <c:pt idx="328">
                        <c:v>45682</c:v>
                      </c:pt>
                      <c:pt idx="329">
                        <c:v>45681</c:v>
                      </c:pt>
                      <c:pt idx="330">
                        <c:v>45680</c:v>
                      </c:pt>
                      <c:pt idx="331">
                        <c:v>45679</c:v>
                      </c:pt>
                      <c:pt idx="332">
                        <c:v>45678</c:v>
                      </c:pt>
                      <c:pt idx="333">
                        <c:v>45677</c:v>
                      </c:pt>
                      <c:pt idx="334">
                        <c:v>45676</c:v>
                      </c:pt>
                      <c:pt idx="335">
                        <c:v>45675</c:v>
                      </c:pt>
                      <c:pt idx="336">
                        <c:v>45674</c:v>
                      </c:pt>
                      <c:pt idx="337">
                        <c:v>45673</c:v>
                      </c:pt>
                      <c:pt idx="338">
                        <c:v>45672</c:v>
                      </c:pt>
                      <c:pt idx="339">
                        <c:v>45671</c:v>
                      </c:pt>
                      <c:pt idx="340">
                        <c:v>45670</c:v>
                      </c:pt>
                      <c:pt idx="341">
                        <c:v>45668</c:v>
                      </c:pt>
                      <c:pt idx="342">
                        <c:v>45667</c:v>
                      </c:pt>
                      <c:pt idx="343">
                        <c:v>45666</c:v>
                      </c:pt>
                      <c:pt idx="344">
                        <c:v>45665</c:v>
                      </c:pt>
                      <c:pt idx="345">
                        <c:v>45664</c:v>
                      </c:pt>
                      <c:pt idx="346">
                        <c:v>45663</c:v>
                      </c:pt>
                      <c:pt idx="347">
                        <c:v>45662</c:v>
                      </c:pt>
                      <c:pt idx="348">
                        <c:v>45661</c:v>
                      </c:pt>
                      <c:pt idx="349">
                        <c:v>45660</c:v>
                      </c:pt>
                      <c:pt idx="350">
                        <c:v>45659</c:v>
                      </c:pt>
                      <c:pt idx="351">
                        <c:v>45658</c:v>
                      </c:pt>
                      <c:pt idx="352">
                        <c:v>45657</c:v>
                      </c:pt>
                      <c:pt idx="353">
                        <c:v>45655</c:v>
                      </c:pt>
                      <c:pt idx="354">
                        <c:v>45654</c:v>
                      </c:pt>
                      <c:pt idx="355">
                        <c:v>45653</c:v>
                      </c:pt>
                      <c:pt idx="356">
                        <c:v>45652</c:v>
                      </c:pt>
                      <c:pt idx="357">
                        <c:v>45651</c:v>
                      </c:pt>
                      <c:pt idx="358">
                        <c:v>45650</c:v>
                      </c:pt>
                      <c:pt idx="359">
                        <c:v>45649</c:v>
                      </c:pt>
                      <c:pt idx="360">
                        <c:v>45648</c:v>
                      </c:pt>
                      <c:pt idx="361">
                        <c:v>45647</c:v>
                      </c:pt>
                      <c:pt idx="362">
                        <c:v>45646</c:v>
                      </c:pt>
                      <c:pt idx="363">
                        <c:v>45645</c:v>
                      </c:pt>
                      <c:pt idx="364">
                        <c:v>45644</c:v>
                      </c:pt>
                      <c:pt idx="365">
                        <c:v>45643</c:v>
                      </c:pt>
                      <c:pt idx="366">
                        <c:v>45642</c:v>
                      </c:pt>
                      <c:pt idx="367">
                        <c:v>45641</c:v>
                      </c:pt>
                      <c:pt idx="368">
                        <c:v>45640</c:v>
                      </c:pt>
                      <c:pt idx="369">
                        <c:v>45639</c:v>
                      </c:pt>
                      <c:pt idx="370">
                        <c:v>45638</c:v>
                      </c:pt>
                      <c:pt idx="371">
                        <c:v>45637</c:v>
                      </c:pt>
                      <c:pt idx="372">
                        <c:v>45636</c:v>
                      </c:pt>
                      <c:pt idx="373">
                        <c:v>45635</c:v>
                      </c:pt>
                      <c:pt idx="374">
                        <c:v>45634</c:v>
                      </c:pt>
                      <c:pt idx="375">
                        <c:v>45633</c:v>
                      </c:pt>
                      <c:pt idx="376">
                        <c:v>45632</c:v>
                      </c:pt>
                      <c:pt idx="377">
                        <c:v>45630</c:v>
                      </c:pt>
                      <c:pt idx="378">
                        <c:v>45629</c:v>
                      </c:pt>
                      <c:pt idx="379">
                        <c:v>45628</c:v>
                      </c:pt>
                      <c:pt idx="380">
                        <c:v>45627</c:v>
                      </c:pt>
                      <c:pt idx="381">
                        <c:v>45626</c:v>
                      </c:pt>
                      <c:pt idx="382">
                        <c:v>45625</c:v>
                      </c:pt>
                      <c:pt idx="383">
                        <c:v>45624</c:v>
                      </c:pt>
                      <c:pt idx="384">
                        <c:v>45623</c:v>
                      </c:pt>
                      <c:pt idx="385">
                        <c:v>45622</c:v>
                      </c:pt>
                      <c:pt idx="386">
                        <c:v>45621</c:v>
                      </c:pt>
                      <c:pt idx="387">
                        <c:v>45620</c:v>
                      </c:pt>
                      <c:pt idx="388">
                        <c:v>45619</c:v>
                      </c:pt>
                      <c:pt idx="389">
                        <c:v>45618</c:v>
                      </c:pt>
                      <c:pt idx="390">
                        <c:v>45617</c:v>
                      </c:pt>
                      <c:pt idx="391">
                        <c:v>45616</c:v>
                      </c:pt>
                      <c:pt idx="392">
                        <c:v>45615</c:v>
                      </c:pt>
                      <c:pt idx="393">
                        <c:v>45614</c:v>
                      </c:pt>
                      <c:pt idx="394">
                        <c:v>45611</c:v>
                      </c:pt>
                      <c:pt idx="395">
                        <c:v>45610</c:v>
                      </c:pt>
                      <c:pt idx="396">
                        <c:v>45609</c:v>
                      </c:pt>
                      <c:pt idx="397">
                        <c:v>45607</c:v>
                      </c:pt>
                      <c:pt idx="398">
                        <c:v>45606</c:v>
                      </c:pt>
                      <c:pt idx="399">
                        <c:v>45605</c:v>
                      </c:pt>
                      <c:pt idx="400">
                        <c:v>45603</c:v>
                      </c:pt>
                      <c:pt idx="401">
                        <c:v>45602</c:v>
                      </c:pt>
                      <c:pt idx="402">
                        <c:v>45601</c:v>
                      </c:pt>
                      <c:pt idx="403">
                        <c:v>45599</c:v>
                      </c:pt>
                      <c:pt idx="404">
                        <c:v>45598</c:v>
                      </c:pt>
                      <c:pt idx="405">
                        <c:v>45597</c:v>
                      </c:pt>
                      <c:pt idx="406">
                        <c:v>45593</c:v>
                      </c:pt>
                      <c:pt idx="407">
                        <c:v>45591</c:v>
                      </c:pt>
                      <c:pt idx="408">
                        <c:v>45589</c:v>
                      </c:pt>
                      <c:pt idx="409">
                        <c:v>45587</c:v>
                      </c:pt>
                      <c:pt idx="410">
                        <c:v>45585</c:v>
                      </c:pt>
                      <c:pt idx="411">
                        <c:v>45583</c:v>
                      </c:pt>
                      <c:pt idx="412">
                        <c:v>45581</c:v>
                      </c:pt>
                      <c:pt idx="413">
                        <c:v>45580</c:v>
                      </c:pt>
                      <c:pt idx="414">
                        <c:v>45578</c:v>
                      </c:pt>
                      <c:pt idx="415">
                        <c:v>45577</c:v>
                      </c:pt>
                      <c:pt idx="416">
                        <c:v>45576</c:v>
                      </c:pt>
                      <c:pt idx="417">
                        <c:v>45575</c:v>
                      </c:pt>
                      <c:pt idx="418">
                        <c:v>45574</c:v>
                      </c:pt>
                      <c:pt idx="419">
                        <c:v>45573</c:v>
                      </c:pt>
                      <c:pt idx="420">
                        <c:v>45572</c:v>
                      </c:pt>
                      <c:pt idx="421">
                        <c:v>45571</c:v>
                      </c:pt>
                      <c:pt idx="422">
                        <c:v>45570</c:v>
                      </c:pt>
                      <c:pt idx="423">
                        <c:v>45569</c:v>
                      </c:pt>
                      <c:pt idx="424">
                        <c:v>45568</c:v>
                      </c:pt>
                      <c:pt idx="425">
                        <c:v>45567</c:v>
                      </c:pt>
                      <c:pt idx="426">
                        <c:v>45566</c:v>
                      </c:pt>
                      <c:pt idx="427">
                        <c:v>45565</c:v>
                      </c:pt>
                      <c:pt idx="428">
                        <c:v>45564</c:v>
                      </c:pt>
                      <c:pt idx="429">
                        <c:v>45563</c:v>
                      </c:pt>
                      <c:pt idx="430">
                        <c:v>45562</c:v>
                      </c:pt>
                      <c:pt idx="431">
                        <c:v>45561</c:v>
                      </c:pt>
                      <c:pt idx="432">
                        <c:v>45560</c:v>
                      </c:pt>
                      <c:pt idx="433">
                        <c:v>45559</c:v>
                      </c:pt>
                      <c:pt idx="434">
                        <c:v>45558</c:v>
                      </c:pt>
                      <c:pt idx="435">
                        <c:v>45557</c:v>
                      </c:pt>
                      <c:pt idx="436">
                        <c:v>45556</c:v>
                      </c:pt>
                      <c:pt idx="437">
                        <c:v>45555</c:v>
                      </c:pt>
                      <c:pt idx="438">
                        <c:v>45554</c:v>
                      </c:pt>
                      <c:pt idx="439">
                        <c:v>45553</c:v>
                      </c:pt>
                      <c:pt idx="440">
                        <c:v>45552</c:v>
                      </c:pt>
                      <c:pt idx="441">
                        <c:v>45551</c:v>
                      </c:pt>
                      <c:pt idx="442">
                        <c:v>45550</c:v>
                      </c:pt>
                      <c:pt idx="443">
                        <c:v>45549</c:v>
                      </c:pt>
                      <c:pt idx="444">
                        <c:v>45548</c:v>
                      </c:pt>
                      <c:pt idx="445">
                        <c:v>45547</c:v>
                      </c:pt>
                      <c:pt idx="446">
                        <c:v>45546</c:v>
                      </c:pt>
                      <c:pt idx="447">
                        <c:v>45545</c:v>
                      </c:pt>
                      <c:pt idx="448">
                        <c:v>45544</c:v>
                      </c:pt>
                      <c:pt idx="449">
                        <c:v>45543</c:v>
                      </c:pt>
                      <c:pt idx="450">
                        <c:v>45542</c:v>
                      </c:pt>
                      <c:pt idx="451">
                        <c:v>45541</c:v>
                      </c:pt>
                      <c:pt idx="452">
                        <c:v>45540</c:v>
                      </c:pt>
                      <c:pt idx="453">
                        <c:v>45539</c:v>
                      </c:pt>
                      <c:pt idx="454">
                        <c:v>45538</c:v>
                      </c:pt>
                      <c:pt idx="455">
                        <c:v>45537</c:v>
                      </c:pt>
                      <c:pt idx="456">
                        <c:v>45536</c:v>
                      </c:pt>
                      <c:pt idx="457">
                        <c:v>45535</c:v>
                      </c:pt>
                      <c:pt idx="458">
                        <c:v>45534</c:v>
                      </c:pt>
                      <c:pt idx="459">
                        <c:v>45533</c:v>
                      </c:pt>
                      <c:pt idx="460">
                        <c:v>45532</c:v>
                      </c:pt>
                      <c:pt idx="461">
                        <c:v>45531</c:v>
                      </c:pt>
                      <c:pt idx="462">
                        <c:v>45530</c:v>
                      </c:pt>
                      <c:pt idx="463">
                        <c:v>45529</c:v>
                      </c:pt>
                      <c:pt idx="464">
                        <c:v>45528</c:v>
                      </c:pt>
                      <c:pt idx="465">
                        <c:v>45527</c:v>
                      </c:pt>
                      <c:pt idx="466">
                        <c:v>45526</c:v>
                      </c:pt>
                      <c:pt idx="467">
                        <c:v>45525</c:v>
                      </c:pt>
                      <c:pt idx="468">
                        <c:v>45524</c:v>
                      </c:pt>
                      <c:pt idx="469">
                        <c:v>45523</c:v>
                      </c:pt>
                      <c:pt idx="470">
                        <c:v>45522</c:v>
                      </c:pt>
                      <c:pt idx="471">
                        <c:v>45521</c:v>
                      </c:pt>
                      <c:pt idx="472">
                        <c:v>45520</c:v>
                      </c:pt>
                      <c:pt idx="473">
                        <c:v>45519</c:v>
                      </c:pt>
                      <c:pt idx="474">
                        <c:v>45516</c:v>
                      </c:pt>
                      <c:pt idx="475">
                        <c:v>45515</c:v>
                      </c:pt>
                    </c:numCache>
                  </c:numRef>
                </c:cat>
                <c:val>
                  <c:numRef>
                    <c:extLst>
                      <c:ext xmlns:c15="http://schemas.microsoft.com/office/drawing/2012/chart" uri="{02D57815-91ED-43cb-92C2-25804820EDAC}">
                        <c15:fullRef>
                          <c15:sqref>Accueil!$Q$4:$Q$492</c15:sqref>
                        </c15:fullRef>
                        <c15:formulaRef>
                          <c15:sqref>(Accueil!$Q$4:$Q$397,Accueil!$Q$400:$Q$402,Accueil!$Q$404:$Q$406,Accueil!$Q$408:$Q$410,Accueil!$Q$412:$Q$414,Accueil!$Q$416,Accueil!$Q$418,Accueil!$Q$420,Accueil!$Q$422,Accueil!$Q$424,Accueil!$Q$426,Accueil!$Q$428:$Q$429,Accueil!$Q$431:$Q$492)</c15:sqref>
                        </c15:formulaRef>
                      </c:ext>
                    </c:extLst>
                    <c:numCache>
                      <c:formatCode>#\ ##0.00\ "€"</c:formatCode>
                      <c:ptCount val="476"/>
                      <c:pt idx="0">
                        <c:v>138736.82</c:v>
                      </c:pt>
                      <c:pt idx="1">
                        <c:v>138740.42000000001</c:v>
                      </c:pt>
                      <c:pt idx="2">
                        <c:v>138744.01</c:v>
                      </c:pt>
                      <c:pt idx="3">
                        <c:v>138848.14000000001</c:v>
                      </c:pt>
                      <c:pt idx="4">
                        <c:v>138840.5</c:v>
                      </c:pt>
                      <c:pt idx="5">
                        <c:v>138843.07</c:v>
                      </c:pt>
                      <c:pt idx="6">
                        <c:v>138980.07999999999</c:v>
                      </c:pt>
                      <c:pt idx="7">
                        <c:v>138977.25</c:v>
                      </c:pt>
                      <c:pt idx="8">
                        <c:v>139133.75</c:v>
                      </c:pt>
                      <c:pt idx="9">
                        <c:v>139109.31</c:v>
                      </c:pt>
                      <c:pt idx="10">
                        <c:v>139084.85999999999</c:v>
                      </c:pt>
                      <c:pt idx="11">
                        <c:v>139111.67000000001</c:v>
                      </c:pt>
                      <c:pt idx="12">
                        <c:v>139215.42000000001</c:v>
                      </c:pt>
                      <c:pt idx="13">
                        <c:v>139292.32</c:v>
                      </c:pt>
                      <c:pt idx="14">
                        <c:v>139322.10999999999</c:v>
                      </c:pt>
                      <c:pt idx="15">
                        <c:v>139351.91</c:v>
                      </c:pt>
                      <c:pt idx="16">
                        <c:v>139381.70000000001</c:v>
                      </c:pt>
                      <c:pt idx="17">
                        <c:v>139365.35999999999</c:v>
                      </c:pt>
                      <c:pt idx="18">
                        <c:v>139349.01999999999</c:v>
                      </c:pt>
                      <c:pt idx="19">
                        <c:v>139180.99</c:v>
                      </c:pt>
                      <c:pt idx="20">
                        <c:v>139222.10999999999</c:v>
                      </c:pt>
                      <c:pt idx="21">
                        <c:v>139251.32999999999</c:v>
                      </c:pt>
                      <c:pt idx="22">
                        <c:v>139236.76</c:v>
                      </c:pt>
                      <c:pt idx="23">
                        <c:v>139281.75</c:v>
                      </c:pt>
                      <c:pt idx="24">
                        <c:v>139326.75</c:v>
                      </c:pt>
                      <c:pt idx="25">
                        <c:v>139523.87</c:v>
                      </c:pt>
                      <c:pt idx="26">
                        <c:v>139568.29999999999</c:v>
                      </c:pt>
                      <c:pt idx="27">
                        <c:v>139496.93</c:v>
                      </c:pt>
                      <c:pt idx="28">
                        <c:v>139672.1</c:v>
                      </c:pt>
                      <c:pt idx="29">
                        <c:v>139999.95000000001</c:v>
                      </c:pt>
                      <c:pt idx="30">
                        <c:v>140327.81</c:v>
                      </c:pt>
                      <c:pt idx="31">
                        <c:v>140406.20000000001</c:v>
                      </c:pt>
                      <c:pt idx="32">
                        <c:v>140333.01999999999</c:v>
                      </c:pt>
                      <c:pt idx="33">
                        <c:v>140425.84</c:v>
                      </c:pt>
                      <c:pt idx="34">
                        <c:v>140425.84</c:v>
                      </c:pt>
                      <c:pt idx="35">
                        <c:v>140483.01999999999</c:v>
                      </c:pt>
                      <c:pt idx="36">
                        <c:v>140595.38</c:v>
                      </c:pt>
                      <c:pt idx="37">
                        <c:v>141016.74</c:v>
                      </c:pt>
                      <c:pt idx="38">
                        <c:v>141057.57</c:v>
                      </c:pt>
                      <c:pt idx="39">
                        <c:v>140834.1</c:v>
                      </c:pt>
                      <c:pt idx="40">
                        <c:v>140858.76</c:v>
                      </c:pt>
                      <c:pt idx="41">
                        <c:v>141053.25</c:v>
                      </c:pt>
                      <c:pt idx="42">
                        <c:v>141247.75</c:v>
                      </c:pt>
                      <c:pt idx="43">
                        <c:v>141442.25</c:v>
                      </c:pt>
                      <c:pt idx="44">
                        <c:v>141374.20000000001</c:v>
                      </c:pt>
                      <c:pt idx="45">
                        <c:v>141306.17000000001</c:v>
                      </c:pt>
                      <c:pt idx="46">
                        <c:v>141168.9</c:v>
                      </c:pt>
                      <c:pt idx="47">
                        <c:v>141263.62</c:v>
                      </c:pt>
                      <c:pt idx="48">
                        <c:v>141692.35999999999</c:v>
                      </c:pt>
                      <c:pt idx="49">
                        <c:v>142172.68</c:v>
                      </c:pt>
                      <c:pt idx="50">
                        <c:v>142100.21</c:v>
                      </c:pt>
                      <c:pt idx="51">
                        <c:v>143071.69</c:v>
                      </c:pt>
                      <c:pt idx="52">
                        <c:v>143328.85</c:v>
                      </c:pt>
                      <c:pt idx="53">
                        <c:v>143585.99</c:v>
                      </c:pt>
                      <c:pt idx="54">
                        <c:v>144372.69</c:v>
                      </c:pt>
                      <c:pt idx="55">
                        <c:v>144736.29999999999</c:v>
                      </c:pt>
                      <c:pt idx="56">
                        <c:v>145099.93</c:v>
                      </c:pt>
                      <c:pt idx="57">
                        <c:v>145282.76</c:v>
                      </c:pt>
                      <c:pt idx="58">
                        <c:v>145309.14000000001</c:v>
                      </c:pt>
                      <c:pt idx="59">
                        <c:v>145339.51999999999</c:v>
                      </c:pt>
                      <c:pt idx="60">
                        <c:v>145553.15</c:v>
                      </c:pt>
                      <c:pt idx="61">
                        <c:v>145536.03</c:v>
                      </c:pt>
                      <c:pt idx="62">
                        <c:v>145831.76999999999</c:v>
                      </c:pt>
                      <c:pt idx="63">
                        <c:v>146127.72</c:v>
                      </c:pt>
                      <c:pt idx="64">
                        <c:v>146356.75</c:v>
                      </c:pt>
                      <c:pt idx="65">
                        <c:v>146814.82</c:v>
                      </c:pt>
                      <c:pt idx="66">
                        <c:v>147165.49</c:v>
                      </c:pt>
                      <c:pt idx="67">
                        <c:v>147193.57999999999</c:v>
                      </c:pt>
                      <c:pt idx="68">
                        <c:v>147221.67000000001</c:v>
                      </c:pt>
                      <c:pt idx="69">
                        <c:v>147249.76999999999</c:v>
                      </c:pt>
                      <c:pt idx="70">
                        <c:v>147416.48000000001</c:v>
                      </c:pt>
                      <c:pt idx="71">
                        <c:v>147524.15</c:v>
                      </c:pt>
                      <c:pt idx="72">
                        <c:v>147620.38</c:v>
                      </c:pt>
                      <c:pt idx="73">
                        <c:v>147716.59</c:v>
                      </c:pt>
                      <c:pt idx="74">
                        <c:v>147913.1</c:v>
                      </c:pt>
                      <c:pt idx="75">
                        <c:v>148168.51</c:v>
                      </c:pt>
                      <c:pt idx="76">
                        <c:v>148027.85999999999</c:v>
                      </c:pt>
                      <c:pt idx="77">
                        <c:v>148054.35</c:v>
                      </c:pt>
                      <c:pt idx="79">
                        <c:v>148054.35</c:v>
                      </c:pt>
                      <c:pt idx="80">
                        <c:v>148404.04999999999</c:v>
                      </c:pt>
                      <c:pt idx="81">
                        <c:v>148315.76999999999</c:v>
                      </c:pt>
                      <c:pt idx="82">
                        <c:v>148060.32999999999</c:v>
                      </c:pt>
                      <c:pt idx="83">
                        <c:v>148241.46</c:v>
                      </c:pt>
                      <c:pt idx="84">
                        <c:v>148539.56</c:v>
                      </c:pt>
                      <c:pt idx="85">
                        <c:v>148784.01999999999</c:v>
                      </c:pt>
                      <c:pt idx="86">
                        <c:v>148952.41</c:v>
                      </c:pt>
                      <c:pt idx="87">
                        <c:v>149104.03</c:v>
                      </c:pt>
                      <c:pt idx="88">
                        <c:v>149283.57</c:v>
                      </c:pt>
                      <c:pt idx="89">
                        <c:v>149296.18</c:v>
                      </c:pt>
                      <c:pt idx="90">
                        <c:v>149379.29</c:v>
                      </c:pt>
                      <c:pt idx="91">
                        <c:v>149502.15</c:v>
                      </c:pt>
                      <c:pt idx="92">
                        <c:v>149688.95000000001</c:v>
                      </c:pt>
                      <c:pt idx="93">
                        <c:v>149896.23000000001</c:v>
                      </c:pt>
                      <c:pt idx="94">
                        <c:v>150026.32</c:v>
                      </c:pt>
                      <c:pt idx="95">
                        <c:v>150183.67999999999</c:v>
                      </c:pt>
                      <c:pt idx="96">
                        <c:v>150679.67000000001</c:v>
                      </c:pt>
                      <c:pt idx="97">
                        <c:v>150904.19</c:v>
                      </c:pt>
                      <c:pt idx="98">
                        <c:v>150969.07999999999</c:v>
                      </c:pt>
                      <c:pt idx="99">
                        <c:v>151121.81</c:v>
                      </c:pt>
                      <c:pt idx="100">
                        <c:v>151339.26</c:v>
                      </c:pt>
                      <c:pt idx="101">
                        <c:v>151324.09</c:v>
                      </c:pt>
                      <c:pt idx="102">
                        <c:v>151373.97</c:v>
                      </c:pt>
                      <c:pt idx="103">
                        <c:v>151423.85999999999</c:v>
                      </c:pt>
                      <c:pt idx="104">
                        <c:v>151324.25</c:v>
                      </c:pt>
                      <c:pt idx="105">
                        <c:v>151253.06</c:v>
                      </c:pt>
                      <c:pt idx="106">
                        <c:v>151587.91</c:v>
                      </c:pt>
                      <c:pt idx="107">
                        <c:v>151694.37</c:v>
                      </c:pt>
                      <c:pt idx="108">
                        <c:v>151800.82</c:v>
                      </c:pt>
                      <c:pt idx="109">
                        <c:v>151907.26</c:v>
                      </c:pt>
                      <c:pt idx="110">
                        <c:v>152013.72</c:v>
                      </c:pt>
                      <c:pt idx="111">
                        <c:v>152287.97</c:v>
                      </c:pt>
                      <c:pt idx="112">
                        <c:v>152309.53</c:v>
                      </c:pt>
                      <c:pt idx="113">
                        <c:v>152331.06</c:v>
                      </c:pt>
                      <c:pt idx="114">
                        <c:v>152413.60999999999</c:v>
                      </c:pt>
                      <c:pt idx="115">
                        <c:v>152253.71</c:v>
                      </c:pt>
                      <c:pt idx="116">
                        <c:v>152266.74</c:v>
                      </c:pt>
                      <c:pt idx="117">
                        <c:v>152296.46</c:v>
                      </c:pt>
                      <c:pt idx="118">
                        <c:v>152341.5</c:v>
                      </c:pt>
                      <c:pt idx="119">
                        <c:v>152156.9</c:v>
                      </c:pt>
                      <c:pt idx="120">
                        <c:v>152131.24</c:v>
                      </c:pt>
                      <c:pt idx="121">
                        <c:v>152105.54999999999</c:v>
                      </c:pt>
                      <c:pt idx="122">
                        <c:v>152357.75</c:v>
                      </c:pt>
                      <c:pt idx="123">
                        <c:v>152380.5</c:v>
                      </c:pt>
                      <c:pt idx="124">
                        <c:v>152403.26</c:v>
                      </c:pt>
                      <c:pt idx="125">
                        <c:v>152426</c:v>
                      </c:pt>
                      <c:pt idx="126">
                        <c:v>152392.32999999999</c:v>
                      </c:pt>
                      <c:pt idx="127">
                        <c:v>152311.03</c:v>
                      </c:pt>
                      <c:pt idx="128">
                        <c:v>152388.76</c:v>
                      </c:pt>
                      <c:pt idx="129">
                        <c:v>152547.01</c:v>
                      </c:pt>
                      <c:pt idx="130">
                        <c:v>152694.28</c:v>
                      </c:pt>
                      <c:pt idx="131">
                        <c:v>152764.10999999999</c:v>
                      </c:pt>
                      <c:pt idx="132">
                        <c:v>152833.95000000001</c:v>
                      </c:pt>
                      <c:pt idx="133">
                        <c:v>152903.76999999999</c:v>
                      </c:pt>
                      <c:pt idx="134">
                        <c:v>152859.46</c:v>
                      </c:pt>
                      <c:pt idx="135">
                        <c:v>152816.18</c:v>
                      </c:pt>
                      <c:pt idx="136">
                        <c:v>152772.89000000001</c:v>
                      </c:pt>
                      <c:pt idx="137">
                        <c:v>152740.13</c:v>
                      </c:pt>
                      <c:pt idx="138">
                        <c:v>152763.79</c:v>
                      </c:pt>
                      <c:pt idx="139">
                        <c:v>152767.07</c:v>
                      </c:pt>
                      <c:pt idx="140">
                        <c:v>152770.32999999999</c:v>
                      </c:pt>
                      <c:pt idx="141">
                        <c:v>152952.88</c:v>
                      </c:pt>
                      <c:pt idx="142">
                        <c:v>153138.63</c:v>
                      </c:pt>
                      <c:pt idx="143">
                        <c:v>153138.63</c:v>
                      </c:pt>
                      <c:pt idx="144">
                        <c:v>153365.51</c:v>
                      </c:pt>
                      <c:pt idx="145">
                        <c:v>153653.54</c:v>
                      </c:pt>
                      <c:pt idx="146">
                        <c:v>153634.12</c:v>
                      </c:pt>
                      <c:pt idx="147">
                        <c:v>153637.21</c:v>
                      </c:pt>
                      <c:pt idx="148">
                        <c:v>151235.57</c:v>
                      </c:pt>
                      <c:pt idx="149">
                        <c:v>153672.89000000001</c:v>
                      </c:pt>
                      <c:pt idx="150">
                        <c:v>153496.22</c:v>
                      </c:pt>
                      <c:pt idx="151">
                        <c:v>153522.93</c:v>
                      </c:pt>
                      <c:pt idx="152">
                        <c:v>153522.93</c:v>
                      </c:pt>
                      <c:pt idx="153">
                        <c:v>153532.54999999999</c:v>
                      </c:pt>
                      <c:pt idx="154">
                        <c:v>153542.18</c:v>
                      </c:pt>
                      <c:pt idx="155">
                        <c:v>153384.93</c:v>
                      </c:pt>
                      <c:pt idx="156">
                        <c:v>153373.92000000001</c:v>
                      </c:pt>
                      <c:pt idx="157">
                        <c:v>153447.14000000001</c:v>
                      </c:pt>
                      <c:pt idx="158">
                        <c:v>153326.26999999999</c:v>
                      </c:pt>
                      <c:pt idx="159">
                        <c:v>153326.26999999999</c:v>
                      </c:pt>
                      <c:pt idx="160">
                        <c:v>153461.82</c:v>
                      </c:pt>
                      <c:pt idx="161">
                        <c:v>153269.26999999999</c:v>
                      </c:pt>
                      <c:pt idx="162">
                        <c:v>153030.82999999999</c:v>
                      </c:pt>
                      <c:pt idx="163">
                        <c:v>152934.16</c:v>
                      </c:pt>
                      <c:pt idx="164">
                        <c:v>152934.16</c:v>
                      </c:pt>
                      <c:pt idx="165">
                        <c:v>153302.81</c:v>
                      </c:pt>
                      <c:pt idx="166">
                        <c:v>153200.76999999999</c:v>
                      </c:pt>
                      <c:pt idx="167">
                        <c:v>153098.73000000001</c:v>
                      </c:pt>
                      <c:pt idx="168">
                        <c:v>152996.69</c:v>
                      </c:pt>
                      <c:pt idx="169">
                        <c:v>153165.19</c:v>
                      </c:pt>
                      <c:pt idx="170">
                        <c:v>153352.6</c:v>
                      </c:pt>
                      <c:pt idx="171">
                        <c:v>153223.56</c:v>
                      </c:pt>
                      <c:pt idx="172">
                        <c:v>153233.81</c:v>
                      </c:pt>
                      <c:pt idx="173">
                        <c:v>153119.60999999999</c:v>
                      </c:pt>
                      <c:pt idx="174">
                        <c:v>152899.29999999999</c:v>
                      </c:pt>
                      <c:pt idx="175">
                        <c:v>152452.1</c:v>
                      </c:pt>
                      <c:pt idx="176">
                        <c:v>153025.29999999999</c:v>
                      </c:pt>
                      <c:pt idx="177">
                        <c:v>153598.51</c:v>
                      </c:pt>
                      <c:pt idx="178">
                        <c:v>154509.69</c:v>
                      </c:pt>
                      <c:pt idx="179">
                        <c:v>155524.81</c:v>
                      </c:pt>
                      <c:pt idx="180">
                        <c:v>156539.95000000001</c:v>
                      </c:pt>
                      <c:pt idx="181">
                        <c:v>156976.79</c:v>
                      </c:pt>
                      <c:pt idx="182">
                        <c:v>157320.65</c:v>
                      </c:pt>
                      <c:pt idx="183">
                        <c:v>157198.85</c:v>
                      </c:pt>
                      <c:pt idx="184">
                        <c:v>158271.54</c:v>
                      </c:pt>
                      <c:pt idx="185">
                        <c:v>159487.45000000001</c:v>
                      </c:pt>
                      <c:pt idx="186">
                        <c:v>160659.14000000001</c:v>
                      </c:pt>
                      <c:pt idx="187">
                        <c:v>161830.85999999999</c:v>
                      </c:pt>
                      <c:pt idx="188">
                        <c:v>162959.57999999999</c:v>
                      </c:pt>
                      <c:pt idx="189">
                        <c:v>164138.26999999999</c:v>
                      </c:pt>
                      <c:pt idx="190">
                        <c:v>165350.20000000001</c:v>
                      </c:pt>
                      <c:pt idx="191">
                        <c:v>166942.06</c:v>
                      </c:pt>
                      <c:pt idx="192">
                        <c:v>168086.79</c:v>
                      </c:pt>
                      <c:pt idx="193">
                        <c:v>168190.64</c:v>
                      </c:pt>
                      <c:pt idx="194">
                        <c:v>168294.49</c:v>
                      </c:pt>
                      <c:pt idx="195">
                        <c:v>168182</c:v>
                      </c:pt>
                      <c:pt idx="196">
                        <c:v>167932.98</c:v>
                      </c:pt>
                      <c:pt idx="197">
                        <c:v>168023.71</c:v>
                      </c:pt>
                      <c:pt idx="198">
                        <c:v>168476.98</c:v>
                      </c:pt>
                      <c:pt idx="199">
                        <c:v>168583.13</c:v>
                      </c:pt>
                      <c:pt idx="200">
                        <c:v>168862.04</c:v>
                      </c:pt>
                      <c:pt idx="201">
                        <c:v>169140.95</c:v>
                      </c:pt>
                      <c:pt idx="202">
                        <c:v>169419.87</c:v>
                      </c:pt>
                      <c:pt idx="203">
                        <c:v>169674.79</c:v>
                      </c:pt>
                      <c:pt idx="204">
                        <c:v>169589.99</c:v>
                      </c:pt>
                      <c:pt idx="205">
                        <c:v>169717.7</c:v>
                      </c:pt>
                      <c:pt idx="206">
                        <c:v>169637.84</c:v>
                      </c:pt>
                      <c:pt idx="207">
                        <c:v>169468.4</c:v>
                      </c:pt>
                      <c:pt idx="208">
                        <c:v>169521.81</c:v>
                      </c:pt>
                      <c:pt idx="209">
                        <c:v>169487.96</c:v>
                      </c:pt>
                      <c:pt idx="210">
                        <c:v>169406.01</c:v>
                      </c:pt>
                      <c:pt idx="211">
                        <c:v>169407.96</c:v>
                      </c:pt>
                      <c:pt idx="212">
                        <c:v>169409.93</c:v>
                      </c:pt>
                      <c:pt idx="213">
                        <c:v>169458.58</c:v>
                      </c:pt>
                      <c:pt idx="214">
                        <c:v>169328.04</c:v>
                      </c:pt>
                      <c:pt idx="215">
                        <c:v>169374.89</c:v>
                      </c:pt>
                      <c:pt idx="216">
                        <c:v>169489.22</c:v>
                      </c:pt>
                      <c:pt idx="217">
                        <c:v>169728.52</c:v>
                      </c:pt>
                      <c:pt idx="218">
                        <c:v>169645.83</c:v>
                      </c:pt>
                      <c:pt idx="219">
                        <c:v>169614.68</c:v>
                      </c:pt>
                      <c:pt idx="220">
                        <c:v>169676.09</c:v>
                      </c:pt>
                      <c:pt idx="221">
                        <c:v>169763.56</c:v>
                      </c:pt>
                      <c:pt idx="222">
                        <c:v>169851.02</c:v>
                      </c:pt>
                      <c:pt idx="223">
                        <c:v>169719.97</c:v>
                      </c:pt>
                      <c:pt idx="224">
                        <c:v>169794.39</c:v>
                      </c:pt>
                      <c:pt idx="225">
                        <c:v>169857.3</c:v>
                      </c:pt>
                      <c:pt idx="226">
                        <c:v>169920.21</c:v>
                      </c:pt>
                      <c:pt idx="227">
                        <c:v>170030.67</c:v>
                      </c:pt>
                      <c:pt idx="228">
                        <c:v>170152.82</c:v>
                      </c:pt>
                      <c:pt idx="229">
                        <c:v>170242.79</c:v>
                      </c:pt>
                      <c:pt idx="230">
                        <c:v>170329.47</c:v>
                      </c:pt>
                      <c:pt idx="231">
                        <c:v>170416.14</c:v>
                      </c:pt>
                      <c:pt idx="232">
                        <c:v>170929.85</c:v>
                      </c:pt>
                      <c:pt idx="233">
                        <c:v>171011.74</c:v>
                      </c:pt>
                      <c:pt idx="234">
                        <c:v>170909.03</c:v>
                      </c:pt>
                      <c:pt idx="235">
                        <c:v>170806.32</c:v>
                      </c:pt>
                      <c:pt idx="236">
                        <c:v>171053.1</c:v>
                      </c:pt>
                      <c:pt idx="237">
                        <c:v>171292.41</c:v>
                      </c:pt>
                      <c:pt idx="238">
                        <c:v>171303.87</c:v>
                      </c:pt>
                      <c:pt idx="239">
                        <c:v>171408.85</c:v>
                      </c:pt>
                      <c:pt idx="240">
                        <c:v>171524.56</c:v>
                      </c:pt>
                      <c:pt idx="241">
                        <c:v>171640.29</c:v>
                      </c:pt>
                      <c:pt idx="242">
                        <c:v>171726.49</c:v>
                      </c:pt>
                      <c:pt idx="243">
                        <c:v>171942.85</c:v>
                      </c:pt>
                      <c:pt idx="244">
                        <c:v>172170.98</c:v>
                      </c:pt>
                      <c:pt idx="245">
                        <c:v>172290.36</c:v>
                      </c:pt>
                      <c:pt idx="246">
                        <c:v>172461.29</c:v>
                      </c:pt>
                      <c:pt idx="247">
                        <c:v>172415.61</c:v>
                      </c:pt>
                      <c:pt idx="248">
                        <c:v>172358.83</c:v>
                      </c:pt>
                      <c:pt idx="249">
                        <c:v>172342.97</c:v>
                      </c:pt>
                      <c:pt idx="250">
                        <c:v>172592.58</c:v>
                      </c:pt>
                      <c:pt idx="251">
                        <c:v>172574.22</c:v>
                      </c:pt>
                      <c:pt idx="252">
                        <c:v>172937.33</c:v>
                      </c:pt>
                      <c:pt idx="253">
                        <c:v>173382.68</c:v>
                      </c:pt>
                      <c:pt idx="254">
                        <c:v>174056.73</c:v>
                      </c:pt>
                      <c:pt idx="255">
                        <c:v>174214.06</c:v>
                      </c:pt>
                      <c:pt idx="256">
                        <c:v>174178.75</c:v>
                      </c:pt>
                      <c:pt idx="257">
                        <c:v>174649.86</c:v>
                      </c:pt>
                      <c:pt idx="258">
                        <c:v>174767.6</c:v>
                      </c:pt>
                      <c:pt idx="259">
                        <c:v>175003.06</c:v>
                      </c:pt>
                      <c:pt idx="260">
                        <c:v>175100.56</c:v>
                      </c:pt>
                      <c:pt idx="261">
                        <c:v>175464.73</c:v>
                      </c:pt>
                      <c:pt idx="262">
                        <c:v>175539.4</c:v>
                      </c:pt>
                      <c:pt idx="263">
                        <c:v>176071.73</c:v>
                      </c:pt>
                      <c:pt idx="264">
                        <c:v>176146.64</c:v>
                      </c:pt>
                      <c:pt idx="265">
                        <c:v>176522.99</c:v>
                      </c:pt>
                      <c:pt idx="266">
                        <c:v>176623.47</c:v>
                      </c:pt>
                      <c:pt idx="267">
                        <c:v>176784.81</c:v>
                      </c:pt>
                      <c:pt idx="268">
                        <c:v>177055.98</c:v>
                      </c:pt>
                      <c:pt idx="269">
                        <c:v>177056.81</c:v>
                      </c:pt>
                      <c:pt idx="270">
                        <c:v>177163.82</c:v>
                      </c:pt>
                      <c:pt idx="271">
                        <c:v>177313.89</c:v>
                      </c:pt>
                      <c:pt idx="272">
                        <c:v>177463.96</c:v>
                      </c:pt>
                      <c:pt idx="273">
                        <c:v>177781.83</c:v>
                      </c:pt>
                      <c:pt idx="274">
                        <c:v>179066.79</c:v>
                      </c:pt>
                      <c:pt idx="275">
                        <c:v>179306.14</c:v>
                      </c:pt>
                      <c:pt idx="276">
                        <c:v>179508.13</c:v>
                      </c:pt>
                      <c:pt idx="277">
                        <c:v>179572.02</c:v>
                      </c:pt>
                      <c:pt idx="278">
                        <c:v>179790.94</c:v>
                      </c:pt>
                      <c:pt idx="279">
                        <c:v>180009.87</c:v>
                      </c:pt>
                      <c:pt idx="280">
                        <c:v>180124.95</c:v>
                      </c:pt>
                      <c:pt idx="281">
                        <c:v>180240.03</c:v>
                      </c:pt>
                      <c:pt idx="282">
                        <c:v>180355.11</c:v>
                      </c:pt>
                      <c:pt idx="283">
                        <c:v>180389.51</c:v>
                      </c:pt>
                      <c:pt idx="284">
                        <c:v>180562.01</c:v>
                      </c:pt>
                      <c:pt idx="285">
                        <c:v>180603.34</c:v>
                      </c:pt>
                      <c:pt idx="286">
                        <c:v>180644.68</c:v>
                      </c:pt>
                      <c:pt idx="287">
                        <c:v>180686.02</c:v>
                      </c:pt>
                      <c:pt idx="288">
                        <c:v>180648.46</c:v>
                      </c:pt>
                      <c:pt idx="289">
                        <c:v>180610.91</c:v>
                      </c:pt>
                      <c:pt idx="290">
                        <c:v>180713.97</c:v>
                      </c:pt>
                      <c:pt idx="291">
                        <c:v>180708.72</c:v>
                      </c:pt>
                      <c:pt idx="292">
                        <c:v>180594.82</c:v>
                      </c:pt>
                      <c:pt idx="293">
                        <c:v>180423.66</c:v>
                      </c:pt>
                      <c:pt idx="294">
                        <c:v>180488.82</c:v>
                      </c:pt>
                      <c:pt idx="295">
                        <c:v>180443.64</c:v>
                      </c:pt>
                      <c:pt idx="296">
                        <c:v>180493.32</c:v>
                      </c:pt>
                      <c:pt idx="297">
                        <c:v>180431.19</c:v>
                      </c:pt>
                      <c:pt idx="298">
                        <c:v>180440.73</c:v>
                      </c:pt>
                      <c:pt idx="299">
                        <c:v>180450.25</c:v>
                      </c:pt>
                      <c:pt idx="300">
                        <c:v>180499.81</c:v>
                      </c:pt>
                      <c:pt idx="301">
                        <c:v>180579.76</c:v>
                      </c:pt>
                      <c:pt idx="302">
                        <c:v>180659.72</c:v>
                      </c:pt>
                      <c:pt idx="303">
                        <c:v>181093.73</c:v>
                      </c:pt>
                      <c:pt idx="304">
                        <c:v>181085.01</c:v>
                      </c:pt>
                      <c:pt idx="305">
                        <c:v>181671.79</c:v>
                      </c:pt>
                      <c:pt idx="306">
                        <c:v>181850.3</c:v>
                      </c:pt>
                      <c:pt idx="307">
                        <c:v>181978.7</c:v>
                      </c:pt>
                      <c:pt idx="308">
                        <c:v>182178.1</c:v>
                      </c:pt>
                      <c:pt idx="309">
                        <c:v>182066.02</c:v>
                      </c:pt>
                      <c:pt idx="310">
                        <c:v>182083.87</c:v>
                      </c:pt>
                      <c:pt idx="311">
                        <c:v>182101.72</c:v>
                      </c:pt>
                      <c:pt idx="312">
                        <c:v>181995.04</c:v>
                      </c:pt>
                      <c:pt idx="313">
                        <c:v>181858.25</c:v>
                      </c:pt>
                      <c:pt idx="314">
                        <c:v>181721.47</c:v>
                      </c:pt>
                      <c:pt idx="315">
                        <c:v>181584.69</c:v>
                      </c:pt>
                      <c:pt idx="316">
                        <c:v>181544.16</c:v>
                      </c:pt>
                      <c:pt idx="317">
                        <c:v>181589.76000000001</c:v>
                      </c:pt>
                      <c:pt idx="318">
                        <c:v>181661.38</c:v>
                      </c:pt>
                      <c:pt idx="319">
                        <c:v>181613.75</c:v>
                      </c:pt>
                      <c:pt idx="320">
                        <c:v>181611.69</c:v>
                      </c:pt>
                      <c:pt idx="321">
                        <c:v>181803</c:v>
                      </c:pt>
                      <c:pt idx="322">
                        <c:v>181942.8</c:v>
                      </c:pt>
                      <c:pt idx="323">
                        <c:v>181689.73</c:v>
                      </c:pt>
                      <c:pt idx="324">
                        <c:v>181559.73</c:v>
                      </c:pt>
                      <c:pt idx="325">
                        <c:v>181613.05</c:v>
                      </c:pt>
                      <c:pt idx="326">
                        <c:v>181527.48</c:v>
                      </c:pt>
                      <c:pt idx="327">
                        <c:v>181561.84</c:v>
                      </c:pt>
                      <c:pt idx="328">
                        <c:v>181596.18</c:v>
                      </c:pt>
                      <c:pt idx="329">
                        <c:v>181630.54</c:v>
                      </c:pt>
                      <c:pt idx="330">
                        <c:v>181630.81</c:v>
                      </c:pt>
                      <c:pt idx="331">
                        <c:v>181601.36</c:v>
                      </c:pt>
                      <c:pt idx="332">
                        <c:v>181672.63</c:v>
                      </c:pt>
                      <c:pt idx="333">
                        <c:v>181891.23</c:v>
                      </c:pt>
                      <c:pt idx="334">
                        <c:v>181989.93</c:v>
                      </c:pt>
                      <c:pt idx="335">
                        <c:v>181973.42</c:v>
                      </c:pt>
                      <c:pt idx="336">
                        <c:v>181956.93</c:v>
                      </c:pt>
                      <c:pt idx="337">
                        <c:v>181940.43</c:v>
                      </c:pt>
                      <c:pt idx="338">
                        <c:v>182188.26</c:v>
                      </c:pt>
                      <c:pt idx="339">
                        <c:v>182160.45</c:v>
                      </c:pt>
                      <c:pt idx="340">
                        <c:v>182132.65</c:v>
                      </c:pt>
                      <c:pt idx="341">
                        <c:v>182149.11</c:v>
                      </c:pt>
                      <c:pt idx="342">
                        <c:v>182116.6</c:v>
                      </c:pt>
                      <c:pt idx="343">
                        <c:v>182084.1</c:v>
                      </c:pt>
                      <c:pt idx="344">
                        <c:v>182354.22</c:v>
                      </c:pt>
                      <c:pt idx="345">
                        <c:v>182629.69</c:v>
                      </c:pt>
                      <c:pt idx="346">
                        <c:v>182571.11</c:v>
                      </c:pt>
                      <c:pt idx="347">
                        <c:v>182400.37</c:v>
                      </c:pt>
                      <c:pt idx="348">
                        <c:v>182313.62</c:v>
                      </c:pt>
                      <c:pt idx="349">
                        <c:v>182436.36</c:v>
                      </c:pt>
                      <c:pt idx="350">
                        <c:v>182618.41</c:v>
                      </c:pt>
                      <c:pt idx="351">
                        <c:v>182083.25</c:v>
                      </c:pt>
                      <c:pt idx="352">
                        <c:v>182086.63</c:v>
                      </c:pt>
                      <c:pt idx="353">
                        <c:v>182102.62</c:v>
                      </c:pt>
                      <c:pt idx="354">
                        <c:v>181947.43</c:v>
                      </c:pt>
                      <c:pt idx="355" formatCode="&quot;€&quot;* #\ ##0.00;&quot;€&quot;* \-#\ ##0.00">
                        <c:v>181866.08</c:v>
                      </c:pt>
                      <c:pt idx="356" formatCode="&quot;€&quot;* #\ ##0.00;&quot;€&quot;* \-#\ ##0.00">
                        <c:v>181603.8</c:v>
                      </c:pt>
                      <c:pt idx="357" formatCode="&quot;€&quot;* #\ ##0.00;&quot;€&quot;* \-#\ ##0.00">
                        <c:v>180910.52</c:v>
                      </c:pt>
                      <c:pt idx="358" formatCode="&quot;€&quot;* #\ ##0.00;&quot;€&quot;* \-#\ ##0.00">
                        <c:v>180618.25</c:v>
                      </c:pt>
                      <c:pt idx="359" formatCode="&quot;€&quot;* #\ ##0.00;&quot;€&quot;* \-#\ ##0.00">
                        <c:v>180699.4</c:v>
                      </c:pt>
                      <c:pt idx="360" formatCode="&quot;€&quot;* #\ ##0.00;&quot;€&quot;* \-#\ ##0.00">
                        <c:v>180801.78</c:v>
                      </c:pt>
                      <c:pt idx="361" formatCode="&quot;€&quot;* #\ ##0.00;&quot;€&quot;* \-#\ ##0.00">
                        <c:v>180070.9</c:v>
                      </c:pt>
                      <c:pt idx="362" formatCode="&quot;€&quot;* #\ ##0.00;&quot;€&quot;* \-#\ ##0.00">
                        <c:v>180290.31</c:v>
                      </c:pt>
                      <c:pt idx="363" formatCode="&quot;€&quot;* #\ ##0.00;&quot;€&quot;* \-#\ ##0.00">
                        <c:v>180342.18</c:v>
                      </c:pt>
                      <c:pt idx="364" formatCode="&quot;€&quot;* #\ ##0.00;&quot;€&quot;* \-#\ ##0.00">
                        <c:v>180394.06</c:v>
                      </c:pt>
                      <c:pt idx="365" formatCode="&quot;€&quot;* #\ ##0.00;&quot;€&quot;* \-#\ ##0.00">
                        <c:v>180445.94</c:v>
                      </c:pt>
                      <c:pt idx="366" formatCode="&quot;€&quot;* #\ ##0.00;&quot;€&quot;* \-#\ ##0.00">
                        <c:v>180717.47</c:v>
                      </c:pt>
                      <c:pt idx="367" formatCode="&quot;€&quot;* #\ ##0.00;&quot;€&quot;* \-#\ ##0.00">
                        <c:v>180871.54</c:v>
                      </c:pt>
                      <c:pt idx="368" formatCode="&quot;€&quot;* #\ ##0.00;&quot;€&quot;* \-#\ ##0.00">
                        <c:v>180804.76</c:v>
                      </c:pt>
                      <c:pt idx="369" formatCode="&quot;€&quot;* #\ ##0.00;&quot;€&quot;* \-#\ ##0.00">
                        <c:v>180731.15</c:v>
                      </c:pt>
                      <c:pt idx="370" formatCode="&quot;€&quot;* #\ ##0.00;&quot;€&quot;* \-#\ ##0.00">
                        <c:v>180657.55</c:v>
                      </c:pt>
                      <c:pt idx="371" formatCode="&quot;€&quot;* #\ ##0.00;&quot;€&quot;* \-#\ ##0.00">
                        <c:v>180583.95</c:v>
                      </c:pt>
                      <c:pt idx="372" formatCode="&quot;€&quot;* #\ ##0.00;&quot;€&quot;* \-#\ ##0.00">
                        <c:v>180455.63</c:v>
                      </c:pt>
                      <c:pt idx="373" formatCode="&quot;€&quot;* #\ ##0.00;&quot;€&quot;* \-#\ ##0.00">
                        <c:v>180352.56</c:v>
                      </c:pt>
                      <c:pt idx="374" formatCode="&quot;€&quot;* #\ ##0.00;&quot;€&quot;* \-#\ ##0.00">
                        <c:v>180138.15</c:v>
                      </c:pt>
                      <c:pt idx="375" formatCode="&quot;€&quot;* #\ ##0.00;&quot;€&quot;* \-#\ ##0.00">
                        <c:v>180158.5</c:v>
                      </c:pt>
                      <c:pt idx="376" formatCode="&quot;€&quot;* #\ ##0.00;&quot;€&quot;* \-#\ ##0.00">
                        <c:v>180342.18</c:v>
                      </c:pt>
                      <c:pt idx="377" formatCode="&quot;€&quot;* #\ ##0.00;&quot;€&quot;* \-#\ ##0.00">
                        <c:v>180599.04000000001</c:v>
                      </c:pt>
                      <c:pt idx="378" formatCode="&quot;€&quot;* #\ ##0.00;&quot;€&quot;* \-#\ ##0.00">
                        <c:v>180657.92000000001</c:v>
                      </c:pt>
                      <c:pt idx="379" formatCode="&quot;€&quot;* #\ ##0.00;&quot;€&quot;* \-#\ ##0.00">
                        <c:v>180716.92</c:v>
                      </c:pt>
                      <c:pt idx="380" formatCode="&quot;€&quot;* #\ ##0.00;&quot;€&quot;* \-#\ ##0.00">
                        <c:v>180658.97</c:v>
                      </c:pt>
                      <c:pt idx="381" formatCode="&quot;€&quot;* #\ ##0.00;&quot;€&quot;* \-#\ ##0.00">
                        <c:v>180609.06</c:v>
                      </c:pt>
                      <c:pt idx="382" formatCode="&quot;€&quot;* #\ ##0.00;&quot;€&quot;* \-#\ ##0.00">
                        <c:v>180492.49</c:v>
                      </c:pt>
                      <c:pt idx="383" formatCode="&quot;€&quot;* #\ ##0.00;&quot;€&quot;* \-#\ ##0.00">
                        <c:v>180375.94</c:v>
                      </c:pt>
                      <c:pt idx="384" formatCode="&quot;€&quot;* #\ ##0.00;&quot;€&quot;* \-#\ ##0.00">
                        <c:v>180195.47</c:v>
                      </c:pt>
                      <c:pt idx="385" formatCode="&quot;€&quot;* #\ ##0.00;&quot;€&quot;* \-#\ ##0.00">
                        <c:v>180305.3</c:v>
                      </c:pt>
                      <c:pt idx="386" formatCode="&quot;€&quot;* #\ ##0.00;&quot;€&quot;* \-#\ ##0.00">
                        <c:v>180247.97</c:v>
                      </c:pt>
                      <c:pt idx="387" formatCode="&quot;€&quot;* #\ ##0.00;&quot;€&quot;* \-#\ ##0.00">
                        <c:v>180258.24</c:v>
                      </c:pt>
                      <c:pt idx="388" formatCode="&quot;€&quot;* #\ ##0.00;&quot;€&quot;* \-#\ ##0.00">
                        <c:v>180350.26</c:v>
                      </c:pt>
                      <c:pt idx="389" formatCode="&quot;€&quot;* #\ ##0.00;&quot;€&quot;* \-#\ ##0.00">
                        <c:v>180557.9</c:v>
                      </c:pt>
                      <c:pt idx="390" formatCode="&quot;€&quot;* #\ ##0.00;&quot;€&quot;* \-#\ ##0.00">
                        <c:v>180932.71</c:v>
                      </c:pt>
                      <c:pt idx="391" formatCode="&quot;€&quot;* #\ ##0.00;&quot;€&quot;* \-#\ ##0.00">
                        <c:v>181063.79</c:v>
                      </c:pt>
                      <c:pt idx="392" formatCode="&quot;€&quot;* #\ ##0.00;&quot;€&quot;* \-#\ ##0.00">
                        <c:v>181102.94</c:v>
                      </c:pt>
                      <c:pt idx="393" formatCode="&quot;€&quot;* #\ ##0.00;&quot;€&quot;* \-#\ ##0.00">
                        <c:v>181076.05</c:v>
                      </c:pt>
                      <c:pt idx="394" formatCode="&quot;€&quot;* #\ ##0.00;&quot;€&quot;* \-#\ ##0.00">
                        <c:v>180788.93</c:v>
                      </c:pt>
                      <c:pt idx="395" formatCode="&quot;€&quot;* #\ ##0.00;&quot;€&quot;* \-#\ ##0.00">
                        <c:v>180917.78</c:v>
                      </c:pt>
                      <c:pt idx="396" formatCode="&quot;€&quot;* #\ ##0.00;&quot;€&quot;* \-#\ ##0.00">
                        <c:v>181213.57</c:v>
                      </c:pt>
                      <c:pt idx="397" formatCode="&quot;€&quot;* #\ ##0.00;&quot;€&quot;* \-#\ ##0.00">
                        <c:v>181420.46</c:v>
                      </c:pt>
                      <c:pt idx="398" formatCode="&quot;€&quot;* #\ ##0.00;&quot;€&quot;* \-#\ ##0.00">
                        <c:v>181134.31</c:v>
                      </c:pt>
                      <c:pt idx="399" formatCode="&quot;€&quot;* #\ ##0.00;&quot;€&quot;* \-#\ ##0.00">
                        <c:v>180848.15</c:v>
                      </c:pt>
                      <c:pt idx="400" formatCode="&quot;€&quot;* #\ ##0.00;&quot;€&quot;* \-#\ ##0.00">
                        <c:v>180626.89</c:v>
                      </c:pt>
                      <c:pt idx="401" formatCode="&quot;€&quot;* #\ ##0.00;&quot;€&quot;* \-#\ ##0.00">
                        <c:v>180611.97</c:v>
                      </c:pt>
                      <c:pt idx="402" formatCode="&quot;€&quot;* #\ ##0.00;&quot;€&quot;* \-#\ ##0.00">
                        <c:v>180443.78</c:v>
                      </c:pt>
                      <c:pt idx="403" formatCode="&quot;€&quot;* #\ ##0.00;&quot;€&quot;* \-#\ ##0.00">
                        <c:v>180159.8</c:v>
                      </c:pt>
                      <c:pt idx="404" formatCode="&quot;€&quot;* #\ ##0.00;&quot;€&quot;* \-#\ ##0.00">
                        <c:v>180221.14</c:v>
                      </c:pt>
                      <c:pt idx="405" formatCode="&quot;€&quot;* #\ ##0.00;&quot;€&quot;* \-#\ ##0.00">
                        <c:v>180282.46</c:v>
                      </c:pt>
                      <c:pt idx="406" formatCode="&quot;€&quot;* #\ ##0.00;&quot;€&quot;* \-#\ ##0.00">
                        <c:v>180342.72</c:v>
                      </c:pt>
                      <c:pt idx="407" formatCode="&quot;€&quot;* #\ ##0.00;&quot;€&quot;* \-#\ ##0.00">
                        <c:v>180588.92</c:v>
                      </c:pt>
                      <c:pt idx="408" formatCode="&quot;€&quot;* #\ ##0.00;&quot;€&quot;* \-#\ ##0.00">
                        <c:v>180646.36</c:v>
                      </c:pt>
                      <c:pt idx="409" formatCode="&quot;€&quot;* #\ ##0.00;&quot;€&quot;* \-#\ ##0.00">
                        <c:v>180423.14</c:v>
                      </c:pt>
                      <c:pt idx="410" formatCode="&quot;€&quot;* #\ ##0.00;&quot;€&quot;* \-#\ ##0.00">
                        <c:v>179727.81</c:v>
                      </c:pt>
                      <c:pt idx="411" formatCode="&quot;€&quot;* #\ ##0.00;&quot;€&quot;* \-#\ ##0.00">
                        <c:v>178977.18</c:v>
                      </c:pt>
                      <c:pt idx="412" formatCode="&quot;€&quot;* #\ ##0.00;&quot;€&quot;* \-#\ ##0.00">
                        <c:v>178397.68</c:v>
                      </c:pt>
                      <c:pt idx="413" formatCode="&quot;€&quot;* #\ ##0.00;&quot;€&quot;* \-#\ ##0.00">
                        <c:v>178137.15</c:v>
                      </c:pt>
                      <c:pt idx="414" formatCode="&quot;€&quot;* #\ ##0.00;&quot;€&quot;* \-#\ ##0.00">
                        <c:v>177696.23</c:v>
                      </c:pt>
                      <c:pt idx="415" formatCode="&quot;€&quot;* #\ ##0.00;&quot;€&quot;* \-#\ ##0.00">
                        <c:v>177700.68</c:v>
                      </c:pt>
                      <c:pt idx="416" formatCode="&quot;€&quot;* #\ ##0.00;&quot;€&quot;* \-#\ ##0.00">
                        <c:v>177475.51</c:v>
                      </c:pt>
                      <c:pt idx="417" formatCode="&quot;€&quot;* #\ ##0.00;&quot;€&quot;* \-#\ ##0.00">
                        <c:v>177232.62</c:v>
                      </c:pt>
                      <c:pt idx="418" formatCode="&quot;€&quot;* #\ ##0.00;&quot;€&quot;* \-#\ ##0.00">
                        <c:v>176973.34</c:v>
                      </c:pt>
                      <c:pt idx="419" formatCode="&quot;€&quot;* #\ ##0.00;&quot;€&quot;* \-#\ ##0.00">
                        <c:v>176943.67</c:v>
                      </c:pt>
                      <c:pt idx="420" formatCode="&quot;€&quot;* #\ ##0.00;&quot;€&quot;* \-#\ ##0.00">
                        <c:v>176755.1</c:v>
                      </c:pt>
                      <c:pt idx="421" formatCode="&quot;€&quot;* #\ ##0.00;&quot;€&quot;* \-#\ ##0.00">
                        <c:v>176568.28</c:v>
                      </c:pt>
                      <c:pt idx="422" formatCode="&quot;€&quot;* #\ ##0.00;&quot;€&quot;* \-#\ ##0.00">
                        <c:v>176381.46</c:v>
                      </c:pt>
                      <c:pt idx="423" formatCode="&quot;€&quot;* #\ ##0.00;&quot;€&quot;* \-#\ ##0.00">
                        <c:v>176194.64</c:v>
                      </c:pt>
                      <c:pt idx="424" formatCode="&quot;€&quot;* #\ ##0.00;&quot;€&quot;* \-#\ ##0.00">
                        <c:v>175815.69</c:v>
                      </c:pt>
                      <c:pt idx="425" formatCode="&quot;€&quot;* #\ ##0.00;&quot;€&quot;* \-#\ ##0.00">
                        <c:v>175670.69</c:v>
                      </c:pt>
                      <c:pt idx="426" formatCode="&quot;€&quot;* #\ ##0.00;&quot;€&quot;* \-#\ ##0.00">
                        <c:v>175525.68</c:v>
                      </c:pt>
                      <c:pt idx="427" formatCode="&quot;€&quot;* #\ ##0.00;&quot;€&quot;* \-#\ ##0.00">
                        <c:v>175490.59</c:v>
                      </c:pt>
                      <c:pt idx="428" formatCode="&quot;€&quot;* #\ ##0.00;&quot;€&quot;* \-#\ ##0.00">
                        <c:v>175237.31</c:v>
                      </c:pt>
                      <c:pt idx="429" formatCode="&quot;€&quot;* #\ ##0.00;&quot;€&quot;* \-#\ ##0.00">
                        <c:v>174750.09</c:v>
                      </c:pt>
                      <c:pt idx="430" formatCode="&quot;€&quot;* #\ ##0.00;&quot;€&quot;* \-#\ ##0.00">
                        <c:v>174273.84</c:v>
                      </c:pt>
                      <c:pt idx="431" formatCode="&quot;€&quot;* #\ ##0.00;&quot;€&quot;* \-#\ ##0.00">
                        <c:v>173783.01</c:v>
                      </c:pt>
                      <c:pt idx="432" formatCode="&quot;€&quot;* #\ ##0.00;&quot;€&quot;* \-#\ ##0.00">
                        <c:v>173292.18</c:v>
                      </c:pt>
                      <c:pt idx="433" formatCode="&quot;€&quot;* #\ ##0.00;&quot;€&quot;* \-#\ ##0.00">
                        <c:v>173049.94</c:v>
                      </c:pt>
                      <c:pt idx="434" formatCode="&quot;€&quot;* #\ ##0.00;&quot;€&quot;* \-#\ ##0.00">
                        <c:v>172921.84</c:v>
                      </c:pt>
                      <c:pt idx="435" formatCode="&quot;€&quot;* #\ ##0.00;&quot;€&quot;* \-#\ ##0.00">
                        <c:v>172792.71</c:v>
                      </c:pt>
                      <c:pt idx="436" formatCode="&quot;€&quot;* #\ ##0.00;&quot;€&quot;* \-#\ ##0.00">
                        <c:v>172663.59</c:v>
                      </c:pt>
                      <c:pt idx="437" formatCode="&quot;€&quot;* #\ ##0.00;&quot;€&quot;* \-#\ ##0.00">
                        <c:v>172493.25</c:v>
                      </c:pt>
                      <c:pt idx="438" formatCode="&quot;€&quot;* #\ ##0.00;&quot;€&quot;* \-#\ ##0.00">
                        <c:v>172266.47</c:v>
                      </c:pt>
                      <c:pt idx="439" formatCode="&quot;€&quot;* #\ ##0.00;&quot;€&quot;* \-#\ ##0.00">
                        <c:v>172029.93</c:v>
                      </c:pt>
                      <c:pt idx="440" formatCode="&quot;€&quot;* #\ ##0.00;&quot;€&quot;* \-#\ ##0.00">
                        <c:v>171793.39</c:v>
                      </c:pt>
                      <c:pt idx="441" formatCode="&quot;€&quot;* #\ ##0.00;&quot;€&quot;* \-#\ ##0.00">
                        <c:v>171556.85</c:v>
                      </c:pt>
                      <c:pt idx="442" formatCode="&quot;€&quot;* #\ ##0.00;&quot;€&quot;* \-#\ ##0.00">
                        <c:v>171206.17</c:v>
                      </c:pt>
                      <c:pt idx="443" formatCode="&quot;€&quot;* #\ ##0.00;&quot;€&quot;* \-#\ ##0.00">
                        <c:v>171283.98</c:v>
                      </c:pt>
                      <c:pt idx="444" formatCode="&quot;€&quot;* #\ ##0.00;&quot;€&quot;* \-#\ ##0.00">
                        <c:v>170974.88</c:v>
                      </c:pt>
                      <c:pt idx="445" formatCode="&quot;€&quot;* #\ ##0.00;&quot;€&quot;* \-#\ ##0.00">
                        <c:v>170754.33</c:v>
                      </c:pt>
                      <c:pt idx="446" formatCode="&quot;€&quot;* #\ ##0.00;&quot;€&quot;* \-#\ ##0.00">
                        <c:v>170767.88</c:v>
                      </c:pt>
                      <c:pt idx="447" formatCode="&quot;€&quot;* #\ ##0.00;&quot;€&quot;* \-#\ ##0.00">
                        <c:v>171066.26</c:v>
                      </c:pt>
                      <c:pt idx="448" formatCode="&quot;€&quot;* #\ ##0.00;&quot;€&quot;* \-#\ ##0.00">
                        <c:v>171343.56</c:v>
                      </c:pt>
                      <c:pt idx="449" formatCode="&quot;€&quot;* #\ ##0.00;&quot;€&quot;* \-#\ ##0.00">
                        <c:v>171620.85</c:v>
                      </c:pt>
                      <c:pt idx="450" formatCode="&quot;€&quot;* #\ ##0.00;&quot;€&quot;* \-#\ ##0.00">
                        <c:v>171651.65</c:v>
                      </c:pt>
                      <c:pt idx="451" formatCode="&quot;€&quot;* #\ ##0.00;&quot;€&quot;* \-#\ ##0.00">
                        <c:v>171864.01</c:v>
                      </c:pt>
                      <c:pt idx="452" formatCode="&quot;€&quot;* #\ ##0.00;&quot;€&quot;* \-#\ ##0.00">
                        <c:v>171638.86</c:v>
                      </c:pt>
                      <c:pt idx="453" formatCode="&quot;€&quot;* #\ ##0.00;&quot;€&quot;* \-#\ ##0.00">
                        <c:v>171541.33</c:v>
                      </c:pt>
                      <c:pt idx="454" formatCode="&quot;€&quot;* #\ ##0.00;&quot;€&quot;* \-#\ ##0.00">
                        <c:v>171320.98</c:v>
                      </c:pt>
                      <c:pt idx="455" formatCode="&quot;€&quot;* #\ ##0.00;&quot;€&quot;* \-#\ ##0.00">
                        <c:v>171406.11</c:v>
                      </c:pt>
                      <c:pt idx="456" formatCode="&quot;€&quot;* #\ ##0.00;&quot;€&quot;* \-#\ ##0.00">
                        <c:v>171344.99</c:v>
                      </c:pt>
                      <c:pt idx="457" formatCode="&quot;€&quot;* #\ ##0.00;&quot;€&quot;* \-#\ ##0.00">
                        <c:v>171316.92</c:v>
                      </c:pt>
                      <c:pt idx="458" formatCode="&quot;€&quot;* #\ ##0.00;&quot;€&quot;* \-#\ ##0.00">
                        <c:v>171283.95</c:v>
                      </c:pt>
                      <c:pt idx="459" formatCode="&quot;€&quot;* #\ ##0.00;&quot;€&quot;* \-#\ ##0.00">
                        <c:v>171282.12</c:v>
                      </c:pt>
                      <c:pt idx="460" formatCode="&quot;€&quot;* #\ ##0.00;&quot;€&quot;* \-#\ ##0.00">
                        <c:v>171184.18</c:v>
                      </c:pt>
                      <c:pt idx="461" formatCode="&quot;€&quot;* #\ ##0.00;&quot;€&quot;* \-#\ ##0.00">
                        <c:v>171099.13</c:v>
                      </c:pt>
                      <c:pt idx="462" formatCode="&quot;€&quot;* #\ ##0.00;&quot;€&quot;* \-#\ ##0.00">
                        <c:v>171031.72</c:v>
                      </c:pt>
                      <c:pt idx="463" formatCode="&quot;€&quot;* #\ ##0.00;&quot;€&quot;* \-#\ ##0.00">
                        <c:v>170964.31</c:v>
                      </c:pt>
                      <c:pt idx="464" formatCode="&quot;€&quot;* #\ ##0.00;&quot;€&quot;* \-#\ ##0.00">
                        <c:v>171039.09</c:v>
                      </c:pt>
                      <c:pt idx="465" formatCode="&quot;€&quot;* #\ ##0.00;&quot;€&quot;* \-#\ ##0.00">
                        <c:v>170836.45</c:v>
                      </c:pt>
                      <c:pt idx="466" formatCode="&quot;€&quot;* #\ ##0.00;&quot;€&quot;* \-#\ ##0.00">
                        <c:v>170632.95</c:v>
                      </c:pt>
                      <c:pt idx="467" formatCode="&quot;€&quot;* #\ ##0.00;&quot;€&quot;* \-#\ ##0.00">
                        <c:v>170470.92</c:v>
                      </c:pt>
                      <c:pt idx="468" formatCode="&quot;€&quot;* #\ ##0.00;&quot;€&quot;* \-#\ ##0.00">
                        <c:v>170308.9</c:v>
                      </c:pt>
                      <c:pt idx="469" formatCode="&quot;€&quot;* #\ ##0.00;&quot;€&quot;* \-#\ ##0.00">
                        <c:v>170271.99</c:v>
                      </c:pt>
                      <c:pt idx="470" formatCode="&quot;€&quot;* #\ ##0.00;&quot;€&quot;* \-#\ ##0.00">
                        <c:v>170235.07</c:v>
                      </c:pt>
                      <c:pt idx="471" formatCode="&quot;€&quot;* #\ ##0.00;&quot;€&quot;* \-#\ ##0.00">
                        <c:v>170125.05</c:v>
                      </c:pt>
                      <c:pt idx="472" formatCode="&quot;€&quot;* #\ ##0.00;&quot;€&quot;* \-#\ ##0.00">
                        <c:v>170015.03</c:v>
                      </c:pt>
                      <c:pt idx="473" formatCode="&quot;€&quot;* #\ ##0.00;&quot;€&quot;* \-#\ ##0.00">
                        <c:v>169671.27</c:v>
                      </c:pt>
                      <c:pt idx="474" formatCode="&quot;€&quot;* #\ ##0.00;&quot;€&quot;* \-#\ ##0.00">
                        <c:v>169095.63</c:v>
                      </c:pt>
                      <c:pt idx="475" formatCode="&quot;€&quot;* #\ ##0.00;&quot;€&quot;* \-#\ ##0.00">
                        <c:v>168915.77</c:v>
                      </c:pt>
                    </c:numCache>
                  </c:numRef>
                </c:val>
                <c:smooth val="0"/>
                <c:extLst xmlns:c15="http://schemas.microsoft.com/office/drawing/2012/chart">
                  <c:ext xmlns:c16="http://schemas.microsoft.com/office/drawing/2014/chart" uri="{C3380CC4-5D6E-409C-BE32-E72D297353CC}">
                    <c16:uniqueId val="{00000002-26C8-4F85-A91F-CED6FA8DBF1C}"/>
                  </c:ext>
                </c:extLst>
              </c15:ser>
            </c15:filteredLineSeries>
          </c:ext>
        </c:extLst>
      </c:lineChart>
      <c:dateAx>
        <c:axId val="1418891919"/>
        <c:scaling>
          <c:orientation val="minMax"/>
          <c:min val="45584"/>
        </c:scaling>
        <c:delete val="0"/>
        <c:axPos val="b"/>
        <c:numFmt formatCode="[$-40C]mm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8893359"/>
        <c:crosses val="autoZero"/>
        <c:auto val="0"/>
        <c:lblOffset val="100"/>
        <c:baseTimeUnit val="days"/>
        <c:majorUnit val="1"/>
        <c:majorTimeUnit val="months"/>
      </c:dateAx>
      <c:valAx>
        <c:axId val="1418893359"/>
        <c:scaling>
          <c:orientation val="minMax"/>
          <c:max val="70000"/>
          <c:min val="250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quot;€&quot;#,##0_);\(&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8891919"/>
        <c:crosses val="autoZero"/>
        <c:crossBetween val="between"/>
      </c:valAx>
      <c:spPr>
        <a:noFill/>
        <a:ln>
          <a:solidFill>
            <a:srgbClr val="FF0000"/>
          </a:solidFill>
          <a:prstDash val="solid"/>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Premiere Page
Maury</c:v>
          </c:tx>
          <c:spPr>
            <a:ln w="28575" cap="rnd">
              <a:solidFill>
                <a:schemeClr val="accent1"/>
              </a:solidFill>
              <a:round/>
            </a:ln>
            <a:effectLst/>
          </c:spPr>
          <c:marker>
            <c:symbol val="none"/>
          </c:marker>
          <c:val>
            <c:numRef>
              <c:f>StatsAirBNBMaury[Premiere Page]</c:f>
              <c:numCache>
                <c:formatCode>0\.0%</c:formatCode>
                <c:ptCount val="473"/>
                <c:pt idx="0">
                  <c:v>0.46800000000000003</c:v>
                </c:pt>
                <c:pt idx="1">
                  <c:v>0.48</c:v>
                </c:pt>
                <c:pt idx="2">
                  <c:v>0.499</c:v>
                </c:pt>
                <c:pt idx="3">
                  <c:v>0.51400000000000001</c:v>
                </c:pt>
                <c:pt idx="4">
                  <c:v>0.52400000000000002</c:v>
                </c:pt>
                <c:pt idx="5">
                  <c:v>0.53</c:v>
                </c:pt>
                <c:pt idx="6">
                  <c:v>0.53400000000000003</c:v>
                </c:pt>
                <c:pt idx="7">
                  <c:v>0.54</c:v>
                </c:pt>
                <c:pt idx="8">
                  <c:v>0.54400000000000004</c:v>
                </c:pt>
                <c:pt idx="9">
                  <c:v>0.54900000000000004</c:v>
                </c:pt>
                <c:pt idx="10">
                  <c:v>0.55000000000000004</c:v>
                </c:pt>
                <c:pt idx="11">
                  <c:v>0.55100000000000005</c:v>
                </c:pt>
                <c:pt idx="12">
                  <c:v>0.55200000000000005</c:v>
                </c:pt>
                <c:pt idx="13">
                  <c:v>0.55100000000000005</c:v>
                </c:pt>
                <c:pt idx="14">
                  <c:v>0.55500000000000005</c:v>
                </c:pt>
                <c:pt idx="15">
                  <c:v>0.56100000000000005</c:v>
                </c:pt>
                <c:pt idx="16">
                  <c:v>0.56499999999999995</c:v>
                </c:pt>
                <c:pt idx="17">
                  <c:v>0.56699999999999995</c:v>
                </c:pt>
                <c:pt idx="18">
                  <c:v>0.57499999999999996</c:v>
                </c:pt>
                <c:pt idx="19">
                  <c:v>0.58099999999999996</c:v>
                </c:pt>
                <c:pt idx="20">
                  <c:v>0.58599999999999997</c:v>
                </c:pt>
                <c:pt idx="21">
                  <c:v>0.59299999999999997</c:v>
                </c:pt>
                <c:pt idx="22">
                  <c:v>0.60399999999999998</c:v>
                </c:pt>
                <c:pt idx="23">
                  <c:v>0.61</c:v>
                </c:pt>
                <c:pt idx="24">
                  <c:v>0.61299999999999999</c:v>
                </c:pt>
                <c:pt idx="25">
                  <c:v>0.61499999999999999</c:v>
                </c:pt>
                <c:pt idx="26">
                  <c:v>0.61599999999999999</c:v>
                </c:pt>
                <c:pt idx="27">
                  <c:v>0.61799999999999999</c:v>
                </c:pt>
                <c:pt idx="28">
                  <c:v>0.61899999999999999</c:v>
                </c:pt>
                <c:pt idx="29">
                  <c:v>0.62</c:v>
                </c:pt>
                <c:pt idx="30">
                  <c:v>0.62</c:v>
                </c:pt>
                <c:pt idx="31">
                  <c:v>0.62</c:v>
                </c:pt>
                <c:pt idx="32">
                  <c:v>0.61499999999999999</c:v>
                </c:pt>
                <c:pt idx="33">
                  <c:v>0.61</c:v>
                </c:pt>
                <c:pt idx="34">
                  <c:v>0.60199999999999998</c:v>
                </c:pt>
                <c:pt idx="35">
                  <c:v>0.59799999999999998</c:v>
                </c:pt>
                <c:pt idx="36">
                  <c:v>0.60599999999999998</c:v>
                </c:pt>
                <c:pt idx="37">
                  <c:v>0.61599999999999999</c:v>
                </c:pt>
                <c:pt idx="38">
                  <c:v>0.625</c:v>
                </c:pt>
                <c:pt idx="39">
                  <c:v>0.629</c:v>
                </c:pt>
                <c:pt idx="40">
                  <c:v>0.63600000000000001</c:v>
                </c:pt>
                <c:pt idx="41">
                  <c:v>0.64100000000000001</c:v>
                </c:pt>
                <c:pt idx="42">
                  <c:v>0.64600000000000002</c:v>
                </c:pt>
                <c:pt idx="43">
                  <c:v>0.65</c:v>
                </c:pt>
                <c:pt idx="44">
                  <c:v>0.65400000000000003</c:v>
                </c:pt>
                <c:pt idx="45">
                  <c:v>0.66200000000000003</c:v>
                </c:pt>
                <c:pt idx="46">
                  <c:v>0.66800000000000004</c:v>
                </c:pt>
                <c:pt idx="47">
                  <c:v>0.67700000000000005</c:v>
                </c:pt>
                <c:pt idx="48">
                  <c:v>0.68300000000000005</c:v>
                </c:pt>
                <c:pt idx="49">
                  <c:v>0.68300000000000005</c:v>
                </c:pt>
                <c:pt idx="50">
                  <c:v>0.68400000000000005</c:v>
                </c:pt>
                <c:pt idx="51">
                  <c:v>0.68600000000000005</c:v>
                </c:pt>
                <c:pt idx="52">
                  <c:v>0.68600000000000005</c:v>
                </c:pt>
                <c:pt idx="53">
                  <c:v>0.68300000000000005</c:v>
                </c:pt>
                <c:pt idx="54">
                  <c:v>0.68400000000000005</c:v>
                </c:pt>
                <c:pt idx="55">
                  <c:v>0.68600000000000005</c:v>
                </c:pt>
                <c:pt idx="56">
                  <c:v>0.68600000000000005</c:v>
                </c:pt>
                <c:pt idx="57">
                  <c:v>0.68600000000000005</c:v>
                </c:pt>
                <c:pt idx="58">
                  <c:v>0.68500000000000005</c:v>
                </c:pt>
                <c:pt idx="59">
                  <c:v>0.68500000000000005</c:v>
                </c:pt>
                <c:pt idx="60">
                  <c:v>0.68700000000000006</c:v>
                </c:pt>
                <c:pt idx="61">
                  <c:v>0.69299999999999995</c:v>
                </c:pt>
                <c:pt idx="62">
                  <c:v>0.69899999999999995</c:v>
                </c:pt>
                <c:pt idx="63">
                  <c:v>0.7</c:v>
                </c:pt>
                <c:pt idx="64">
                  <c:v>0.70199999999999996</c:v>
                </c:pt>
                <c:pt idx="65">
                  <c:v>0.70699999999999996</c:v>
                </c:pt>
                <c:pt idx="66">
                  <c:v>0.70599999999999996</c:v>
                </c:pt>
                <c:pt idx="67">
                  <c:v>0.70399999999999996</c:v>
                </c:pt>
                <c:pt idx="68">
                  <c:v>0.69799999999999995</c:v>
                </c:pt>
                <c:pt idx="69">
                  <c:v>0.69199999999999995</c:v>
                </c:pt>
                <c:pt idx="70">
                  <c:v>0.69</c:v>
                </c:pt>
                <c:pt idx="71">
                  <c:v>0.70699999999999996</c:v>
                </c:pt>
                <c:pt idx="72">
                  <c:v>0.72599999999999998</c:v>
                </c:pt>
                <c:pt idx="73">
                  <c:v>0.72599999999999998</c:v>
                </c:pt>
                <c:pt idx="74">
                  <c:v>0.72599999999999998</c:v>
                </c:pt>
                <c:pt idx="75">
                  <c:v>0.72599999999999998</c:v>
                </c:pt>
                <c:pt idx="76">
                  <c:v>0.72299999999999998</c:v>
                </c:pt>
                <c:pt idx="77">
                  <c:v>0.71699999999999997</c:v>
                </c:pt>
                <c:pt idx="78">
                  <c:v>0.71199999999999997</c:v>
                </c:pt>
                <c:pt idx="79">
                  <c:v>0.71</c:v>
                </c:pt>
                <c:pt idx="80">
                  <c:v>0.70899999999999996</c:v>
                </c:pt>
                <c:pt idx="81">
                  <c:v>0.71</c:v>
                </c:pt>
                <c:pt idx="82">
                  <c:v>0.71199999999999997</c:v>
                </c:pt>
                <c:pt idx="83">
                  <c:v>0.71199999999999997</c:v>
                </c:pt>
                <c:pt idx="84">
                  <c:v>0.71399999999999997</c:v>
                </c:pt>
                <c:pt idx="85">
                  <c:v>0.71399999999999997</c:v>
                </c:pt>
                <c:pt idx="86">
                  <c:v>0.71399999999999997</c:v>
                </c:pt>
                <c:pt idx="87">
                  <c:v>0.71399999999999997</c:v>
                </c:pt>
                <c:pt idx="88">
                  <c:v>0.71599999999999997</c:v>
                </c:pt>
                <c:pt idx="89">
                  <c:v>0.71699999999999997</c:v>
                </c:pt>
                <c:pt idx="90">
                  <c:v>0.71799999999999997</c:v>
                </c:pt>
                <c:pt idx="91">
                  <c:v>0.71699999999999997</c:v>
                </c:pt>
                <c:pt idx="92">
                  <c:v>0.71799999999999997</c:v>
                </c:pt>
                <c:pt idx="93">
                  <c:v>0.71699999999999997</c:v>
                </c:pt>
                <c:pt idx="94">
                  <c:v>0.71699999999999997</c:v>
                </c:pt>
                <c:pt idx="95">
                  <c:v>0.71899999999999997</c:v>
                </c:pt>
                <c:pt idx="96">
                  <c:v>0.71799999999999997</c:v>
                </c:pt>
                <c:pt idx="97">
                  <c:v>0.72099999999999997</c:v>
                </c:pt>
                <c:pt idx="98">
                  <c:v>0.72099999999999997</c:v>
                </c:pt>
                <c:pt idx="99">
                  <c:v>0.72</c:v>
                </c:pt>
                <c:pt idx="100">
                  <c:v>0.72199999999999998</c:v>
                </c:pt>
                <c:pt idx="101">
                  <c:v>0.72</c:v>
                </c:pt>
                <c:pt idx="102">
                  <c:v>0.70499999999999996</c:v>
                </c:pt>
                <c:pt idx="103">
                  <c:v>0.68500000000000005</c:v>
                </c:pt>
                <c:pt idx="104">
                  <c:v>0.68</c:v>
                </c:pt>
                <c:pt idx="105">
                  <c:v>0.67800000000000005</c:v>
                </c:pt>
                <c:pt idx="106">
                  <c:v>0.67800000000000005</c:v>
                </c:pt>
                <c:pt idx="107">
                  <c:v>0.67800000000000005</c:v>
                </c:pt>
                <c:pt idx="108">
                  <c:v>0.67900000000000005</c:v>
                </c:pt>
                <c:pt idx="109">
                  <c:v>0.68</c:v>
                </c:pt>
                <c:pt idx="110">
                  <c:v>0.68</c:v>
                </c:pt>
                <c:pt idx="111">
                  <c:v>0.68100000000000005</c:v>
                </c:pt>
                <c:pt idx="112">
                  <c:v>0.68100000000000005</c:v>
                </c:pt>
                <c:pt idx="113">
                  <c:v>0.68200000000000005</c:v>
                </c:pt>
                <c:pt idx="114">
                  <c:v>0.68400000000000005</c:v>
                </c:pt>
                <c:pt idx="115">
                  <c:v>0.68799999999999994</c:v>
                </c:pt>
                <c:pt idx="116">
                  <c:v>0.68899999999999995</c:v>
                </c:pt>
                <c:pt idx="117">
                  <c:v>0.69</c:v>
                </c:pt>
                <c:pt idx="118">
                  <c:v>0.69</c:v>
                </c:pt>
                <c:pt idx="119">
                  <c:v>0.69199999999999995</c:v>
                </c:pt>
                <c:pt idx="120">
                  <c:v>0.69399999999999995</c:v>
                </c:pt>
                <c:pt idx="121">
                  <c:v>0.69299999999999995</c:v>
                </c:pt>
                <c:pt idx="122">
                  <c:v>0.69199999999999995</c:v>
                </c:pt>
                <c:pt idx="123">
                  <c:v>0.69199999999999995</c:v>
                </c:pt>
                <c:pt idx="124">
                  <c:v>0.69299999999999995</c:v>
                </c:pt>
                <c:pt idx="125">
                  <c:v>0.69399999999999995</c:v>
                </c:pt>
                <c:pt idx="126">
                  <c:v>0.69299999999999995</c:v>
                </c:pt>
                <c:pt idx="127">
                  <c:v>0.69399999999999995</c:v>
                </c:pt>
                <c:pt idx="128">
                  <c:v>0.69399999999999995</c:v>
                </c:pt>
                <c:pt idx="129">
                  <c:v>0.69399999999999995</c:v>
                </c:pt>
                <c:pt idx="130">
                  <c:v>0.69499999999999995</c:v>
                </c:pt>
                <c:pt idx="131">
                  <c:v>0.69299999999999995</c:v>
                </c:pt>
                <c:pt idx="132">
                  <c:v>0.69399999999999995</c:v>
                </c:pt>
                <c:pt idx="133">
                  <c:v>0.69599999999999995</c:v>
                </c:pt>
                <c:pt idx="134">
                  <c:v>0.69899999999999995</c:v>
                </c:pt>
                <c:pt idx="135">
                  <c:v>0.70099999999999996</c:v>
                </c:pt>
                <c:pt idx="136">
                  <c:v>0.70299999999999996</c:v>
                </c:pt>
                <c:pt idx="137">
                  <c:v>0.70299999999999996</c:v>
                </c:pt>
                <c:pt idx="138">
                  <c:v>0.70199999999999996</c:v>
                </c:pt>
                <c:pt idx="139">
                  <c:v>0.70299999999999996</c:v>
                </c:pt>
                <c:pt idx="140">
                  <c:v>0.70399999999999996</c:v>
                </c:pt>
                <c:pt idx="141">
                  <c:v>0.70499999999999996</c:v>
                </c:pt>
                <c:pt idx="142">
                  <c:v>0.70599999999999996</c:v>
                </c:pt>
                <c:pt idx="143">
                  <c:v>0.70399999999999996</c:v>
                </c:pt>
                <c:pt idx="144">
                  <c:v>0.70399999999999996</c:v>
                </c:pt>
                <c:pt idx="145">
                  <c:v>0.70299999999999996</c:v>
                </c:pt>
                <c:pt idx="146">
                  <c:v>0.7</c:v>
                </c:pt>
                <c:pt idx="147">
                  <c:v>0.69899999999999995</c:v>
                </c:pt>
                <c:pt idx="148">
                  <c:v>0.69499999999999995</c:v>
                </c:pt>
                <c:pt idx="149">
                  <c:v>0.69099999999999995</c:v>
                </c:pt>
                <c:pt idx="150">
                  <c:v>0.68600000000000005</c:v>
                </c:pt>
                <c:pt idx="151">
                  <c:v>0.68100000000000005</c:v>
                </c:pt>
                <c:pt idx="152">
                  <c:v>0.67900000000000005</c:v>
                </c:pt>
                <c:pt idx="153">
                  <c:v>0.67800000000000005</c:v>
                </c:pt>
                <c:pt idx="154">
                  <c:v>0.67700000000000005</c:v>
                </c:pt>
                <c:pt idx="155">
                  <c:v>0.67300000000000004</c:v>
                </c:pt>
                <c:pt idx="156">
                  <c:v>0.67300000000000004</c:v>
                </c:pt>
                <c:pt idx="157">
                  <c:v>0.67600000000000005</c:v>
                </c:pt>
                <c:pt idx="158">
                  <c:v>0.67700000000000005</c:v>
                </c:pt>
                <c:pt idx="159">
                  <c:v>0.67600000000000005</c:v>
                </c:pt>
                <c:pt idx="160">
                  <c:v>0.67500000000000004</c:v>
                </c:pt>
                <c:pt idx="161">
                  <c:v>0.67400000000000004</c:v>
                </c:pt>
                <c:pt idx="162">
                  <c:v>0.67500000000000004</c:v>
                </c:pt>
                <c:pt idx="163">
                  <c:v>0.67400000000000004</c:v>
                </c:pt>
                <c:pt idx="164">
                  <c:v>0.67200000000000004</c:v>
                </c:pt>
                <c:pt idx="165">
                  <c:v>0.66900000000000004</c:v>
                </c:pt>
                <c:pt idx="166">
                  <c:v>0.66600000000000004</c:v>
                </c:pt>
                <c:pt idx="167">
                  <c:v>0.66300000000000003</c:v>
                </c:pt>
                <c:pt idx="168">
                  <c:v>0.66100000000000003</c:v>
                </c:pt>
                <c:pt idx="169">
                  <c:v>0.66100000000000003</c:v>
                </c:pt>
                <c:pt idx="170">
                  <c:v>0.66</c:v>
                </c:pt>
                <c:pt idx="171">
                  <c:v>0.65900000000000003</c:v>
                </c:pt>
                <c:pt idx="172">
                  <c:v>0.65900000000000003</c:v>
                </c:pt>
                <c:pt idx="173">
                  <c:v>0.65600000000000003</c:v>
                </c:pt>
                <c:pt idx="174">
                  <c:v>0.65700000000000003</c:v>
                </c:pt>
                <c:pt idx="175">
                  <c:v>0.65900000000000003</c:v>
                </c:pt>
                <c:pt idx="176">
                  <c:v>0.65700000000000003</c:v>
                </c:pt>
                <c:pt idx="177">
                  <c:v>0.65900000000000003</c:v>
                </c:pt>
                <c:pt idx="178">
                  <c:v>0.66</c:v>
                </c:pt>
                <c:pt idx="179">
                  <c:v>0.66100000000000003</c:v>
                </c:pt>
                <c:pt idx="180">
                  <c:v>0.66500000000000004</c:v>
                </c:pt>
                <c:pt idx="181">
                  <c:v>0.66700000000000004</c:v>
                </c:pt>
                <c:pt idx="182">
                  <c:v>0.66800000000000004</c:v>
                </c:pt>
                <c:pt idx="183">
                  <c:v>0.67</c:v>
                </c:pt>
                <c:pt idx="184">
                  <c:v>0.66900000000000004</c:v>
                </c:pt>
                <c:pt idx="185">
                  <c:v>0.66900000000000004</c:v>
                </c:pt>
                <c:pt idx="186">
                  <c:v>0.66900000000000004</c:v>
                </c:pt>
                <c:pt idx="187">
                  <c:v>0.66700000000000004</c:v>
                </c:pt>
                <c:pt idx="188">
                  <c:v>0.66600000000000004</c:v>
                </c:pt>
                <c:pt idx="189">
                  <c:v>0.66900000000000004</c:v>
                </c:pt>
                <c:pt idx="190">
                  <c:v>0.66800000000000004</c:v>
                </c:pt>
                <c:pt idx="191">
                  <c:v>0.66700000000000004</c:v>
                </c:pt>
                <c:pt idx="192">
                  <c:v>0.66500000000000004</c:v>
                </c:pt>
                <c:pt idx="193">
                  <c:v>0.66600000000000004</c:v>
                </c:pt>
                <c:pt idx="194">
                  <c:v>0.66600000000000004</c:v>
                </c:pt>
                <c:pt idx="195">
                  <c:v>0.66700000000000004</c:v>
                </c:pt>
                <c:pt idx="196">
                  <c:v>0.66800000000000004</c:v>
                </c:pt>
                <c:pt idx="197">
                  <c:v>0.66900000000000004</c:v>
                </c:pt>
                <c:pt idx="198">
                  <c:v>0.66800000000000004</c:v>
                </c:pt>
                <c:pt idx="199">
                  <c:v>0.66800000000000004</c:v>
                </c:pt>
                <c:pt idx="200">
                  <c:v>0.66800000000000004</c:v>
                </c:pt>
                <c:pt idx="201">
                  <c:v>0.66900000000000004</c:v>
                </c:pt>
                <c:pt idx="202">
                  <c:v>0.67300000000000004</c:v>
                </c:pt>
                <c:pt idx="203">
                  <c:v>0.67300000000000004</c:v>
                </c:pt>
                <c:pt idx="204">
                  <c:v>0.67400000000000004</c:v>
                </c:pt>
                <c:pt idx="205">
                  <c:v>0.67400000000000004</c:v>
                </c:pt>
                <c:pt idx="206">
                  <c:v>0.67300000000000004</c:v>
                </c:pt>
                <c:pt idx="207">
                  <c:v>0.67400000000000004</c:v>
                </c:pt>
                <c:pt idx="208">
                  <c:v>0.67400000000000004</c:v>
                </c:pt>
                <c:pt idx="209">
                  <c:v>0.67400000000000004</c:v>
                </c:pt>
                <c:pt idx="210">
                  <c:v>0.67500000000000004</c:v>
                </c:pt>
                <c:pt idx="211">
                  <c:v>0.67600000000000005</c:v>
                </c:pt>
                <c:pt idx="212">
                  <c:v>0.67500000000000004</c:v>
                </c:pt>
                <c:pt idx="213">
                  <c:v>0.67300000000000004</c:v>
                </c:pt>
                <c:pt idx="214">
                  <c:v>0.67200000000000004</c:v>
                </c:pt>
                <c:pt idx="215">
                  <c:v>0.67300000000000004</c:v>
                </c:pt>
                <c:pt idx="216">
                  <c:v>0.67200000000000004</c:v>
                </c:pt>
                <c:pt idx="217">
                  <c:v>0.67200000000000004</c:v>
                </c:pt>
                <c:pt idx="218">
                  <c:v>0.67300000000000004</c:v>
                </c:pt>
                <c:pt idx="219">
                  <c:v>0.67300000000000004</c:v>
                </c:pt>
                <c:pt idx="220">
                  <c:v>0.66800000000000004</c:v>
                </c:pt>
                <c:pt idx="221">
                  <c:v>0.66900000000000004</c:v>
                </c:pt>
                <c:pt idx="222">
                  <c:v>0.67</c:v>
                </c:pt>
                <c:pt idx="223">
                  <c:v>0.67200000000000004</c:v>
                </c:pt>
                <c:pt idx="224">
                  <c:v>0.67200000000000004</c:v>
                </c:pt>
                <c:pt idx="225">
                  <c:v>0.67300000000000004</c:v>
                </c:pt>
                <c:pt idx="226">
                  <c:v>0.67200000000000004</c:v>
                </c:pt>
                <c:pt idx="227">
                  <c:v>0.67200000000000004</c:v>
                </c:pt>
                <c:pt idx="228">
                  <c:v>0.67100000000000004</c:v>
                </c:pt>
                <c:pt idx="229">
                  <c:v>0.67200000000000004</c:v>
                </c:pt>
                <c:pt idx="230">
                  <c:v>0.67500000000000004</c:v>
                </c:pt>
                <c:pt idx="231">
                  <c:v>0.67400000000000004</c:v>
                </c:pt>
                <c:pt idx="232">
                  <c:v>0.67500000000000004</c:v>
                </c:pt>
                <c:pt idx="233">
                  <c:v>0.66800000000000004</c:v>
                </c:pt>
                <c:pt idx="234">
                  <c:v>0.66500000000000004</c:v>
                </c:pt>
                <c:pt idx="235">
                  <c:v>0.66300000000000003</c:v>
                </c:pt>
                <c:pt idx="236">
                  <c:v>0.67300000000000004</c:v>
                </c:pt>
                <c:pt idx="237">
                  <c:v>0.68899999999999995</c:v>
                </c:pt>
                <c:pt idx="238">
                  <c:v>0.69499999999999995</c:v>
                </c:pt>
                <c:pt idx="239">
                  <c:v>0.69099999999999995</c:v>
                </c:pt>
                <c:pt idx="240">
                  <c:v>0.68700000000000006</c:v>
                </c:pt>
                <c:pt idx="241">
                  <c:v>0.68400000000000005</c:v>
                </c:pt>
                <c:pt idx="242">
                  <c:v>0.67900000000000005</c:v>
                </c:pt>
                <c:pt idx="243">
                  <c:v>0.67900000000000005</c:v>
                </c:pt>
                <c:pt idx="244">
                  <c:v>0.67900000000000005</c:v>
                </c:pt>
                <c:pt idx="245">
                  <c:v>0.67900000000000005</c:v>
                </c:pt>
                <c:pt idx="246">
                  <c:v>0.67900000000000005</c:v>
                </c:pt>
                <c:pt idx="247">
                  <c:v>0.67800000000000005</c:v>
                </c:pt>
                <c:pt idx="248">
                  <c:v>0.67500000000000004</c:v>
                </c:pt>
                <c:pt idx="249">
                  <c:v>0.67500000000000004</c:v>
                </c:pt>
                <c:pt idx="250">
                  <c:v>0.67200000000000004</c:v>
                </c:pt>
                <c:pt idx="251">
                  <c:v>0.67200000000000004</c:v>
                </c:pt>
                <c:pt idx="252">
                  <c:v>0.67</c:v>
                </c:pt>
                <c:pt idx="253">
                  <c:v>0.67</c:v>
                </c:pt>
                <c:pt idx="254">
                  <c:v>0.66900000000000004</c:v>
                </c:pt>
                <c:pt idx="255">
                  <c:v>0.66700000000000004</c:v>
                </c:pt>
                <c:pt idx="256">
                  <c:v>0.66500000000000004</c:v>
                </c:pt>
                <c:pt idx="257">
                  <c:v>0.66500000000000004</c:v>
                </c:pt>
                <c:pt idx="258">
                  <c:v>0.66500000000000004</c:v>
                </c:pt>
                <c:pt idx="259">
                  <c:v>0.66500000000000004</c:v>
                </c:pt>
                <c:pt idx="260">
                  <c:v>0.66400000000000003</c:v>
                </c:pt>
                <c:pt idx="261">
                  <c:v>0.66400000000000003</c:v>
                </c:pt>
                <c:pt idx="262">
                  <c:v>0.66400000000000003</c:v>
                </c:pt>
                <c:pt idx="263">
                  <c:v>0.66500000000000004</c:v>
                </c:pt>
                <c:pt idx="264">
                  <c:v>0.66500000000000004</c:v>
                </c:pt>
                <c:pt idx="265">
                  <c:v>0.66800000000000004</c:v>
                </c:pt>
                <c:pt idx="266">
                  <c:v>0.66700000000000004</c:v>
                </c:pt>
                <c:pt idx="267">
                  <c:v>0.65500000000000003</c:v>
                </c:pt>
                <c:pt idx="268">
                  <c:v>0.63600000000000001</c:v>
                </c:pt>
                <c:pt idx="269">
                  <c:v>0.628</c:v>
                </c:pt>
                <c:pt idx="270">
                  <c:v>0.63</c:v>
                </c:pt>
                <c:pt idx="271">
                  <c:v>0.63400000000000001</c:v>
                </c:pt>
                <c:pt idx="272">
                  <c:v>0.63400000000000001</c:v>
                </c:pt>
                <c:pt idx="273">
                  <c:v>0.63700000000000001</c:v>
                </c:pt>
                <c:pt idx="274">
                  <c:v>0.63700000000000001</c:v>
                </c:pt>
                <c:pt idx="275">
                  <c:v>0.64</c:v>
                </c:pt>
                <c:pt idx="276">
                  <c:v>0.64200000000000002</c:v>
                </c:pt>
                <c:pt idx="277">
                  <c:v>0.64400000000000002</c:v>
                </c:pt>
                <c:pt idx="278">
                  <c:v>0.64500000000000002</c:v>
                </c:pt>
                <c:pt idx="279">
                  <c:v>0.64900000000000002</c:v>
                </c:pt>
                <c:pt idx="280">
                  <c:v>0.65300000000000002</c:v>
                </c:pt>
                <c:pt idx="281">
                  <c:v>0.65500000000000003</c:v>
                </c:pt>
                <c:pt idx="282">
                  <c:v>0.65600000000000003</c:v>
                </c:pt>
                <c:pt idx="283">
                  <c:v>0.65700000000000003</c:v>
                </c:pt>
                <c:pt idx="284">
                  <c:v>0.65900000000000003</c:v>
                </c:pt>
                <c:pt idx="285">
                  <c:v>0.66</c:v>
                </c:pt>
                <c:pt idx="286">
                  <c:v>0.66100000000000003</c:v>
                </c:pt>
                <c:pt idx="287">
                  <c:v>0.66100000000000003</c:v>
                </c:pt>
                <c:pt idx="288">
                  <c:v>0.66100000000000003</c:v>
                </c:pt>
                <c:pt idx="289">
                  <c:v>0.66</c:v>
                </c:pt>
                <c:pt idx="290">
                  <c:v>0.65800000000000003</c:v>
                </c:pt>
                <c:pt idx="291">
                  <c:v>0.65900000000000003</c:v>
                </c:pt>
                <c:pt idx="292">
                  <c:v>0.65700000000000003</c:v>
                </c:pt>
                <c:pt idx="293">
                  <c:v>0.65600000000000003</c:v>
                </c:pt>
                <c:pt idx="294">
                  <c:v>0.65500000000000003</c:v>
                </c:pt>
                <c:pt idx="295">
                  <c:v>0.65500000000000003</c:v>
                </c:pt>
                <c:pt idx="296">
                  <c:v>0.65400000000000003</c:v>
                </c:pt>
                <c:pt idx="297">
                  <c:v>0.65500000000000003</c:v>
                </c:pt>
                <c:pt idx="298">
                  <c:v>0.65600000000000003</c:v>
                </c:pt>
                <c:pt idx="299">
                  <c:v>0.65700000000000003</c:v>
                </c:pt>
                <c:pt idx="300">
                  <c:v>0.65600000000000003</c:v>
                </c:pt>
                <c:pt idx="301">
                  <c:v>0.65500000000000003</c:v>
                </c:pt>
                <c:pt idx="302">
                  <c:v>0.65500000000000003</c:v>
                </c:pt>
                <c:pt idx="303">
                  <c:v>0.65500000000000003</c:v>
                </c:pt>
                <c:pt idx="304">
                  <c:v>0.65400000000000003</c:v>
                </c:pt>
                <c:pt idx="305">
                  <c:v>0.65500000000000003</c:v>
                </c:pt>
                <c:pt idx="306">
                  <c:v>0.65200000000000002</c:v>
                </c:pt>
                <c:pt idx="307">
                  <c:v>0.65100000000000002</c:v>
                </c:pt>
                <c:pt idx="308">
                  <c:v>0.65</c:v>
                </c:pt>
                <c:pt idx="309">
                  <c:v>0.65</c:v>
                </c:pt>
                <c:pt idx="310">
                  <c:v>0.65</c:v>
                </c:pt>
                <c:pt idx="311">
                  <c:v>0.65100000000000002</c:v>
                </c:pt>
                <c:pt idx="312">
                  <c:v>0.65400000000000003</c:v>
                </c:pt>
                <c:pt idx="313">
                  <c:v>0.65400000000000003</c:v>
                </c:pt>
                <c:pt idx="314">
                  <c:v>0.65500000000000003</c:v>
                </c:pt>
                <c:pt idx="315">
                  <c:v>0.65500000000000003</c:v>
                </c:pt>
                <c:pt idx="316">
                  <c:v>0.65600000000000003</c:v>
                </c:pt>
                <c:pt idx="317">
                  <c:v>0.65700000000000003</c:v>
                </c:pt>
                <c:pt idx="318">
                  <c:v>0.65800000000000003</c:v>
                </c:pt>
                <c:pt idx="319">
                  <c:v>0.65800000000000003</c:v>
                </c:pt>
                <c:pt idx="320">
                  <c:v>0.65900000000000003</c:v>
                </c:pt>
                <c:pt idx="321">
                  <c:v>0.66</c:v>
                </c:pt>
                <c:pt idx="322">
                  <c:v>0.66</c:v>
                </c:pt>
                <c:pt idx="323">
                  <c:v>0.66100000000000003</c:v>
                </c:pt>
                <c:pt idx="324">
                  <c:v>0.66100000000000003</c:v>
                </c:pt>
                <c:pt idx="325">
                  <c:v>0.66100000000000003</c:v>
                </c:pt>
                <c:pt idx="326">
                  <c:v>0.66</c:v>
                </c:pt>
                <c:pt idx="327">
                  <c:v>0.66100000000000003</c:v>
                </c:pt>
                <c:pt idx="328">
                  <c:v>0.66100000000000003</c:v>
                </c:pt>
                <c:pt idx="329">
                  <c:v>0.66100000000000003</c:v>
                </c:pt>
                <c:pt idx="330">
                  <c:v>0.66100000000000003</c:v>
                </c:pt>
                <c:pt idx="331">
                  <c:v>0.66</c:v>
                </c:pt>
                <c:pt idx="332">
                  <c:v>0.66</c:v>
                </c:pt>
                <c:pt idx="333">
                  <c:v>0.66100000000000003</c:v>
                </c:pt>
                <c:pt idx="334">
                  <c:v>0.66</c:v>
                </c:pt>
                <c:pt idx="335">
                  <c:v>0.66100000000000003</c:v>
                </c:pt>
                <c:pt idx="336">
                  <c:v>0.66100000000000003</c:v>
                </c:pt>
                <c:pt idx="337">
                  <c:v>0.66200000000000003</c:v>
                </c:pt>
                <c:pt idx="338">
                  <c:v>0.66100000000000003</c:v>
                </c:pt>
                <c:pt idx="339">
                  <c:v>0.66200000000000003</c:v>
                </c:pt>
                <c:pt idx="340">
                  <c:v>0.65900000000000003</c:v>
                </c:pt>
                <c:pt idx="341">
                  <c:v>0.65700000000000003</c:v>
                </c:pt>
                <c:pt idx="342">
                  <c:v>0.65300000000000002</c:v>
                </c:pt>
                <c:pt idx="343">
                  <c:v>0.65400000000000003</c:v>
                </c:pt>
                <c:pt idx="344">
                  <c:v>0.65200000000000002</c:v>
                </c:pt>
                <c:pt idx="345">
                  <c:v>0.64700000000000002</c:v>
                </c:pt>
                <c:pt idx="346">
                  <c:v>0.64400000000000002</c:v>
                </c:pt>
                <c:pt idx="347">
                  <c:v>0.64300000000000002</c:v>
                </c:pt>
                <c:pt idx="348">
                  <c:v>0.64300000000000002</c:v>
                </c:pt>
                <c:pt idx="349">
                  <c:v>0.64400000000000002</c:v>
                </c:pt>
                <c:pt idx="350">
                  <c:v>0.64900000000000002</c:v>
                </c:pt>
                <c:pt idx="351">
                  <c:v>0.65100000000000002</c:v>
                </c:pt>
                <c:pt idx="352">
                  <c:v>0.65400000000000003</c:v>
                </c:pt>
                <c:pt idx="353">
                  <c:v>0.67</c:v>
                </c:pt>
                <c:pt idx="354">
                  <c:v>0.67</c:v>
                </c:pt>
                <c:pt idx="355">
                  <c:v>0.67200000000000004</c:v>
                </c:pt>
                <c:pt idx="356">
                  <c:v>0.66900000000000004</c:v>
                </c:pt>
                <c:pt idx="357">
                  <c:v>0.66600000000000004</c:v>
                </c:pt>
                <c:pt idx="358">
                  <c:v>0.66400000000000003</c:v>
                </c:pt>
                <c:pt idx="359">
                  <c:v>0.65800000000000003</c:v>
                </c:pt>
                <c:pt idx="360">
                  <c:v>0.65900000000000003</c:v>
                </c:pt>
                <c:pt idx="361">
                  <c:v>0.65500000000000003</c:v>
                </c:pt>
                <c:pt idx="362">
                  <c:v>0.65600000000000003</c:v>
                </c:pt>
                <c:pt idx="363">
                  <c:v>0.65400000000000003</c:v>
                </c:pt>
                <c:pt idx="364">
                  <c:v>0.65</c:v>
                </c:pt>
                <c:pt idx="365">
                  <c:v>0.64800000000000002</c:v>
                </c:pt>
                <c:pt idx="366">
                  <c:v>0.64300000000000002</c:v>
                </c:pt>
                <c:pt idx="367">
                  <c:v>0.64200000000000002</c:v>
                </c:pt>
                <c:pt idx="368">
                  <c:v>0.63900000000000001</c:v>
                </c:pt>
                <c:pt idx="369">
                  <c:v>0.64100000000000001</c:v>
                </c:pt>
                <c:pt idx="370">
                  <c:v>0.64</c:v>
                </c:pt>
                <c:pt idx="371">
                  <c:v>0.64</c:v>
                </c:pt>
                <c:pt idx="372">
                  <c:v>0.64</c:v>
                </c:pt>
                <c:pt idx="373">
                  <c:v>0.64200000000000002</c:v>
                </c:pt>
                <c:pt idx="374">
                  <c:v>0.64</c:v>
                </c:pt>
                <c:pt idx="375">
                  <c:v>0.64100000000000001</c:v>
                </c:pt>
                <c:pt idx="376">
                  <c:v>0.64100000000000001</c:v>
                </c:pt>
                <c:pt idx="377">
                  <c:v>0.64100000000000001</c:v>
                </c:pt>
                <c:pt idx="378">
                  <c:v>0.64100000000000001</c:v>
                </c:pt>
                <c:pt idx="379">
                  <c:v>0.64</c:v>
                </c:pt>
                <c:pt idx="380">
                  <c:v>0.64400000000000002</c:v>
                </c:pt>
                <c:pt idx="381">
                  <c:v>0.63800000000000001</c:v>
                </c:pt>
                <c:pt idx="382">
                  <c:v>0.63400000000000001</c:v>
                </c:pt>
                <c:pt idx="383">
                  <c:v>0.627</c:v>
                </c:pt>
                <c:pt idx="384">
                  <c:v>0.625</c:v>
                </c:pt>
                <c:pt idx="385">
                  <c:v>0.625</c:v>
                </c:pt>
                <c:pt idx="386">
                  <c:v>0.626</c:v>
                </c:pt>
                <c:pt idx="387">
                  <c:v>0.627</c:v>
                </c:pt>
                <c:pt idx="388">
                  <c:v>0.629</c:v>
                </c:pt>
                <c:pt idx="389">
                  <c:v>0.63100000000000001</c:v>
                </c:pt>
                <c:pt idx="390">
                  <c:v>0.63500000000000001</c:v>
                </c:pt>
                <c:pt idx="391">
                  <c:v>0.63800000000000001</c:v>
                </c:pt>
                <c:pt idx="392">
                  <c:v>0.64</c:v>
                </c:pt>
                <c:pt idx="393">
                  <c:v>0.64</c:v>
                </c:pt>
                <c:pt idx="394">
                  <c:v>0.65</c:v>
                </c:pt>
                <c:pt idx="395">
                  <c:v>0.65300000000000002</c:v>
                </c:pt>
                <c:pt idx="396">
                  <c:v>0.65600000000000003</c:v>
                </c:pt>
                <c:pt idx="397">
                  <c:v>0.66</c:v>
                </c:pt>
                <c:pt idx="398">
                  <c:v>0.66200000000000003</c:v>
                </c:pt>
                <c:pt idx="399">
                  <c:v>0.66500000000000004</c:v>
                </c:pt>
                <c:pt idx="400">
                  <c:v>0.66400000000000003</c:v>
                </c:pt>
                <c:pt idx="401">
                  <c:v>0.66200000000000003</c:v>
                </c:pt>
                <c:pt idx="402">
                  <c:v>0.65900000000000003</c:v>
                </c:pt>
                <c:pt idx="403">
                  <c:v>0.65900000000000003</c:v>
                </c:pt>
                <c:pt idx="404">
                  <c:v>0.66100000000000003</c:v>
                </c:pt>
                <c:pt idx="405">
                  <c:v>0.66300000000000003</c:v>
                </c:pt>
                <c:pt idx="406">
                  <c:v>0.66400000000000003</c:v>
                </c:pt>
                <c:pt idx="407">
                  <c:v>0.66500000000000004</c:v>
                </c:pt>
                <c:pt idx="408">
                  <c:v>0.66600000000000004</c:v>
                </c:pt>
                <c:pt idx="409">
                  <c:v>0.66600000000000004</c:v>
                </c:pt>
                <c:pt idx="410">
                  <c:v>0.66700000000000004</c:v>
                </c:pt>
                <c:pt idx="411">
                  <c:v>0.66600000000000004</c:v>
                </c:pt>
                <c:pt idx="412">
                  <c:v>0.66700000000000004</c:v>
                </c:pt>
                <c:pt idx="413">
                  <c:v>0.66600000000000004</c:v>
                </c:pt>
                <c:pt idx="414">
                  <c:v>0.66500000000000004</c:v>
                </c:pt>
                <c:pt idx="415">
                  <c:v>0.66500000000000004</c:v>
                </c:pt>
                <c:pt idx="416">
                  <c:v>0.67</c:v>
                </c:pt>
                <c:pt idx="417">
                  <c:v>0.67200000000000004</c:v>
                </c:pt>
                <c:pt idx="418">
                  <c:v>0.67300000000000004</c:v>
                </c:pt>
                <c:pt idx="419">
                  <c:v>0.67400000000000004</c:v>
                </c:pt>
                <c:pt idx="420">
                  <c:v>0.67500000000000004</c:v>
                </c:pt>
                <c:pt idx="421">
                  <c:v>0.67600000000000005</c:v>
                </c:pt>
                <c:pt idx="422">
                  <c:v>0.67700000000000005</c:v>
                </c:pt>
                <c:pt idx="423">
                  <c:v>0.67700000000000005</c:v>
                </c:pt>
                <c:pt idx="424">
                  <c:v>0.67800000000000005</c:v>
                </c:pt>
                <c:pt idx="425">
                  <c:v>0.68100000000000005</c:v>
                </c:pt>
                <c:pt idx="426">
                  <c:v>0.68100000000000005</c:v>
                </c:pt>
                <c:pt idx="427">
                  <c:v>0.68100000000000005</c:v>
                </c:pt>
                <c:pt idx="428">
                  <c:v>0.68300000000000005</c:v>
                </c:pt>
                <c:pt idx="429">
                  <c:v>0.68400000000000005</c:v>
                </c:pt>
                <c:pt idx="430">
                  <c:v>0.68500000000000005</c:v>
                </c:pt>
                <c:pt idx="431">
                  <c:v>0.68799999999999994</c:v>
                </c:pt>
                <c:pt idx="432">
                  <c:v>0.69199999999999995</c:v>
                </c:pt>
                <c:pt idx="433">
                  <c:v>0.69499999999999995</c:v>
                </c:pt>
                <c:pt idx="434">
                  <c:v>0.69599999999999995</c:v>
                </c:pt>
                <c:pt idx="435">
                  <c:v>0.69699999999999995</c:v>
                </c:pt>
                <c:pt idx="436">
                  <c:v>0.69599999999999995</c:v>
                </c:pt>
                <c:pt idx="437">
                  <c:v>0.69599999999999995</c:v>
                </c:pt>
                <c:pt idx="438">
                  <c:v>0.69599999999999995</c:v>
                </c:pt>
                <c:pt idx="439">
                  <c:v>0.69799999999999995</c:v>
                </c:pt>
                <c:pt idx="440">
                  <c:v>0.69899999999999995</c:v>
                </c:pt>
                <c:pt idx="441">
                  <c:v>0.70299999999999996</c:v>
                </c:pt>
                <c:pt idx="442">
                  <c:v>0.70699999999999996</c:v>
                </c:pt>
                <c:pt idx="443">
                  <c:v>0.71199999999999997</c:v>
                </c:pt>
                <c:pt idx="444">
                  <c:v>0.71499999999999997</c:v>
                </c:pt>
                <c:pt idx="445">
                  <c:v>0.71599999999999997</c:v>
                </c:pt>
                <c:pt idx="446">
                  <c:v>0.71599999999999997</c:v>
                </c:pt>
                <c:pt idx="447">
                  <c:v>0.71399999999999997</c:v>
                </c:pt>
                <c:pt idx="448">
                  <c:v>0.71299999999999997</c:v>
                </c:pt>
                <c:pt idx="449">
                  <c:v>0.71099999999999997</c:v>
                </c:pt>
                <c:pt idx="450">
                  <c:v>0.70899999999999996</c:v>
                </c:pt>
                <c:pt idx="451">
                  <c:v>0.70899999999999996</c:v>
                </c:pt>
                <c:pt idx="452">
                  <c:v>0.70699999999999996</c:v>
                </c:pt>
                <c:pt idx="453">
                  <c:v>0.70799999999999996</c:v>
                </c:pt>
                <c:pt idx="454">
                  <c:v>0.70799999999999996</c:v>
                </c:pt>
                <c:pt idx="455">
                  <c:v>0.70299999999999996</c:v>
                </c:pt>
                <c:pt idx="456">
                  <c:v>0.69499999999999995</c:v>
                </c:pt>
                <c:pt idx="457">
                  <c:v>0.69399999999999995</c:v>
                </c:pt>
                <c:pt idx="458">
                  <c:v>0.69099999999999995</c:v>
                </c:pt>
                <c:pt idx="459">
                  <c:v>0.68799999999999994</c:v>
                </c:pt>
                <c:pt idx="460">
                  <c:v>0.68700000000000006</c:v>
                </c:pt>
                <c:pt idx="461">
                  <c:v>0.68500000000000005</c:v>
                </c:pt>
                <c:pt idx="462">
                  <c:v>0.68300000000000005</c:v>
                </c:pt>
                <c:pt idx="463">
                  <c:v>0.68400000000000005</c:v>
                </c:pt>
                <c:pt idx="464">
                  <c:v>0.68300000000000005</c:v>
                </c:pt>
                <c:pt idx="465">
                  <c:v>0.68400000000000005</c:v>
                </c:pt>
                <c:pt idx="466">
                  <c:v>0.68300000000000005</c:v>
                </c:pt>
                <c:pt idx="467">
                  <c:v>0.68500000000000005</c:v>
                </c:pt>
                <c:pt idx="468">
                  <c:v>0.68700000000000006</c:v>
                </c:pt>
                <c:pt idx="469">
                  <c:v>0.68899999999999995</c:v>
                </c:pt>
                <c:pt idx="470">
                  <c:v>0.69499999999999995</c:v>
                </c:pt>
                <c:pt idx="471">
                  <c:v>0.69899999999999995</c:v>
                </c:pt>
                <c:pt idx="472">
                  <c:v>0.69799999999999995</c:v>
                </c:pt>
              </c:numCache>
            </c:numRef>
          </c:val>
          <c:smooth val="0"/>
          <c:extLst>
            <c:ext xmlns:c15="http://schemas.microsoft.com/office/drawing/2012/chart" uri="{02D57815-91ED-43cb-92C2-25804820EDAC}">
              <c15:filteredCategoryTitle>
                <c15:cat>
                  <c:numRef>
                    <c:extLst>
                      <c:ext uri="{02D57815-91ED-43cb-92C2-25804820EDAC}">
                        <c15:formulaRef>
                          <c15:sqref>StatsAirBNBMaury[Date]</c15:sqref>
                        </c15:formulaRef>
                      </c:ext>
                    </c:extLst>
                    <c:numCache>
                      <c:formatCode>dd/mm/yy;@</c:formatCode>
                      <c:ptCount val="473"/>
                      <c:pt idx="0">
                        <c:v>45569</c:v>
                      </c:pt>
                      <c:pt idx="1">
                        <c:v>45570</c:v>
                      </c:pt>
                      <c:pt idx="2">
                        <c:v>45571</c:v>
                      </c:pt>
                      <c:pt idx="3">
                        <c:v>45572</c:v>
                      </c:pt>
                      <c:pt idx="4">
                        <c:v>45573</c:v>
                      </c:pt>
                      <c:pt idx="5">
                        <c:v>45574</c:v>
                      </c:pt>
                      <c:pt idx="6">
                        <c:v>45575</c:v>
                      </c:pt>
                      <c:pt idx="7">
                        <c:v>45576</c:v>
                      </c:pt>
                      <c:pt idx="8">
                        <c:v>45577</c:v>
                      </c:pt>
                      <c:pt idx="9">
                        <c:v>45578</c:v>
                      </c:pt>
                      <c:pt idx="10">
                        <c:v>45579</c:v>
                      </c:pt>
                      <c:pt idx="11">
                        <c:v>45580</c:v>
                      </c:pt>
                      <c:pt idx="12">
                        <c:v>45581</c:v>
                      </c:pt>
                      <c:pt idx="13">
                        <c:v>45582</c:v>
                      </c:pt>
                      <c:pt idx="14">
                        <c:v>45583</c:v>
                      </c:pt>
                      <c:pt idx="15">
                        <c:v>45584</c:v>
                      </c:pt>
                      <c:pt idx="16">
                        <c:v>45585</c:v>
                      </c:pt>
                      <c:pt idx="17">
                        <c:v>45586</c:v>
                      </c:pt>
                      <c:pt idx="18">
                        <c:v>45587</c:v>
                      </c:pt>
                      <c:pt idx="19">
                        <c:v>45588</c:v>
                      </c:pt>
                      <c:pt idx="20">
                        <c:v>45589</c:v>
                      </c:pt>
                      <c:pt idx="21">
                        <c:v>45590</c:v>
                      </c:pt>
                      <c:pt idx="22">
                        <c:v>45591</c:v>
                      </c:pt>
                      <c:pt idx="23">
                        <c:v>45592</c:v>
                      </c:pt>
                      <c:pt idx="24">
                        <c:v>45593</c:v>
                      </c:pt>
                      <c:pt idx="25">
                        <c:v>45594</c:v>
                      </c:pt>
                      <c:pt idx="26">
                        <c:v>45595</c:v>
                      </c:pt>
                      <c:pt idx="27">
                        <c:v>45596</c:v>
                      </c:pt>
                      <c:pt idx="28">
                        <c:v>45597</c:v>
                      </c:pt>
                      <c:pt idx="29">
                        <c:v>45598</c:v>
                      </c:pt>
                      <c:pt idx="30">
                        <c:v>45599</c:v>
                      </c:pt>
                      <c:pt idx="31">
                        <c:v>45600</c:v>
                      </c:pt>
                      <c:pt idx="32">
                        <c:v>45601</c:v>
                      </c:pt>
                      <c:pt idx="33">
                        <c:v>45602</c:v>
                      </c:pt>
                      <c:pt idx="34">
                        <c:v>45603</c:v>
                      </c:pt>
                      <c:pt idx="35">
                        <c:v>45604</c:v>
                      </c:pt>
                      <c:pt idx="36">
                        <c:v>45605</c:v>
                      </c:pt>
                      <c:pt idx="37">
                        <c:v>45606</c:v>
                      </c:pt>
                      <c:pt idx="38">
                        <c:v>45607</c:v>
                      </c:pt>
                      <c:pt idx="39">
                        <c:v>45608</c:v>
                      </c:pt>
                      <c:pt idx="40">
                        <c:v>45609</c:v>
                      </c:pt>
                      <c:pt idx="41">
                        <c:v>45610</c:v>
                      </c:pt>
                      <c:pt idx="42">
                        <c:v>45611</c:v>
                      </c:pt>
                      <c:pt idx="43">
                        <c:v>45612</c:v>
                      </c:pt>
                      <c:pt idx="44">
                        <c:v>45613</c:v>
                      </c:pt>
                      <c:pt idx="45">
                        <c:v>45614</c:v>
                      </c:pt>
                      <c:pt idx="46">
                        <c:v>45615</c:v>
                      </c:pt>
                      <c:pt idx="47">
                        <c:v>45616</c:v>
                      </c:pt>
                      <c:pt idx="48">
                        <c:v>45617</c:v>
                      </c:pt>
                      <c:pt idx="49">
                        <c:v>45618</c:v>
                      </c:pt>
                      <c:pt idx="50">
                        <c:v>45619</c:v>
                      </c:pt>
                      <c:pt idx="51">
                        <c:v>45620</c:v>
                      </c:pt>
                      <c:pt idx="52">
                        <c:v>45621</c:v>
                      </c:pt>
                      <c:pt idx="53">
                        <c:v>45622</c:v>
                      </c:pt>
                      <c:pt idx="54">
                        <c:v>45623</c:v>
                      </c:pt>
                      <c:pt idx="55">
                        <c:v>45624</c:v>
                      </c:pt>
                      <c:pt idx="56">
                        <c:v>45625</c:v>
                      </c:pt>
                      <c:pt idx="57">
                        <c:v>45626</c:v>
                      </c:pt>
                      <c:pt idx="58">
                        <c:v>45627</c:v>
                      </c:pt>
                      <c:pt idx="59">
                        <c:v>45628</c:v>
                      </c:pt>
                      <c:pt idx="60">
                        <c:v>45629</c:v>
                      </c:pt>
                      <c:pt idx="61">
                        <c:v>45630</c:v>
                      </c:pt>
                      <c:pt idx="62">
                        <c:v>45631</c:v>
                      </c:pt>
                      <c:pt idx="63">
                        <c:v>45632</c:v>
                      </c:pt>
                      <c:pt idx="64">
                        <c:v>45633</c:v>
                      </c:pt>
                      <c:pt idx="65">
                        <c:v>45634</c:v>
                      </c:pt>
                      <c:pt idx="66">
                        <c:v>45635</c:v>
                      </c:pt>
                      <c:pt idx="67">
                        <c:v>45636</c:v>
                      </c:pt>
                      <c:pt idx="68">
                        <c:v>45637</c:v>
                      </c:pt>
                      <c:pt idx="69">
                        <c:v>45638</c:v>
                      </c:pt>
                      <c:pt idx="70">
                        <c:v>45639</c:v>
                      </c:pt>
                      <c:pt idx="71">
                        <c:v>45640</c:v>
                      </c:pt>
                      <c:pt idx="72">
                        <c:v>45641</c:v>
                      </c:pt>
                      <c:pt idx="73">
                        <c:v>45642</c:v>
                      </c:pt>
                      <c:pt idx="74">
                        <c:v>45643</c:v>
                      </c:pt>
                      <c:pt idx="75">
                        <c:v>45644</c:v>
                      </c:pt>
                      <c:pt idx="76">
                        <c:v>45645</c:v>
                      </c:pt>
                      <c:pt idx="77">
                        <c:v>45646</c:v>
                      </c:pt>
                      <c:pt idx="78">
                        <c:v>45647</c:v>
                      </c:pt>
                      <c:pt idx="79">
                        <c:v>45648</c:v>
                      </c:pt>
                      <c:pt idx="80">
                        <c:v>45649</c:v>
                      </c:pt>
                      <c:pt idx="81">
                        <c:v>45650</c:v>
                      </c:pt>
                      <c:pt idx="82">
                        <c:v>45651</c:v>
                      </c:pt>
                      <c:pt idx="83">
                        <c:v>45652</c:v>
                      </c:pt>
                      <c:pt idx="84">
                        <c:v>45653</c:v>
                      </c:pt>
                      <c:pt idx="85">
                        <c:v>45654</c:v>
                      </c:pt>
                      <c:pt idx="86">
                        <c:v>45655</c:v>
                      </c:pt>
                      <c:pt idx="87">
                        <c:v>45656</c:v>
                      </c:pt>
                      <c:pt idx="88">
                        <c:v>45657</c:v>
                      </c:pt>
                      <c:pt idx="89">
                        <c:v>45658</c:v>
                      </c:pt>
                      <c:pt idx="90">
                        <c:v>45659</c:v>
                      </c:pt>
                      <c:pt idx="91">
                        <c:v>45660</c:v>
                      </c:pt>
                      <c:pt idx="92">
                        <c:v>45661</c:v>
                      </c:pt>
                      <c:pt idx="93">
                        <c:v>45662</c:v>
                      </c:pt>
                      <c:pt idx="94">
                        <c:v>45663</c:v>
                      </c:pt>
                      <c:pt idx="95">
                        <c:v>45664</c:v>
                      </c:pt>
                      <c:pt idx="96">
                        <c:v>45665</c:v>
                      </c:pt>
                      <c:pt idx="97">
                        <c:v>45666</c:v>
                      </c:pt>
                      <c:pt idx="98">
                        <c:v>45667</c:v>
                      </c:pt>
                      <c:pt idx="99">
                        <c:v>45668</c:v>
                      </c:pt>
                      <c:pt idx="100">
                        <c:v>45669</c:v>
                      </c:pt>
                      <c:pt idx="101">
                        <c:v>45670</c:v>
                      </c:pt>
                      <c:pt idx="102">
                        <c:v>45671</c:v>
                      </c:pt>
                      <c:pt idx="103">
                        <c:v>45672</c:v>
                      </c:pt>
                      <c:pt idx="104">
                        <c:v>45673</c:v>
                      </c:pt>
                      <c:pt idx="105">
                        <c:v>45674</c:v>
                      </c:pt>
                      <c:pt idx="106">
                        <c:v>45675</c:v>
                      </c:pt>
                      <c:pt idx="107">
                        <c:v>45676</c:v>
                      </c:pt>
                      <c:pt idx="108">
                        <c:v>45677</c:v>
                      </c:pt>
                      <c:pt idx="109">
                        <c:v>45678</c:v>
                      </c:pt>
                      <c:pt idx="110">
                        <c:v>45679</c:v>
                      </c:pt>
                      <c:pt idx="111">
                        <c:v>45680</c:v>
                      </c:pt>
                      <c:pt idx="112">
                        <c:v>45681</c:v>
                      </c:pt>
                      <c:pt idx="113">
                        <c:v>45682</c:v>
                      </c:pt>
                      <c:pt idx="114">
                        <c:v>45683</c:v>
                      </c:pt>
                      <c:pt idx="115">
                        <c:v>45684</c:v>
                      </c:pt>
                      <c:pt idx="116">
                        <c:v>45685</c:v>
                      </c:pt>
                      <c:pt idx="117">
                        <c:v>45686</c:v>
                      </c:pt>
                      <c:pt idx="118">
                        <c:v>45687</c:v>
                      </c:pt>
                      <c:pt idx="119">
                        <c:v>45688</c:v>
                      </c:pt>
                      <c:pt idx="120">
                        <c:v>45689</c:v>
                      </c:pt>
                      <c:pt idx="121">
                        <c:v>45690</c:v>
                      </c:pt>
                      <c:pt idx="122">
                        <c:v>45691</c:v>
                      </c:pt>
                      <c:pt idx="123">
                        <c:v>45692</c:v>
                      </c:pt>
                      <c:pt idx="124">
                        <c:v>45693</c:v>
                      </c:pt>
                      <c:pt idx="125">
                        <c:v>45694</c:v>
                      </c:pt>
                      <c:pt idx="126">
                        <c:v>45695</c:v>
                      </c:pt>
                      <c:pt idx="127">
                        <c:v>45696</c:v>
                      </c:pt>
                      <c:pt idx="128">
                        <c:v>45697</c:v>
                      </c:pt>
                      <c:pt idx="129">
                        <c:v>45698</c:v>
                      </c:pt>
                      <c:pt idx="130">
                        <c:v>45699</c:v>
                      </c:pt>
                      <c:pt idx="131">
                        <c:v>45700</c:v>
                      </c:pt>
                      <c:pt idx="132">
                        <c:v>45701</c:v>
                      </c:pt>
                      <c:pt idx="133">
                        <c:v>45702</c:v>
                      </c:pt>
                      <c:pt idx="134">
                        <c:v>45703</c:v>
                      </c:pt>
                      <c:pt idx="135">
                        <c:v>45704</c:v>
                      </c:pt>
                      <c:pt idx="136">
                        <c:v>45705</c:v>
                      </c:pt>
                      <c:pt idx="137">
                        <c:v>45706</c:v>
                      </c:pt>
                      <c:pt idx="138">
                        <c:v>45707</c:v>
                      </c:pt>
                      <c:pt idx="139">
                        <c:v>45708</c:v>
                      </c:pt>
                      <c:pt idx="140">
                        <c:v>45709</c:v>
                      </c:pt>
                      <c:pt idx="141">
                        <c:v>45710</c:v>
                      </c:pt>
                      <c:pt idx="142">
                        <c:v>45711</c:v>
                      </c:pt>
                      <c:pt idx="143">
                        <c:v>45712</c:v>
                      </c:pt>
                      <c:pt idx="144">
                        <c:v>45713</c:v>
                      </c:pt>
                      <c:pt idx="145">
                        <c:v>45714</c:v>
                      </c:pt>
                      <c:pt idx="146">
                        <c:v>45715</c:v>
                      </c:pt>
                      <c:pt idx="147">
                        <c:v>45716</c:v>
                      </c:pt>
                      <c:pt idx="148">
                        <c:v>45717</c:v>
                      </c:pt>
                      <c:pt idx="149">
                        <c:v>45718</c:v>
                      </c:pt>
                      <c:pt idx="150">
                        <c:v>45719</c:v>
                      </c:pt>
                      <c:pt idx="151">
                        <c:v>45720</c:v>
                      </c:pt>
                      <c:pt idx="152">
                        <c:v>45721</c:v>
                      </c:pt>
                      <c:pt idx="153">
                        <c:v>45722</c:v>
                      </c:pt>
                      <c:pt idx="154">
                        <c:v>45723</c:v>
                      </c:pt>
                      <c:pt idx="155">
                        <c:v>45724</c:v>
                      </c:pt>
                      <c:pt idx="156">
                        <c:v>45725</c:v>
                      </c:pt>
                      <c:pt idx="157">
                        <c:v>45726</c:v>
                      </c:pt>
                      <c:pt idx="158">
                        <c:v>45727</c:v>
                      </c:pt>
                      <c:pt idx="159">
                        <c:v>45728</c:v>
                      </c:pt>
                      <c:pt idx="160">
                        <c:v>45729</c:v>
                      </c:pt>
                      <c:pt idx="161">
                        <c:v>45730</c:v>
                      </c:pt>
                      <c:pt idx="162">
                        <c:v>45731</c:v>
                      </c:pt>
                      <c:pt idx="163">
                        <c:v>45732</c:v>
                      </c:pt>
                      <c:pt idx="164">
                        <c:v>45733</c:v>
                      </c:pt>
                      <c:pt idx="165">
                        <c:v>45734</c:v>
                      </c:pt>
                      <c:pt idx="166">
                        <c:v>45735</c:v>
                      </c:pt>
                      <c:pt idx="167">
                        <c:v>45736</c:v>
                      </c:pt>
                      <c:pt idx="168">
                        <c:v>45737</c:v>
                      </c:pt>
                      <c:pt idx="169">
                        <c:v>45738</c:v>
                      </c:pt>
                      <c:pt idx="170">
                        <c:v>45739</c:v>
                      </c:pt>
                      <c:pt idx="171">
                        <c:v>45740</c:v>
                      </c:pt>
                      <c:pt idx="172">
                        <c:v>45741</c:v>
                      </c:pt>
                      <c:pt idx="173">
                        <c:v>45742</c:v>
                      </c:pt>
                      <c:pt idx="174">
                        <c:v>45743</c:v>
                      </c:pt>
                      <c:pt idx="175">
                        <c:v>45744</c:v>
                      </c:pt>
                      <c:pt idx="176">
                        <c:v>45745</c:v>
                      </c:pt>
                      <c:pt idx="177">
                        <c:v>45746</c:v>
                      </c:pt>
                      <c:pt idx="178">
                        <c:v>45747</c:v>
                      </c:pt>
                      <c:pt idx="179">
                        <c:v>45748</c:v>
                      </c:pt>
                      <c:pt idx="180">
                        <c:v>45749</c:v>
                      </c:pt>
                      <c:pt idx="181">
                        <c:v>45750</c:v>
                      </c:pt>
                      <c:pt idx="182">
                        <c:v>45751</c:v>
                      </c:pt>
                      <c:pt idx="183">
                        <c:v>45752</c:v>
                      </c:pt>
                      <c:pt idx="184">
                        <c:v>45753</c:v>
                      </c:pt>
                      <c:pt idx="185">
                        <c:v>45754</c:v>
                      </c:pt>
                      <c:pt idx="186">
                        <c:v>45755</c:v>
                      </c:pt>
                      <c:pt idx="187">
                        <c:v>45756</c:v>
                      </c:pt>
                      <c:pt idx="188">
                        <c:v>45757</c:v>
                      </c:pt>
                      <c:pt idx="189">
                        <c:v>45758</c:v>
                      </c:pt>
                      <c:pt idx="190">
                        <c:v>45759</c:v>
                      </c:pt>
                      <c:pt idx="191">
                        <c:v>45760</c:v>
                      </c:pt>
                      <c:pt idx="192">
                        <c:v>45761</c:v>
                      </c:pt>
                      <c:pt idx="193">
                        <c:v>45762</c:v>
                      </c:pt>
                      <c:pt idx="194">
                        <c:v>45763</c:v>
                      </c:pt>
                      <c:pt idx="195">
                        <c:v>45764</c:v>
                      </c:pt>
                      <c:pt idx="196">
                        <c:v>45765</c:v>
                      </c:pt>
                      <c:pt idx="197">
                        <c:v>45766</c:v>
                      </c:pt>
                      <c:pt idx="198">
                        <c:v>45767</c:v>
                      </c:pt>
                      <c:pt idx="199">
                        <c:v>45768</c:v>
                      </c:pt>
                      <c:pt idx="200">
                        <c:v>45769</c:v>
                      </c:pt>
                      <c:pt idx="201">
                        <c:v>45770</c:v>
                      </c:pt>
                      <c:pt idx="202">
                        <c:v>45771</c:v>
                      </c:pt>
                      <c:pt idx="203">
                        <c:v>45772</c:v>
                      </c:pt>
                      <c:pt idx="204">
                        <c:v>45773</c:v>
                      </c:pt>
                      <c:pt idx="205">
                        <c:v>45774</c:v>
                      </c:pt>
                      <c:pt idx="206">
                        <c:v>45775</c:v>
                      </c:pt>
                      <c:pt idx="207">
                        <c:v>45776</c:v>
                      </c:pt>
                      <c:pt idx="208">
                        <c:v>45777</c:v>
                      </c:pt>
                      <c:pt idx="209">
                        <c:v>45778</c:v>
                      </c:pt>
                      <c:pt idx="210">
                        <c:v>45779</c:v>
                      </c:pt>
                      <c:pt idx="211">
                        <c:v>45780</c:v>
                      </c:pt>
                      <c:pt idx="212">
                        <c:v>45781</c:v>
                      </c:pt>
                      <c:pt idx="213">
                        <c:v>45782</c:v>
                      </c:pt>
                      <c:pt idx="214">
                        <c:v>45783</c:v>
                      </c:pt>
                      <c:pt idx="215">
                        <c:v>45784</c:v>
                      </c:pt>
                      <c:pt idx="216">
                        <c:v>45785</c:v>
                      </c:pt>
                      <c:pt idx="217">
                        <c:v>45786</c:v>
                      </c:pt>
                      <c:pt idx="218">
                        <c:v>45787</c:v>
                      </c:pt>
                      <c:pt idx="219">
                        <c:v>45788</c:v>
                      </c:pt>
                      <c:pt idx="220">
                        <c:v>45789</c:v>
                      </c:pt>
                      <c:pt idx="221">
                        <c:v>45790</c:v>
                      </c:pt>
                      <c:pt idx="222">
                        <c:v>45791</c:v>
                      </c:pt>
                      <c:pt idx="223">
                        <c:v>45792</c:v>
                      </c:pt>
                      <c:pt idx="224">
                        <c:v>45793</c:v>
                      </c:pt>
                      <c:pt idx="225">
                        <c:v>45794</c:v>
                      </c:pt>
                      <c:pt idx="226">
                        <c:v>45795</c:v>
                      </c:pt>
                      <c:pt idx="227">
                        <c:v>45796</c:v>
                      </c:pt>
                      <c:pt idx="228">
                        <c:v>45797</c:v>
                      </c:pt>
                      <c:pt idx="229">
                        <c:v>45798</c:v>
                      </c:pt>
                      <c:pt idx="230">
                        <c:v>45799</c:v>
                      </c:pt>
                      <c:pt idx="231">
                        <c:v>45800</c:v>
                      </c:pt>
                      <c:pt idx="232">
                        <c:v>45801</c:v>
                      </c:pt>
                      <c:pt idx="233">
                        <c:v>45802</c:v>
                      </c:pt>
                      <c:pt idx="234">
                        <c:v>45803</c:v>
                      </c:pt>
                      <c:pt idx="235">
                        <c:v>45804</c:v>
                      </c:pt>
                      <c:pt idx="236">
                        <c:v>45805</c:v>
                      </c:pt>
                      <c:pt idx="237">
                        <c:v>45806</c:v>
                      </c:pt>
                      <c:pt idx="238">
                        <c:v>45807</c:v>
                      </c:pt>
                      <c:pt idx="239">
                        <c:v>45808</c:v>
                      </c:pt>
                      <c:pt idx="240">
                        <c:v>45809</c:v>
                      </c:pt>
                      <c:pt idx="241">
                        <c:v>45810</c:v>
                      </c:pt>
                      <c:pt idx="242">
                        <c:v>45811</c:v>
                      </c:pt>
                      <c:pt idx="243">
                        <c:v>45812</c:v>
                      </c:pt>
                      <c:pt idx="244">
                        <c:v>45813</c:v>
                      </c:pt>
                      <c:pt idx="245">
                        <c:v>45814</c:v>
                      </c:pt>
                      <c:pt idx="246">
                        <c:v>45815</c:v>
                      </c:pt>
                      <c:pt idx="247">
                        <c:v>45816</c:v>
                      </c:pt>
                      <c:pt idx="248">
                        <c:v>45817</c:v>
                      </c:pt>
                      <c:pt idx="249">
                        <c:v>45818</c:v>
                      </c:pt>
                      <c:pt idx="250">
                        <c:v>45819</c:v>
                      </c:pt>
                      <c:pt idx="251">
                        <c:v>45820</c:v>
                      </c:pt>
                      <c:pt idx="252">
                        <c:v>45821</c:v>
                      </c:pt>
                      <c:pt idx="253">
                        <c:v>45822</c:v>
                      </c:pt>
                      <c:pt idx="254">
                        <c:v>45823</c:v>
                      </c:pt>
                      <c:pt idx="255">
                        <c:v>45824</c:v>
                      </c:pt>
                      <c:pt idx="256">
                        <c:v>45825</c:v>
                      </c:pt>
                      <c:pt idx="257">
                        <c:v>45826</c:v>
                      </c:pt>
                      <c:pt idx="258">
                        <c:v>45827</c:v>
                      </c:pt>
                      <c:pt idx="259">
                        <c:v>45828</c:v>
                      </c:pt>
                      <c:pt idx="260">
                        <c:v>45829</c:v>
                      </c:pt>
                      <c:pt idx="261">
                        <c:v>45830</c:v>
                      </c:pt>
                      <c:pt idx="262">
                        <c:v>45831</c:v>
                      </c:pt>
                      <c:pt idx="263">
                        <c:v>45832</c:v>
                      </c:pt>
                      <c:pt idx="264">
                        <c:v>45833</c:v>
                      </c:pt>
                      <c:pt idx="265">
                        <c:v>45834</c:v>
                      </c:pt>
                      <c:pt idx="266">
                        <c:v>45835</c:v>
                      </c:pt>
                      <c:pt idx="267">
                        <c:v>45836</c:v>
                      </c:pt>
                      <c:pt idx="268">
                        <c:v>45837</c:v>
                      </c:pt>
                      <c:pt idx="269">
                        <c:v>45838</c:v>
                      </c:pt>
                      <c:pt idx="270">
                        <c:v>45839</c:v>
                      </c:pt>
                      <c:pt idx="271">
                        <c:v>45840</c:v>
                      </c:pt>
                      <c:pt idx="272">
                        <c:v>45841</c:v>
                      </c:pt>
                      <c:pt idx="273">
                        <c:v>45842</c:v>
                      </c:pt>
                      <c:pt idx="274">
                        <c:v>45843</c:v>
                      </c:pt>
                      <c:pt idx="275">
                        <c:v>45844</c:v>
                      </c:pt>
                      <c:pt idx="276">
                        <c:v>45845</c:v>
                      </c:pt>
                      <c:pt idx="277">
                        <c:v>45846</c:v>
                      </c:pt>
                      <c:pt idx="278">
                        <c:v>45847</c:v>
                      </c:pt>
                      <c:pt idx="279">
                        <c:v>45848</c:v>
                      </c:pt>
                      <c:pt idx="280">
                        <c:v>45849</c:v>
                      </c:pt>
                      <c:pt idx="281">
                        <c:v>45850</c:v>
                      </c:pt>
                      <c:pt idx="282">
                        <c:v>45851</c:v>
                      </c:pt>
                      <c:pt idx="283">
                        <c:v>45852</c:v>
                      </c:pt>
                      <c:pt idx="284">
                        <c:v>45853</c:v>
                      </c:pt>
                      <c:pt idx="285">
                        <c:v>45854</c:v>
                      </c:pt>
                      <c:pt idx="286">
                        <c:v>45855</c:v>
                      </c:pt>
                      <c:pt idx="287">
                        <c:v>45856</c:v>
                      </c:pt>
                      <c:pt idx="288">
                        <c:v>45857</c:v>
                      </c:pt>
                      <c:pt idx="289">
                        <c:v>45858</c:v>
                      </c:pt>
                      <c:pt idx="290">
                        <c:v>45859</c:v>
                      </c:pt>
                      <c:pt idx="291">
                        <c:v>45860</c:v>
                      </c:pt>
                      <c:pt idx="292">
                        <c:v>45861</c:v>
                      </c:pt>
                      <c:pt idx="293">
                        <c:v>45862</c:v>
                      </c:pt>
                      <c:pt idx="294">
                        <c:v>45863</c:v>
                      </c:pt>
                      <c:pt idx="295">
                        <c:v>45864</c:v>
                      </c:pt>
                      <c:pt idx="296">
                        <c:v>45865</c:v>
                      </c:pt>
                      <c:pt idx="297">
                        <c:v>45866</c:v>
                      </c:pt>
                      <c:pt idx="298">
                        <c:v>45867</c:v>
                      </c:pt>
                      <c:pt idx="299">
                        <c:v>45868</c:v>
                      </c:pt>
                      <c:pt idx="300">
                        <c:v>45869</c:v>
                      </c:pt>
                      <c:pt idx="301">
                        <c:v>45870</c:v>
                      </c:pt>
                      <c:pt idx="302">
                        <c:v>45871</c:v>
                      </c:pt>
                      <c:pt idx="303">
                        <c:v>45872</c:v>
                      </c:pt>
                      <c:pt idx="304">
                        <c:v>45873</c:v>
                      </c:pt>
                      <c:pt idx="305">
                        <c:v>45874</c:v>
                      </c:pt>
                      <c:pt idx="306">
                        <c:v>45875</c:v>
                      </c:pt>
                      <c:pt idx="307">
                        <c:v>45876</c:v>
                      </c:pt>
                      <c:pt idx="308">
                        <c:v>45877</c:v>
                      </c:pt>
                      <c:pt idx="309">
                        <c:v>45878</c:v>
                      </c:pt>
                      <c:pt idx="310">
                        <c:v>45879</c:v>
                      </c:pt>
                      <c:pt idx="311">
                        <c:v>45880</c:v>
                      </c:pt>
                      <c:pt idx="312">
                        <c:v>45881</c:v>
                      </c:pt>
                      <c:pt idx="313">
                        <c:v>45882</c:v>
                      </c:pt>
                      <c:pt idx="314">
                        <c:v>45883</c:v>
                      </c:pt>
                      <c:pt idx="315">
                        <c:v>45884</c:v>
                      </c:pt>
                      <c:pt idx="316">
                        <c:v>45885</c:v>
                      </c:pt>
                      <c:pt idx="317">
                        <c:v>45886</c:v>
                      </c:pt>
                      <c:pt idx="318">
                        <c:v>45887</c:v>
                      </c:pt>
                      <c:pt idx="319">
                        <c:v>45888</c:v>
                      </c:pt>
                      <c:pt idx="320">
                        <c:v>45889</c:v>
                      </c:pt>
                      <c:pt idx="321">
                        <c:v>45890</c:v>
                      </c:pt>
                      <c:pt idx="322">
                        <c:v>45891</c:v>
                      </c:pt>
                      <c:pt idx="323">
                        <c:v>45892</c:v>
                      </c:pt>
                      <c:pt idx="324">
                        <c:v>45893</c:v>
                      </c:pt>
                      <c:pt idx="325">
                        <c:v>45894</c:v>
                      </c:pt>
                      <c:pt idx="326">
                        <c:v>45895</c:v>
                      </c:pt>
                      <c:pt idx="327">
                        <c:v>45896</c:v>
                      </c:pt>
                      <c:pt idx="328">
                        <c:v>45897</c:v>
                      </c:pt>
                      <c:pt idx="329">
                        <c:v>45898</c:v>
                      </c:pt>
                      <c:pt idx="330">
                        <c:v>45899</c:v>
                      </c:pt>
                      <c:pt idx="331">
                        <c:v>45901</c:v>
                      </c:pt>
                      <c:pt idx="332">
                        <c:v>45902</c:v>
                      </c:pt>
                      <c:pt idx="333">
                        <c:v>45903</c:v>
                      </c:pt>
                      <c:pt idx="334">
                        <c:v>45904</c:v>
                      </c:pt>
                      <c:pt idx="335">
                        <c:v>45905</c:v>
                      </c:pt>
                      <c:pt idx="336">
                        <c:v>45906</c:v>
                      </c:pt>
                      <c:pt idx="337">
                        <c:v>45907</c:v>
                      </c:pt>
                      <c:pt idx="338">
                        <c:v>45908</c:v>
                      </c:pt>
                      <c:pt idx="339">
                        <c:v>45909</c:v>
                      </c:pt>
                      <c:pt idx="340">
                        <c:v>45910</c:v>
                      </c:pt>
                      <c:pt idx="341">
                        <c:v>45911</c:v>
                      </c:pt>
                      <c:pt idx="342">
                        <c:v>45912</c:v>
                      </c:pt>
                      <c:pt idx="343">
                        <c:v>45913</c:v>
                      </c:pt>
                      <c:pt idx="344">
                        <c:v>45914</c:v>
                      </c:pt>
                      <c:pt idx="345">
                        <c:v>45915</c:v>
                      </c:pt>
                      <c:pt idx="346">
                        <c:v>45916</c:v>
                      </c:pt>
                      <c:pt idx="347">
                        <c:v>45917</c:v>
                      </c:pt>
                      <c:pt idx="348">
                        <c:v>45918</c:v>
                      </c:pt>
                      <c:pt idx="349">
                        <c:v>45919</c:v>
                      </c:pt>
                      <c:pt idx="350">
                        <c:v>45920</c:v>
                      </c:pt>
                      <c:pt idx="351">
                        <c:v>45921</c:v>
                      </c:pt>
                      <c:pt idx="352">
                        <c:v>45922</c:v>
                      </c:pt>
                      <c:pt idx="353">
                        <c:v>45923</c:v>
                      </c:pt>
                      <c:pt idx="354">
                        <c:v>45924</c:v>
                      </c:pt>
                      <c:pt idx="355">
                        <c:v>45925</c:v>
                      </c:pt>
                      <c:pt idx="356">
                        <c:v>45926</c:v>
                      </c:pt>
                      <c:pt idx="357">
                        <c:v>45927</c:v>
                      </c:pt>
                      <c:pt idx="358">
                        <c:v>45928</c:v>
                      </c:pt>
                      <c:pt idx="359">
                        <c:v>45929</c:v>
                      </c:pt>
                      <c:pt idx="360">
                        <c:v>45930</c:v>
                      </c:pt>
                      <c:pt idx="361">
                        <c:v>45931</c:v>
                      </c:pt>
                      <c:pt idx="362">
                        <c:v>45932</c:v>
                      </c:pt>
                      <c:pt idx="363">
                        <c:v>45933</c:v>
                      </c:pt>
                      <c:pt idx="364">
                        <c:v>45934</c:v>
                      </c:pt>
                      <c:pt idx="365">
                        <c:v>45935</c:v>
                      </c:pt>
                      <c:pt idx="366">
                        <c:v>45936</c:v>
                      </c:pt>
                      <c:pt idx="367">
                        <c:v>45937</c:v>
                      </c:pt>
                      <c:pt idx="368">
                        <c:v>45938</c:v>
                      </c:pt>
                      <c:pt idx="369">
                        <c:v>45939</c:v>
                      </c:pt>
                      <c:pt idx="370">
                        <c:v>45940</c:v>
                      </c:pt>
                      <c:pt idx="371">
                        <c:v>45941</c:v>
                      </c:pt>
                      <c:pt idx="372">
                        <c:v>45942</c:v>
                      </c:pt>
                      <c:pt idx="373">
                        <c:v>45943</c:v>
                      </c:pt>
                      <c:pt idx="374">
                        <c:v>45944</c:v>
                      </c:pt>
                      <c:pt idx="375">
                        <c:v>45945</c:v>
                      </c:pt>
                      <c:pt idx="376">
                        <c:v>45946</c:v>
                      </c:pt>
                      <c:pt idx="377">
                        <c:v>45947</c:v>
                      </c:pt>
                      <c:pt idx="378">
                        <c:v>45948</c:v>
                      </c:pt>
                      <c:pt idx="379">
                        <c:v>45949</c:v>
                      </c:pt>
                      <c:pt idx="380">
                        <c:v>45950</c:v>
                      </c:pt>
                      <c:pt idx="381">
                        <c:v>45951</c:v>
                      </c:pt>
                      <c:pt idx="382">
                        <c:v>45952</c:v>
                      </c:pt>
                      <c:pt idx="383">
                        <c:v>45953</c:v>
                      </c:pt>
                      <c:pt idx="384">
                        <c:v>45954</c:v>
                      </c:pt>
                      <c:pt idx="385">
                        <c:v>45955</c:v>
                      </c:pt>
                      <c:pt idx="386">
                        <c:v>45956</c:v>
                      </c:pt>
                      <c:pt idx="387">
                        <c:v>45957</c:v>
                      </c:pt>
                      <c:pt idx="388">
                        <c:v>45958</c:v>
                      </c:pt>
                      <c:pt idx="389">
                        <c:v>45959</c:v>
                      </c:pt>
                      <c:pt idx="390">
                        <c:v>45960</c:v>
                      </c:pt>
                      <c:pt idx="391">
                        <c:v>45961</c:v>
                      </c:pt>
                      <c:pt idx="392">
                        <c:v>45962</c:v>
                      </c:pt>
                      <c:pt idx="393">
                        <c:v>45963</c:v>
                      </c:pt>
                      <c:pt idx="394">
                        <c:v>45964</c:v>
                      </c:pt>
                      <c:pt idx="395">
                        <c:v>45965</c:v>
                      </c:pt>
                      <c:pt idx="396">
                        <c:v>45966</c:v>
                      </c:pt>
                      <c:pt idx="397">
                        <c:v>45967</c:v>
                      </c:pt>
                      <c:pt idx="398">
                        <c:v>45968</c:v>
                      </c:pt>
                      <c:pt idx="399">
                        <c:v>45969</c:v>
                      </c:pt>
                      <c:pt idx="400">
                        <c:v>45970</c:v>
                      </c:pt>
                      <c:pt idx="401">
                        <c:v>45971</c:v>
                      </c:pt>
                      <c:pt idx="402">
                        <c:v>45972</c:v>
                      </c:pt>
                      <c:pt idx="403">
                        <c:v>45973</c:v>
                      </c:pt>
                      <c:pt idx="404">
                        <c:v>45974</c:v>
                      </c:pt>
                      <c:pt idx="405">
                        <c:v>45975</c:v>
                      </c:pt>
                      <c:pt idx="406">
                        <c:v>45976</c:v>
                      </c:pt>
                      <c:pt idx="407">
                        <c:v>45977</c:v>
                      </c:pt>
                      <c:pt idx="408">
                        <c:v>45978</c:v>
                      </c:pt>
                      <c:pt idx="409">
                        <c:v>45979</c:v>
                      </c:pt>
                      <c:pt idx="410">
                        <c:v>45980</c:v>
                      </c:pt>
                      <c:pt idx="411">
                        <c:v>45981</c:v>
                      </c:pt>
                      <c:pt idx="412">
                        <c:v>45982</c:v>
                      </c:pt>
                      <c:pt idx="413">
                        <c:v>45983</c:v>
                      </c:pt>
                      <c:pt idx="414">
                        <c:v>45984</c:v>
                      </c:pt>
                      <c:pt idx="415">
                        <c:v>45985</c:v>
                      </c:pt>
                      <c:pt idx="416">
                        <c:v>45987</c:v>
                      </c:pt>
                      <c:pt idx="417">
                        <c:v>45988</c:v>
                      </c:pt>
                      <c:pt idx="418">
                        <c:v>45989</c:v>
                      </c:pt>
                      <c:pt idx="419">
                        <c:v>45990</c:v>
                      </c:pt>
                      <c:pt idx="420">
                        <c:v>45991</c:v>
                      </c:pt>
                      <c:pt idx="421">
                        <c:v>45992</c:v>
                      </c:pt>
                      <c:pt idx="422">
                        <c:v>45993</c:v>
                      </c:pt>
                      <c:pt idx="423">
                        <c:v>45994</c:v>
                      </c:pt>
                      <c:pt idx="424">
                        <c:v>45995</c:v>
                      </c:pt>
                      <c:pt idx="425">
                        <c:v>45996</c:v>
                      </c:pt>
                      <c:pt idx="426">
                        <c:v>45997</c:v>
                      </c:pt>
                      <c:pt idx="427">
                        <c:v>45998</c:v>
                      </c:pt>
                      <c:pt idx="428">
                        <c:v>45999</c:v>
                      </c:pt>
                      <c:pt idx="429">
                        <c:v>46000</c:v>
                      </c:pt>
                      <c:pt idx="430">
                        <c:v>46001</c:v>
                      </c:pt>
                      <c:pt idx="431">
                        <c:v>46002</c:v>
                      </c:pt>
                      <c:pt idx="432">
                        <c:v>46003</c:v>
                      </c:pt>
                      <c:pt idx="433">
                        <c:v>46004</c:v>
                      </c:pt>
                      <c:pt idx="434">
                        <c:v>46005</c:v>
                      </c:pt>
                      <c:pt idx="435">
                        <c:v>46006</c:v>
                      </c:pt>
                      <c:pt idx="436">
                        <c:v>46007</c:v>
                      </c:pt>
                      <c:pt idx="437">
                        <c:v>46008</c:v>
                      </c:pt>
                      <c:pt idx="438">
                        <c:v>46009</c:v>
                      </c:pt>
                      <c:pt idx="439">
                        <c:v>46010</c:v>
                      </c:pt>
                      <c:pt idx="440">
                        <c:v>46011</c:v>
                      </c:pt>
                      <c:pt idx="441">
                        <c:v>46012</c:v>
                      </c:pt>
                      <c:pt idx="442">
                        <c:v>46013</c:v>
                      </c:pt>
                      <c:pt idx="443">
                        <c:v>46014</c:v>
                      </c:pt>
                      <c:pt idx="444">
                        <c:v>46015</c:v>
                      </c:pt>
                      <c:pt idx="445">
                        <c:v>46016</c:v>
                      </c:pt>
                      <c:pt idx="446">
                        <c:v>46017</c:v>
                      </c:pt>
                      <c:pt idx="447">
                        <c:v>46018</c:v>
                      </c:pt>
                      <c:pt idx="448">
                        <c:v>46019</c:v>
                      </c:pt>
                      <c:pt idx="449">
                        <c:v>46020</c:v>
                      </c:pt>
                      <c:pt idx="450">
                        <c:v>46021</c:v>
                      </c:pt>
                      <c:pt idx="451">
                        <c:v>46022</c:v>
                      </c:pt>
                      <c:pt idx="452">
                        <c:v>46023</c:v>
                      </c:pt>
                      <c:pt idx="453">
                        <c:v>46024</c:v>
                      </c:pt>
                      <c:pt idx="454">
                        <c:v>46025</c:v>
                      </c:pt>
                      <c:pt idx="455">
                        <c:v>46026</c:v>
                      </c:pt>
                      <c:pt idx="456">
                        <c:v>46027</c:v>
                      </c:pt>
                      <c:pt idx="457">
                        <c:v>46028</c:v>
                      </c:pt>
                      <c:pt idx="458">
                        <c:v>46029</c:v>
                      </c:pt>
                      <c:pt idx="459">
                        <c:v>46030</c:v>
                      </c:pt>
                      <c:pt idx="460">
                        <c:v>46031</c:v>
                      </c:pt>
                      <c:pt idx="461">
                        <c:v>46032</c:v>
                      </c:pt>
                      <c:pt idx="462">
                        <c:v>46033</c:v>
                      </c:pt>
                      <c:pt idx="463">
                        <c:v>46034</c:v>
                      </c:pt>
                      <c:pt idx="464">
                        <c:v>46035</c:v>
                      </c:pt>
                      <c:pt idx="465">
                        <c:v>46036</c:v>
                      </c:pt>
                      <c:pt idx="466">
                        <c:v>46037</c:v>
                      </c:pt>
                      <c:pt idx="467">
                        <c:v>46038</c:v>
                      </c:pt>
                      <c:pt idx="468">
                        <c:v>46039</c:v>
                      </c:pt>
                      <c:pt idx="469">
                        <c:v>46040</c:v>
                      </c:pt>
                      <c:pt idx="470">
                        <c:v>46041</c:v>
                      </c:pt>
                      <c:pt idx="471">
                        <c:v>46042</c:v>
                      </c:pt>
                      <c:pt idx="472">
                        <c:v>46043</c:v>
                      </c:pt>
                    </c:numCache>
                  </c:numRef>
                </c15:cat>
              </c15:filteredCategoryTitle>
            </c:ext>
            <c:ext xmlns:c16="http://schemas.microsoft.com/office/drawing/2014/chart" uri="{C3380CC4-5D6E-409C-BE32-E72D297353CC}">
              <c16:uniqueId val="{00000000-8216-4035-BC45-260121F6905C}"/>
            </c:ext>
          </c:extLst>
        </c:ser>
        <c:dLbls>
          <c:showLegendKey val="0"/>
          <c:showVal val="0"/>
          <c:showCatName val="0"/>
          <c:showSerName val="0"/>
          <c:showPercent val="0"/>
          <c:showBubbleSize val="0"/>
        </c:dLbls>
        <c:smooth val="0"/>
        <c:axId val="1349758239"/>
        <c:axId val="1349760159"/>
      </c:lineChart>
      <c:dateAx>
        <c:axId val="1349758239"/>
        <c:scaling>
          <c:orientation val="minMax"/>
        </c:scaling>
        <c:delete val="0"/>
        <c:axPos val="b"/>
        <c:numFmt formatCode="dd/mm/yyyy"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49760159"/>
        <c:crosses val="autoZero"/>
        <c:auto val="0"/>
        <c:lblOffset val="100"/>
        <c:baseTimeUnit val="days"/>
      </c:dateAx>
      <c:valAx>
        <c:axId val="1349760159"/>
        <c:scaling>
          <c:orientation val="minMax"/>
        </c:scaling>
        <c:delete val="0"/>
        <c:axPos val="l"/>
        <c:majorGridlines>
          <c:spPr>
            <a:ln w="0"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49758239"/>
        <c:crosses val="autoZero"/>
        <c:crossBetween val="between"/>
      </c:valAx>
      <c:spPr>
        <a:noFill/>
        <a:ln cmpd="thinThick">
          <a:solidFill>
            <a:schemeClr val="accent1"/>
          </a:solid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absoluteAnchor>
    <xdr:pos x="8100334" y="3211287"/>
    <xdr:ext cx="7783286" cy="3505199"/>
    <xdr:graphicFrame macro="">
      <xdr:nvGraphicFramePr>
        <xdr:cNvPr id="2" name="Graphique 1">
          <a:extLst>
            <a:ext uri="{FF2B5EF4-FFF2-40B4-BE49-F238E27FC236}">
              <a16:creationId xmlns:a16="http://schemas.microsoft.com/office/drawing/2014/main" id="{22E3520E-9216-4F4D-986A-54E2C92528B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76200" y="3222173"/>
    <xdr:ext cx="7805057" cy="3516086"/>
    <xdr:graphicFrame macro="">
      <xdr:nvGraphicFramePr>
        <xdr:cNvPr id="4" name="Graphique 3">
          <a:extLst>
            <a:ext uri="{FF2B5EF4-FFF2-40B4-BE49-F238E27FC236}">
              <a16:creationId xmlns:a16="http://schemas.microsoft.com/office/drawing/2014/main" id="{85C4F954-A31E-4E8E-9436-94E09F669BB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266700</xdr:colOff>
          <xdr:row>0</xdr:row>
          <xdr:rowOff>175260</xdr:rowOff>
        </xdr:from>
        <xdr:to>
          <xdr:col>11</xdr:col>
          <xdr:colOff>533400</xdr:colOff>
          <xdr:row>0</xdr:row>
          <xdr:rowOff>571500</xdr:rowOff>
        </xdr:to>
        <xdr:sp macro="" textlink="">
          <xdr:nvSpPr>
            <xdr:cNvPr id="51207" name="ComboBox1" hidden="1">
              <a:extLst>
                <a:ext uri="{63B3BB69-23CF-44E3-9099-C40C66FF867C}">
                  <a14:compatExt spid="_x0000_s51207"/>
                </a:ext>
                <a:ext uri="{FF2B5EF4-FFF2-40B4-BE49-F238E27FC236}">
                  <a16:creationId xmlns:a16="http://schemas.microsoft.com/office/drawing/2014/main" id="{00000000-0008-0000-02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1089660</xdr:colOff>
          <xdr:row>0</xdr:row>
          <xdr:rowOff>30480</xdr:rowOff>
        </xdr:from>
        <xdr:to>
          <xdr:col>6</xdr:col>
          <xdr:colOff>304800</xdr:colOff>
          <xdr:row>1</xdr:row>
          <xdr:rowOff>15240</xdr:rowOff>
        </xdr:to>
        <xdr:sp macro="" textlink="">
          <xdr:nvSpPr>
            <xdr:cNvPr id="36865" name="RAZFiltres" hidden="1">
              <a:extLst>
                <a:ext uri="{63B3BB69-23CF-44E3-9099-C40C66FF867C}">
                  <a14:compatExt spid="_x0000_s36865"/>
                </a:ext>
                <a:ext uri="{FF2B5EF4-FFF2-40B4-BE49-F238E27FC236}">
                  <a16:creationId xmlns:a16="http://schemas.microsoft.com/office/drawing/2014/main" id="{00000000-0008-0000-0A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708660</xdr:colOff>
          <xdr:row>0</xdr:row>
          <xdr:rowOff>121920</xdr:rowOff>
        </xdr:from>
        <xdr:to>
          <xdr:col>2</xdr:col>
          <xdr:colOff>891540</xdr:colOff>
          <xdr:row>1</xdr:row>
          <xdr:rowOff>152400</xdr:rowOff>
        </xdr:to>
        <xdr:sp macro="" textlink="">
          <xdr:nvSpPr>
            <xdr:cNvPr id="36866" name="FiltreMois" hidden="1">
              <a:extLst>
                <a:ext uri="{63B3BB69-23CF-44E3-9099-C40C66FF867C}">
                  <a14:compatExt spid="_x0000_s36866"/>
                </a:ext>
                <a:ext uri="{FF2B5EF4-FFF2-40B4-BE49-F238E27FC236}">
                  <a16:creationId xmlns:a16="http://schemas.microsoft.com/office/drawing/2014/main" id="{00000000-0008-0000-0A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1219200</xdr:colOff>
          <xdr:row>0</xdr:row>
          <xdr:rowOff>68580</xdr:rowOff>
        </xdr:from>
        <xdr:to>
          <xdr:col>3</xdr:col>
          <xdr:colOff>274320</xdr:colOff>
          <xdr:row>1</xdr:row>
          <xdr:rowOff>205740</xdr:rowOff>
        </xdr:to>
        <xdr:sp macro="" textlink="">
          <xdr:nvSpPr>
            <xdr:cNvPr id="36867" name="SpinButton1" hidden="1">
              <a:extLst>
                <a:ext uri="{63B3BB69-23CF-44E3-9099-C40C66FF867C}">
                  <a14:compatExt spid="_x0000_s36867"/>
                </a:ext>
                <a:ext uri="{FF2B5EF4-FFF2-40B4-BE49-F238E27FC236}">
                  <a16:creationId xmlns:a16="http://schemas.microsoft.com/office/drawing/2014/main" id="{00000000-0008-0000-0A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175260</xdr:colOff>
          <xdr:row>1</xdr:row>
          <xdr:rowOff>38100</xdr:rowOff>
        </xdr:from>
        <xdr:to>
          <xdr:col>5</xdr:col>
          <xdr:colOff>662940</xdr:colOff>
          <xdr:row>1</xdr:row>
          <xdr:rowOff>266700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B00-000015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Réservations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769620</xdr:colOff>
          <xdr:row>1</xdr:row>
          <xdr:rowOff>45720</xdr:rowOff>
        </xdr:from>
        <xdr:to>
          <xdr:col>6</xdr:col>
          <xdr:colOff>518160</xdr:colOff>
          <xdr:row>1</xdr:row>
          <xdr:rowOff>266700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B00-000016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Reviews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617220</xdr:colOff>
          <xdr:row>1</xdr:row>
          <xdr:rowOff>45720</xdr:rowOff>
        </xdr:from>
        <xdr:to>
          <xdr:col>7</xdr:col>
          <xdr:colOff>358140</xdr:colOff>
          <xdr:row>1</xdr:row>
          <xdr:rowOff>266700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B00-000017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Paiements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472440</xdr:colOff>
          <xdr:row>1</xdr:row>
          <xdr:rowOff>45720</xdr:rowOff>
        </xdr:from>
        <xdr:to>
          <xdr:col>8</xdr:col>
          <xdr:colOff>220980</xdr:colOff>
          <xdr:row>1</xdr:row>
          <xdr:rowOff>266700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B00-000018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Prix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464820</xdr:colOff>
          <xdr:row>2</xdr:row>
          <xdr:rowOff>38100</xdr:rowOff>
        </xdr:from>
        <xdr:to>
          <xdr:col>7</xdr:col>
          <xdr:colOff>518160</xdr:colOff>
          <xdr:row>2</xdr:row>
          <xdr:rowOff>266700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B00-000019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MISE A JOUR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3</xdr:row>
          <xdr:rowOff>68580</xdr:rowOff>
        </xdr:from>
        <xdr:to>
          <xdr:col>5</xdr:col>
          <xdr:colOff>975360</xdr:colOff>
          <xdr:row>3</xdr:row>
          <xdr:rowOff>289560</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B00-00001A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Paiements Booking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1135380</xdr:colOff>
          <xdr:row>3</xdr:row>
          <xdr:rowOff>91440</xdr:rowOff>
        </xdr:from>
        <xdr:to>
          <xdr:col>7</xdr:col>
          <xdr:colOff>30480</xdr:colOff>
          <xdr:row>4</xdr:row>
          <xdr:rowOff>7620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B00-00001B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Commissions Booking</a:t>
              </a: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endParaRPr lang="fr-FR" sz="800" b="0" i="0" u="none" strike="noStrike" baseline="0">
                <a:solidFill>
                  <a:srgbClr val="FFFFFF"/>
                </a:solidFill>
                <a:latin typeface="Luciole"/>
              </a:endParaRPr>
            </a:p>
            <a:p>
              <a:pPr algn="ctr" rtl="0">
                <a:defRPr sz="1000"/>
              </a:pPr>
              <a:r>
                <a:rPr lang="fr-FR" sz="800" b="0" i="0" u="none" strike="noStrike" baseline="0">
                  <a:solidFill>
                    <a:srgbClr val="FFFFFF"/>
                  </a:solidFill>
                  <a:latin typeface="Luciole"/>
                </a:rPr>
                <a:t>Commissions Booking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175260</xdr:colOff>
          <xdr:row>3</xdr:row>
          <xdr:rowOff>99060</xdr:rowOff>
        </xdr:from>
        <xdr:to>
          <xdr:col>8</xdr:col>
          <xdr:colOff>220980</xdr:colOff>
          <xdr:row>4</xdr:row>
          <xdr:rowOff>15240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B00-00001C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fr-FR" sz="800" b="0" i="0" u="none" strike="noStrike" baseline="0">
                  <a:solidFill>
                    <a:srgbClr val="FFFFFF"/>
                  </a:solidFill>
                  <a:latin typeface="Luciole"/>
                </a:rPr>
                <a:t>Statistiques Airbnb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3</xdr:col>
      <xdr:colOff>3401785</xdr:colOff>
      <xdr:row>1920</xdr:row>
      <xdr:rowOff>745672</xdr:rowOff>
    </xdr:from>
    <xdr:ext cx="65" cy="172227"/>
    <xdr:sp macro="" textlink="">
      <xdr:nvSpPr>
        <xdr:cNvPr id="2" name="ZoneTexte 1">
          <a:extLst>
            <a:ext uri="{FF2B5EF4-FFF2-40B4-BE49-F238E27FC236}">
              <a16:creationId xmlns:a16="http://schemas.microsoft.com/office/drawing/2014/main" id="{44D3F76C-BA2E-C7D2-24CE-1253AE1CD013}"/>
            </a:ext>
          </a:extLst>
        </xdr:cNvPr>
        <xdr:cNvSpPr txBox="1"/>
      </xdr:nvSpPr>
      <xdr:spPr>
        <a:xfrm>
          <a:off x="7799614" y="206284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fr-FR" sz="1100" kern="1200"/>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982980</xdr:colOff>
          <xdr:row>2</xdr:row>
          <xdr:rowOff>274320</xdr:rowOff>
        </xdr:from>
        <xdr:to>
          <xdr:col>3</xdr:col>
          <xdr:colOff>22860</xdr:colOff>
          <xdr:row>4</xdr:row>
          <xdr:rowOff>53340</xdr:rowOff>
        </xdr:to>
        <xdr:sp macro="" textlink="">
          <xdr:nvSpPr>
            <xdr:cNvPr id="52225" name="cbLogement" hidden="1">
              <a:extLst>
                <a:ext uri="{63B3BB69-23CF-44E3-9099-C40C66FF867C}">
                  <a14:compatExt spid="_x0000_s52225"/>
                </a:ext>
                <a:ext uri="{FF2B5EF4-FFF2-40B4-BE49-F238E27FC236}">
                  <a16:creationId xmlns:a16="http://schemas.microsoft.com/office/drawing/2014/main" id="{00000000-0008-0000-0D00-000001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2</xdr:row>
          <xdr:rowOff>289560</xdr:rowOff>
        </xdr:from>
        <xdr:to>
          <xdr:col>7</xdr:col>
          <xdr:colOff>259080</xdr:colOff>
          <xdr:row>4</xdr:row>
          <xdr:rowOff>60960</xdr:rowOff>
        </xdr:to>
        <xdr:sp macro="" textlink="">
          <xdr:nvSpPr>
            <xdr:cNvPr id="52226" name="cbSerie" hidden="1">
              <a:extLst>
                <a:ext uri="{63B3BB69-23CF-44E3-9099-C40C66FF867C}">
                  <a14:compatExt spid="_x0000_s52226"/>
                </a:ext>
                <a:ext uri="{FF2B5EF4-FFF2-40B4-BE49-F238E27FC236}">
                  <a16:creationId xmlns:a16="http://schemas.microsoft.com/office/drawing/2014/main" id="{00000000-0008-0000-0D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321469</xdr:colOff>
      <xdr:row>4</xdr:row>
      <xdr:rowOff>273844</xdr:rowOff>
    </xdr:from>
    <xdr:to>
      <xdr:col>15</xdr:col>
      <xdr:colOff>523875</xdr:colOff>
      <xdr:row>20</xdr:row>
      <xdr:rowOff>226219</xdr:rowOff>
    </xdr:to>
    <xdr:graphicFrame macro="">
      <xdr:nvGraphicFramePr>
        <xdr:cNvPr id="3" name="MonGraphique">
          <a:extLst>
            <a:ext uri="{FF2B5EF4-FFF2-40B4-BE49-F238E27FC236}">
              <a16:creationId xmlns:a16="http://schemas.microsoft.com/office/drawing/2014/main" id="{0067C12F-4B18-446B-AF61-3CD60F077B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hristophe Tricaud" id="{8E05945D-ECB8-4C51-B5E2-A14450B9BC6F}" userId="ba9856d124305375"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6C83BB-55AA-49D8-858E-763266CEDDB7}" name="Avenir" displayName="Avenir" ref="A23:H28" totalsRowCount="1" headerRowDxfId="467" dataDxfId="465" totalsRowDxfId="464" headerRowBorderDxfId="466">
  <autoFilter ref="A23:H27" xr:uid="{2D6C83BB-55AA-49D8-858E-763266CEDDB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BC2CE2F-4321-4B06-B9CF-E4390767D958}" name="A venir" dataDxfId="463" totalsRowDxfId="68"/>
    <tableColumn id="2" xr3:uid="{B641DEC7-DAA3-4476-8707-D798C1C97A81}" name="N" totalsRowFunction="sum" dataDxfId="462" totalsRowDxfId="67" dataCellStyle="Milliers"/>
    <tableColumn id="3" xr3:uid="{9D995CDE-17C5-415E-B522-C7AD3AB50DA9}" name="AirBNB" totalsRowFunction="sum" dataDxfId="461" totalsRowDxfId="66" dataCellStyle="Milliers"/>
    <tableColumn id="4" xr3:uid="{254DCA46-5E45-400F-8603-1BF64264B340}" name="Booking" totalsRowFunction="sum" dataDxfId="460" totalsRowDxfId="65" dataCellStyle="Milliers"/>
    <tableColumn id="5" xr3:uid="{2B72B530-160F-4799-B3D5-2EE4B23D30C0}" name="Hobe" totalsRowFunction="sum" dataDxfId="459" totalsRowDxfId="64" dataCellStyle="Milliers"/>
    <tableColumn id="6" xr3:uid="{F1544751-DB28-4628-B57A-8195D51D8EF3}" name="Marriott" totalsRowFunction="sum" dataDxfId="458" totalsRowDxfId="63" dataCellStyle="Milliers"/>
    <tableColumn id="7" xr3:uid="{4F4278E1-865A-41F8-8186-CB8DAB10FDF9}" name="HomeExchange" totalsRowFunction="sum" dataDxfId="457" totalsRowDxfId="62" dataCellStyle="Milliers"/>
    <tableColumn id="8" xr3:uid="{225D7D3E-ECDE-4DC2-AD15-ACFE930C568A}" name="Versement" totalsRowFunction="sum" dataDxfId="456" totalsRowDxfId="61" dataCellStyle="Monétaire"/>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E49D3F-F9CA-4AED-8F00-1ED455D0BCC4}" name="EnCours" displayName="EnCours" ref="A2:K8" totalsRowCount="1" headerRowDxfId="455" dataDxfId="454" totalsRowDxfId="453">
  <autoFilter ref="A2:K7" xr:uid="{A4E49D3F-F9CA-4AED-8F00-1ED455D0BCC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25ABD3E-27DA-4354-83C6-9BCBD34CFB5B}" name="En cours" dataDxfId="452" totalsRowDxfId="60"/>
    <tableColumn id="2" xr3:uid="{BA826B6E-AE15-46A8-9020-5F773250EB61}" name="Sortie" dataDxfId="451" totalsRowDxfId="59"/>
    <tableColumn id="5" xr3:uid="{B9FAA6F2-7E72-4869-8692-0AA9DA7A758A}" name="Guest" dataDxfId="450" totalsRowDxfId="58"/>
    <tableColumn id="4" xr3:uid="{9C24FB1B-5E6F-4DC9-B1B4-D9C3D09678E2}" name="N" dataDxfId="449" totalsRowDxfId="57" dataCellStyle="Milliers"/>
    <tableColumn id="3" xr3:uid="{FC1632C8-5AE6-4C6B-9AA1-26BFB6FA8A8C}" name="Versements" totalsRowFunction="sum" dataDxfId="448" totalsRowDxfId="56" dataCellStyle="Monétaire" totalsRowCellStyle="Monétaire"/>
    <tableColumn id="9" xr3:uid="{D770445E-69CF-4C9C-8375-6AEF6E52BED9}" name="Channel" dataDxfId="447" totalsRowDxfId="55" dataCellStyle="Monétaire"/>
    <tableColumn id="6" xr3:uid="{64272816-1ACA-42DB-BD35-CD558B754C9A}" name="Next" dataDxfId="446" totalsRowDxfId="54" dataCellStyle="Monétaire"/>
    <tableColumn id="7" xr3:uid="{5C5CA924-65A0-4C4B-8367-B4012B16E26A}" name="GuestNext" dataDxfId="445" totalsRowDxfId="53" dataCellStyle="Monétaire"/>
    <tableColumn id="8" xr3:uid="{768E2340-B707-4DDB-8485-93611E584AD9}" name="N2" dataDxfId="444" totalsRowDxfId="52" dataCellStyle="Milliers" totalsRowCellStyle="Milliers"/>
    <tableColumn id="10" xr3:uid="{F5E47D42-D223-4E86-ACE9-1F8BB7D7EB66}" name="Ch2" dataDxfId="443" totalsRowDxfId="51"/>
    <tableColumn id="11" xr3:uid="{365448B0-8B10-4C78-B34E-512F441A4017}" name="Versement2" totalsRowFunction="sum" dataDxfId="442" totalsRowDxfId="50" dataCellStyle="Monétaire"/>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73E84F-43DD-463D-AC1B-A94D29C6DF5F}" name="CA12Mois" displayName="CA12Mois" ref="A32:G39" totalsRowCount="1" headerRowDxfId="441" dataDxfId="440" totalsRowDxfId="439" totalsRowBorderDxfId="438" dataCellStyle="Monétaire">
  <autoFilter ref="A32:G38" xr:uid="{E673E84F-43DD-463D-AC1B-A94D29C6DF5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DED45F78-FBA2-40A1-898A-DC07D8D7584F}" name="Logements" dataDxfId="437" totalsRowDxfId="19" dataCellStyle="Monétaire"/>
    <tableColumn id="2" xr3:uid="{E171CAB6-5479-4D3D-99E6-76772C843464}" name="AirBnB" totalsRowFunction="sum" dataDxfId="436" totalsRowDxfId="18" dataCellStyle="Monétaire"/>
    <tableColumn id="3" xr3:uid="{6E58C9FB-91F7-4757-84BC-E36DC9FBC43F}" name="Booking" totalsRowFunction="sum" dataDxfId="435" totalsRowDxfId="17" dataCellStyle="Monétaire"/>
    <tableColumn id="4" xr3:uid="{B4E29D1C-F73B-4BD1-B40C-7155BEAE72BF}" name="Hobe" totalsRowFunction="sum" dataDxfId="434" totalsRowDxfId="16" dataCellStyle="Monétaire"/>
    <tableColumn id="5" xr3:uid="{3AB7889C-BB67-4DCA-9CA3-1940378C85C2}" name="Marriott" totalsRowFunction="sum" dataDxfId="433" totalsRowDxfId="15" dataCellStyle="Monétaire"/>
    <tableColumn id="6" xr3:uid="{BF7CAA10-A0FD-4F9B-A24C-3CC621B83C57}" name="HomeExchange" totalsRowFunction="sum" dataDxfId="432" totalsRowDxfId="14" dataCellStyle="Monétaire"/>
    <tableColumn id="7" xr3:uid="{FFC8729D-C59A-48B6-BB4D-9EB57797E067}" name="CA 12 Mois" totalsRowFunction="sum" dataDxfId="431" totalsRowDxfId="13" dataCellStyle="Monétaire"/>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5118D5-136B-4BA7-A392-6D414DA91A24}" name="HistoriqueCA" displayName="HistoriqueCA" ref="O3:S492" totalsRowShown="0" headerRowDxfId="430" dataDxfId="428" headerRowBorderDxfId="429" tableBorderDxfId="427" totalsRowBorderDxfId="426">
  <autoFilter ref="O3:S492" xr:uid="{F55118D5-136B-4BA7-A392-6D414DA91A24}">
    <filterColumn colId="0" hiddenButton="1"/>
    <filterColumn colId="1" hiddenButton="1"/>
    <filterColumn colId="2" hiddenButton="1"/>
    <filterColumn colId="3" hiddenButton="1"/>
    <filterColumn colId="4" hiddenButton="1"/>
  </autoFilter>
  <sortState xmlns:xlrd2="http://schemas.microsoft.com/office/spreadsheetml/2017/richdata2" ref="O4:S492">
    <sortCondition descending="1" ref="O3:O492"/>
  </sortState>
  <tableColumns count="5">
    <tableColumn id="1" xr3:uid="{E0A9C92B-BFF6-47C8-BB18-AE7E7EA14001}" name="Date" dataDxfId="425"/>
    <tableColumn id="2" xr3:uid="{50C17346-63E6-47EC-8186-DDADA21C7393}" name="Lofts" dataDxfId="424"/>
    <tableColumn id="3" xr3:uid="{96E9761E-2777-4C7D-8B36-B6B1BE592BF0}" name="CA 12M" dataDxfId="423"/>
    <tableColumn id="4" xr3:uid="{780498BC-EC12-4EDA-A0FC-1CC14485CE05}" name="Portefeuille" dataDxfId="422"/>
    <tableColumn id="5" xr3:uid="{76FE3463-A939-4F1E-AD13-D5FBAD8D6838}" name="N-1" dataDxfId="421" dataCellStyle="Monétaire"/>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07A3097-8AA5-43E1-9077-997A7AA4C755}" name="Menages" displayName="Menages" ref="U4:V42" totalsRowCount="1" headerRowDxfId="420" dataDxfId="418" totalsRowDxfId="416" headerRowBorderDxfId="419" tableBorderDxfId="417" totalsRowBorderDxfId="415">
  <autoFilter ref="U4:V41" xr:uid="{E07A3097-8AA5-43E1-9077-997A7AA4C755}"/>
  <sortState xmlns:xlrd2="http://schemas.microsoft.com/office/spreadsheetml/2017/richdata2" ref="U5:V41">
    <sortCondition ref="V5:V41"/>
  </sortState>
  <tableColumns count="2">
    <tableColumn id="1" xr3:uid="{9A3AA2F5-4BB2-4968-8E6D-B7568FF119E9}" name="Logement" dataDxfId="414" totalsRowDxfId="70"/>
    <tableColumn id="2" xr3:uid="{96DCF44D-BAA5-4362-9423-74E61E5B56D2}" name="Date Ménage" totalsRowFunction="count" dataDxfId="413" totalsRowDxfId="69"/>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56C3F55E-17B1-4C5D-9B31-6C1D4F84BE3E}" name="DelaisReservations" displayName="DelaisReservations" ref="J23:L31" totalsRowShown="0" dataDxfId="411" headerRowBorderDxfId="412" tableBorderDxfId="410" totalsRowBorderDxfId="409">
  <autoFilter ref="J23:L31" xr:uid="{56C3F55E-17B1-4C5D-9B31-6C1D4F84BE3E}">
    <filterColumn colId="0" hiddenButton="1"/>
    <filterColumn colId="1" hiddenButton="1"/>
    <filterColumn colId="2" hiddenButton="1"/>
  </autoFilter>
  <tableColumns count="3">
    <tableColumn id="1" xr3:uid="{DB8EFCAE-AD6B-42A2-B1DF-8F2058D0F747}" name="Délais Réservation" dataDxfId="408"/>
    <tableColumn id="2" xr3:uid="{D3C05E3E-73E4-4BBE-B2CD-D16B80B137B4}" name="Montant" dataDxfId="407"/>
    <tableColumn id="3" xr3:uid="{33FAFD8F-D820-46D8-924E-529D0D6C7224}" name="N-1" dataDxfId="406" dataCellStyle="Monétair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3D405A2-FFAA-42B6-9DD3-A2F29D8080F5}" name="Projections" displayName="Projections" ref="A70:F73" totalsRowShown="0" headerRowDxfId="405" dataDxfId="403" headerRowBorderDxfId="404" tableBorderDxfId="402" totalsRowBorderDxfId="401" headerRowCellStyle="Monétaire">
  <autoFilter ref="A70:F73" xr:uid="{43D405A2-FFAA-42B6-9DD3-A2F29D8080F5}">
    <filterColumn colId="0" hiddenButton="1"/>
    <filterColumn colId="1" hiddenButton="1"/>
    <filterColumn colId="2" hiddenButton="1"/>
    <filterColumn colId="3" hiddenButton="1"/>
    <filterColumn colId="4" hiddenButton="1"/>
    <filterColumn colId="5" hiddenButton="1"/>
  </autoFilter>
  <tableColumns count="6">
    <tableColumn id="1" xr3:uid="{2FDA4D04-892A-4B70-B941-53E79F7AF32A}" name="Date" dataDxfId="400" dataCellStyle="Monétaire"/>
    <tableColumn id="2" xr3:uid="{4CC08D7E-2AC2-419B-B978-1BBBBF7A574E}" name="mars 2026" dataDxfId="399" dataCellStyle="Monétaire"/>
    <tableColumn id="3" xr3:uid="{00DE285D-193C-4424-B5C0-2A0AC07C18D6}" name="avril 2026" dataDxfId="398" dataCellStyle="Monétaire"/>
    <tableColumn id="4" xr3:uid="{38DEC9F5-8F50-4EE6-9D91-0ABFAB65243A}" name="mai 2026" dataDxfId="397" dataCellStyle="Monétaire"/>
    <tableColumn id="5" xr3:uid="{0D0950EE-531A-43A5-AB57-8D9BEAB432BE}" name="juin 2026" dataDxfId="396" dataCellStyle="Monétaire"/>
    <tableColumn id="6" xr3:uid="{344501B6-98FD-4F7E-A27F-A61F19525A5F}" name="juillet 2026" dataDxfId="395" dataCellStyle="Monétaire"/>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2A32E18-54D5-4FF6-AEC7-3C0C54F29413}" name="Planificateur" displayName="Planificateur" ref="A77:C79" totalsRowShown="0" headerRowDxfId="394" dataDxfId="392" headerRowBorderDxfId="393" tableBorderDxfId="391" totalsRowBorderDxfId="390">
  <autoFilter ref="A77:C79" xr:uid="{02A32E18-54D5-4FF6-AEC7-3C0C54F29413}">
    <filterColumn colId="0" hiddenButton="1"/>
    <filterColumn colId="1" hiddenButton="1"/>
    <filterColumn colId="2" hiddenButton="1"/>
  </autoFilter>
  <sortState xmlns:xlrd2="http://schemas.microsoft.com/office/spreadsheetml/2017/richdata2" ref="A78:C79">
    <sortCondition ref="B78:B79"/>
  </sortState>
  <tableColumns count="3">
    <tableColumn id="1" xr3:uid="{BE445E05-4091-4081-899D-1847D20AA61E}" name="Emission" dataDxfId="389"/>
    <tableColumn id="2" xr3:uid="{D65BA614-C16D-4752-88D2-3CF55EDEE76C}" name="Exécution" dataDxfId="388" dataCellStyle="Monétaire"/>
    <tableColumn id="3" xr3:uid="{B9CC3F01-B2D3-4129-AE1C-A12562A5FD82}" name="Procédure" dataDxfId="387"/>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E575A67-0DC2-4DCE-B7D1-641C503CA67D}" name="PriseReservation" displayName="PriseReservation" ref="A53:H66" totalsRowShown="0" headerRowDxfId="386" tableBorderDxfId="385">
  <autoFilter ref="A53:H66" xr:uid="{AE575A67-0DC2-4DCE-B7D1-641C503CA67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CA571A45-6141-491B-B744-61939AD4762B}" name="Date" dataDxfId="384"/>
    <tableColumn id="2" xr3:uid="{184ED3F1-6541-424D-B44E-646C2FDB296E}" name="2024 " dataDxfId="383" dataCellStyle="Monétaire"/>
    <tableColumn id="3" xr3:uid="{560BAB3A-1D35-4E16-8C25-BC01F3346C2B}" name="2025 " dataDxfId="382" dataCellStyle="Monétaire"/>
    <tableColumn id="4" xr3:uid="{DAE00974-194F-4997-85EE-18C53D49D192}" name="2026 " dataDxfId="381" dataCellStyle="Monétaire"/>
    <tableColumn id="5" xr3:uid="{2E5249B3-CD46-4935-9D8F-CD3BA8FA87AE}" name="2027" dataDxfId="380" dataCellStyle="Monétaire"/>
    <tableColumn id="6" xr3:uid="{EE3400F9-5B35-42C4-9F7D-74A23C0B03E9}" name="2028" dataDxfId="379" dataCellStyle="Monétaire"/>
    <tableColumn id="7" xr3:uid="{B3704578-39B7-432B-8B15-CA0192E56ACA}" name="2029" dataDxfId="378" dataCellStyle="Monétaire"/>
    <tableColumn id="8" xr3:uid="{9FB5EF53-075C-4F2C-BF7F-2BDF40A9FBB5}" name="2030" dataDxfId="377" dataCellStyle="Monétaire"/>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2AEC834-A4CE-481B-B6EB-A9EFAB4FC6F8}" name="MBLofts" displayName="MBLofts" ref="A4:F11" totalsRowShown="0" headerRowDxfId="376" tableBorderDxfId="375" totalsRowBorderDxfId="374" headerRowCellStyle="Monétaire">
  <autoFilter ref="A4:F11" xr:uid="{62AEC834-A4CE-481B-B6EB-A9EFAB4FC6F8}">
    <filterColumn colId="0" hiddenButton="1"/>
    <filterColumn colId="1" hiddenButton="1"/>
    <filterColumn colId="2" hiddenButton="1"/>
    <filterColumn colId="3" hiddenButton="1"/>
    <filterColumn colId="4" hiddenButton="1"/>
    <filterColumn colId="5" hiddenButton="1"/>
  </autoFilter>
  <tableColumns count="6">
    <tableColumn id="1" xr3:uid="{5F62C6ED-3789-4D66-B008-456D92BF2E1D}" name="Année" dataDxfId="373"/>
    <tableColumn id="2" xr3:uid="{119B5093-CD28-4D46-BB75-BB4978855598}" name="AirBNB" dataDxfId="372" dataCellStyle="Pourcentage"/>
    <tableColumn id="3" xr3:uid="{26E8A748-FF46-47C4-A395-A1F206FF4DC0}" name="Booking" dataDxfId="371" dataCellStyle="Pourcentage"/>
    <tableColumn id="4" xr3:uid="{900DEED4-A4DA-4080-9774-BE0F22B819FA}" name="Hobe" dataDxfId="370" dataCellStyle="Pourcentage"/>
    <tableColumn id="5" xr3:uid="{AF7F5BA2-8000-4B0A-B6FF-9F498EC9AEF5}" name="Marriott" dataDxfId="369" dataCellStyle="Pourcentage"/>
    <tableColumn id="6" xr3:uid="{F8B1EB02-A85B-4ACA-B841-A643EE937852}" name="HomeExchange" dataDxfId="368" dataCellStyle="Pourcentage"/>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00C07E3-56A4-4F1C-97CA-E703527323E3}" name="FreeCashFlow15" displayName="FreeCashFlow15" ref="A16:J23" totalsRowCount="1" headerRowDxfId="367" dataDxfId="365" totalsRowDxfId="363" headerRowBorderDxfId="366" tableBorderDxfId="364" totalsRowBorderDxfId="362">
  <autoFilter ref="A16:J22" xr:uid="{300C07E3-56A4-4F1C-97CA-E703527323E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F580554B-99E2-436C-B04A-2958FD6A532A}" name="en €" totalsRowLabel="Cumul" dataDxfId="361" totalsRowDxfId="360"/>
    <tableColumn id="2" xr3:uid="{A328816E-CBA3-4B96-8134-EFEF8788CB43}" name="2023" dataDxfId="359" totalsRowDxfId="358" dataCellStyle="Monétaire"/>
    <tableColumn id="3" xr3:uid="{7B28EE74-BB80-4405-A858-1F2F8712C322}" name="2024" totalsRowFunction="custom" dataDxfId="357" totalsRowDxfId="356" dataCellStyle="Monétaire">
      <totalsRowFormula>+C22+B22</totalsRowFormula>
    </tableColumn>
    <tableColumn id="4" xr3:uid="{53866536-FF09-44E5-A8B8-B301ECF94193}" name="2025" totalsRowFunction="custom" dataDxfId="355" totalsRowDxfId="354" dataCellStyle="Monétaire">
      <totalsRowFormula>+D22+FreeCashFlow15[[#Totals],[2024]]</totalsRowFormula>
    </tableColumn>
    <tableColumn id="5" xr3:uid="{706E0916-BFAE-4F23-9618-0C240ED100C0}" name="2026b" totalsRowFunction="custom" dataDxfId="353" totalsRowDxfId="352" dataCellStyle="Monétaire">
      <totalsRowFormula>+E22+FreeCashFlow15[[#Totals],[2025]]</totalsRowFormula>
    </tableColumn>
    <tableColumn id="6" xr3:uid="{5313DEF8-6AC5-4AC5-8BEC-AFF061051087}" name="2027" dataDxfId="351" totalsRowDxfId="350" dataCellStyle="Monétaire"/>
    <tableColumn id="7" xr3:uid="{001AE4B9-0AB2-4A50-982E-1938DB671000}" name="2028" dataDxfId="349" totalsRowDxfId="348" dataCellStyle="Monétaire"/>
    <tableColumn id="8" xr3:uid="{3FD09F29-2162-42AC-8828-1F55C36037D5}" name="2029" dataDxfId="347" totalsRowDxfId="346" dataCellStyle="Monétaire"/>
    <tableColumn id="9" xr3:uid="{24672209-FE9A-4801-B341-DE89C5E623BA}" name="2030" dataDxfId="345" totalsRowDxfId="344" dataCellStyle="Monétaire"/>
    <tableColumn id="10" xr3:uid="{893B6BE4-8B45-4CEC-A629-AF8BE4C3D61D}" name="2031" dataDxfId="343" totalsRowDxfId="342" dataCellStyle="Monétaire"/>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9C8568A-73BE-46C9-8CC4-DA77CDF4F120}" name="ProchainsPaiements" displayName="ProchainsPaiements" ref="A26:D45" totalsRowShown="0" headerRowDxfId="341" dataDxfId="339" headerRowBorderDxfId="340" tableBorderDxfId="338" totalsRowBorderDxfId="337">
  <autoFilter ref="A26:D45" xr:uid="{59C8568A-73BE-46C9-8CC4-DA77CDF4F120}">
    <filterColumn colId="0" hiddenButton="1"/>
    <filterColumn colId="1" hiddenButton="1"/>
    <filterColumn colId="2" hiddenButton="1"/>
    <filterColumn colId="3" hiddenButton="1"/>
  </autoFilter>
  <tableColumns count="4">
    <tableColumn id="1" xr3:uid="{F3D93671-9FE9-4338-A42C-F365671D5C1E}" name="Date" dataDxfId="336"/>
    <tableColumn id="4" xr3:uid="{BE21D272-9992-4C94-B5BA-B3F22136346C}" name="Source" dataDxfId="335"/>
    <tableColumn id="2" xr3:uid="{2216C0C6-BC62-4F5F-B2E8-57A272EE2592}" name="Montant" dataDxfId="334" dataCellStyle="Monétaire"/>
    <tableColumn id="3" xr3:uid="{6AB3A7D6-142A-444A-8CA9-5EF4F8DF64FB}" name="Total" dataDxfId="333" dataCellStyle="Monétaire"/>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3F383D-B3E9-4C83-98CE-19A212A9AD3A}" name="résasB" displayName="résasB" ref="A1:L16" totalsRowShown="0" headerRowDxfId="332" dataDxfId="331" headerRowCellStyle="Normal 2" dataCellStyle="Normal 2">
  <autoFilter ref="A1:L16" xr:uid="{D93F383D-B3E9-4C83-98CE-19A212A9AD3A}"/>
  <tableColumns count="12">
    <tableColumn id="1" xr3:uid="{45E66013-84B2-449F-9A38-81E661B3E42E}" name="Property name" dataDxfId="330" totalsRowDxfId="329" dataCellStyle="Normal 2" totalsRowCellStyle="Normal 2"/>
    <tableColumn id="2" xr3:uid="{4CFD3E62-7966-4D1B-8DA2-58CBD5594636}" name="Location" dataDxfId="328" totalsRowDxfId="327" dataCellStyle="Normal 2" totalsRowCellStyle="Normal 2"/>
    <tableColumn id="3" xr3:uid="{22858C0D-A90C-470F-97A7-7F4575ADB1E2}" name="Booker name" dataDxfId="326" totalsRowDxfId="325" dataCellStyle="Normal 2" totalsRowCellStyle="Normal 2"/>
    <tableColumn id="4" xr3:uid="{A325515E-BD37-45B4-ACA6-558421EB7D14}" name="Genius booker" dataDxfId="324" totalsRowDxfId="323" dataCellStyle="Normal 2" totalsRowCellStyle="Normal 2"/>
    <tableColumn id="5" xr3:uid="{E6D40A43-2DE7-4B43-A971-3CEB9ECC34EC}" name="Arrival" dataDxfId="322" totalsRowDxfId="321" dataCellStyle="Normal 2" totalsRowCellStyle="Normal 2"/>
    <tableColumn id="6" xr3:uid="{B39FE987-8F67-4BFC-8AC4-1CE543458DC0}" name="Departure" dataDxfId="320" totalsRowDxfId="319" dataCellStyle="Normal 2" totalsRowCellStyle="Normal 2"/>
    <tableColumn id="7" xr3:uid="{A32FD59E-D50B-4C19-BEA8-8D9E10551773}" name="Booked on" dataDxfId="318" totalsRowDxfId="317" dataCellStyle="Normal 2" totalsRowCellStyle="Normal 2"/>
    <tableColumn id="8" xr3:uid="{FF48A664-EDA8-4DFC-8ADC-0ADBC07D4AFA}" name="Status" dataDxfId="316" totalsRowDxfId="315" dataCellStyle="Normal 2" totalsRowCellStyle="Normal 2"/>
    <tableColumn id="9" xr3:uid="{D38F6865-B538-4C52-B4BD-365EEF6E0D17}" name="Total payment" dataDxfId="314" totalsRowDxfId="313" dataCellStyle="Normal 2" totalsRowCellStyle="Normal 2"/>
    <tableColumn id="10" xr3:uid="{963FF67D-E810-4215-A4B2-F1B135739DE0}" name="Commission" dataDxfId="312" totalsRowDxfId="311" dataCellStyle="Normal 2" totalsRowCellStyle="Normal 2"/>
    <tableColumn id="11" xr3:uid="{49F69DC7-610F-4561-A194-78CA843942DB}" name="Currency" dataDxfId="310" totalsRowDxfId="309" dataCellStyle="Normal 2" totalsRowCellStyle="Normal 2"/>
    <tableColumn id="12" xr3:uid="{918B94E7-ACBA-471B-B134-DEE6859FFBF9}" name="Reservation number" dataDxfId="308" totalsRowDxfId="307" dataCellStyle="Normal 2" totalsRowCellStyle="Normal 2"/>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63C232E-9B00-4D71-B679-1127335AA51A}" name="Résas" displayName="Résas" ref="A2:X78" totalsRowShown="0" headerRowDxfId="306" dataDxfId="305" tableBorderDxfId="304" totalsRowBorderDxfId="303" headerRowCellStyle="Monétaire">
  <autoFilter ref="A2:X78" xr:uid="{F63C232E-9B00-4D71-B679-1127335AA51A}"/>
  <tableColumns count="24">
    <tableColumn id="1" xr3:uid="{EDBE1474-046C-4870-BEEA-647AC44C30C7}" name="Location" dataDxfId="302" totalsRowDxfId="301"/>
    <tableColumn id="2" xr3:uid="{734BFC98-A181-444B-A886-01C9769EA3BF}" name="Source" dataDxfId="300" totalsRowDxfId="299"/>
    <tableColumn id="3" xr3:uid="{5B4E1042-FE3F-4E39-85DD-D5CBF9DDE990}" name="Date Début" dataDxfId="298" totalsRowDxfId="297"/>
    <tableColumn id="4" xr3:uid="{1FDD69F9-3290-4A06-80BE-AFEE572EE3A3}" name="Nb Nuits" dataDxfId="296" totalsRowDxfId="295"/>
    <tableColumn id="5" xr3:uid="{E72C6A79-0DE1-4CC8-83CC-E1EE6AB64D2F}" name="Nuitée" dataDxfId="294" totalsRowDxfId="293" dataCellStyle="Monétaire"/>
    <tableColumn id="6" xr3:uid="{4474C859-2226-4048-9346-26215B7C5850}" name="Prix" dataDxfId="292" totalsRowDxfId="291"/>
    <tableColumn id="7" xr3:uid="{4D5CEAB8-6554-4DEE-B80D-A5637E4EF246}" name="Ménage" dataDxfId="290" totalsRowDxfId="289" dataCellStyle="Monétaire"/>
    <tableColumn id="8" xr3:uid="{06B0CAE7-885B-446B-9D5F-09FD740BD5EB}" name="Frais channel" dataDxfId="288" totalsRowDxfId="287"/>
    <tableColumn id="9" xr3:uid="{44D0D7C2-222F-4B58-B2B5-16981E6F6A05}" name="Frais Conciergerie" dataDxfId="286" totalsRowDxfId="285" dataCellStyle="Monétaire"/>
    <tableColumn id="10" xr3:uid="{E071C266-DEBD-4A90-8139-8CAE0E52AF8B}" name="Versement" dataDxfId="284" totalsRowDxfId="283" dataCellStyle="Monétaire"/>
    <tableColumn id="11" xr3:uid="{46333D63-B80F-4743-AAB5-20C323D3C8F6}" name="Payé" dataDxfId="282" totalsRowDxfId="281"/>
    <tableColumn id="12" xr3:uid="{D1C75060-0BAC-40EE-88CA-2D635F439DE4}" name="Code Réservation" dataDxfId="280" totalsRowDxfId="279"/>
    <tableColumn id="23" xr3:uid="{5241BA07-DCA5-411C-8064-38980F9B8B28}" name="Statut" dataDxfId="278" totalsRowDxfId="277"/>
    <tableColumn id="13" xr3:uid="{C908B7CB-04E6-4595-AD93-ED43C0298A0C}" name="listing_id" dataDxfId="276" totalsRowDxfId="275"/>
    <tableColumn id="14" xr3:uid="{6652887C-5C7D-4DAF-A763-B099D584B259}" name="booked_date" dataDxfId="274" totalsRowDxfId="273"/>
    <tableColumn id="15" xr3:uid="{CA21A5B3-9CDE-4D93-8A16-E3216A39889B}" name="full_name" dataDxfId="272" totalsRowDxfId="271"/>
    <tableColumn id="16" xr3:uid="{5FFC0F8D-5972-487B-852F-BF5F42B584A4}" name="guest_user.id" dataDxfId="270" totalsRowDxfId="269"/>
    <tableColumn id="17" xr3:uid="{3D546B6F-894E-4279-AC80-A7CEF11EFBEF}" name="phone" dataDxfId="268" totalsRowDxfId="267"/>
    <tableColumn id="18" xr3:uid="{A8B496E7-18BE-4F5C-86A9-E02D3EBD89AF}" name="Pays" dataDxfId="266" totalsRowDxfId="265"/>
    <tableColumn id="19" xr3:uid="{3948AB04-D2AB-4373-8679-E66E71A7F912}" name="adukts" dataDxfId="264" totalsRowDxfId="263"/>
    <tableColumn id="20" xr3:uid="{4A7CF717-DF97-4A99-9EE1-EB12913B84E0}" name="children" dataDxfId="262" totalsRowDxfId="261"/>
    <tableColumn id="21" xr3:uid="{BC31CC8E-E332-41F3-83E9-42BA9E0E2C8F}" name="infants" dataDxfId="260" totalsRowDxfId="259"/>
    <tableColumn id="22" xr3:uid="{C86E5C98-180A-49D3-84C4-0763D56A9B75}" name="pets" dataDxfId="258" totalsRowDxfId="257"/>
    <tableColumn id="24" xr3:uid="{2AB4118B-A3B8-4B9E-8204-BAFE4237F491}" name="Invoice_id" dataDxfId="256" totalsRowDxfId="255"/>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A510440-59D9-4A80-9ED2-241B268B189F}" name="ListeGuesty" displayName="ListeGuesty" ref="A2:Z102" totalsRowShown="0" headerRowDxfId="254" dataDxfId="253" tableBorderDxfId="252" totalsRowBorderDxfId="251" headerRowCellStyle="Monétaire">
  <autoFilter ref="A2:Z102" xr:uid="{F63C232E-9B00-4D71-B679-1127335AA51A}"/>
  <tableColumns count="26">
    <tableColumn id="1" xr3:uid="{45316873-8920-4D6F-815E-A038DCD27707}" name="Location" dataDxfId="250" totalsRowDxfId="249"/>
    <tableColumn id="2" xr3:uid="{5290B289-DA24-4F49-92B9-57BE59E762A5}" name="Source" dataDxfId="74" totalsRowDxfId="248"/>
    <tableColumn id="3" xr3:uid="{295F5D80-6DCB-4825-B515-31372C201C7C}" name="Date Début" dataDxfId="72" dataCellStyle="Milliers"/>
    <tableColumn id="4" xr3:uid="{AF468307-55B0-499F-BD26-B634BB7B0C65}" name="Nb Nuits" dataDxfId="73" totalsRowDxfId="247" dataCellStyle="Milliers"/>
    <tableColumn id="5" xr3:uid="{CBE2CE07-EF08-4D54-8A20-72A1E8FA3BE1}" name="Nuitée" dataDxfId="246" totalsRowDxfId="245" dataCellStyle="Monétaire"/>
    <tableColumn id="6" xr3:uid="{A8441C4A-9F62-4D6D-9CF6-3D9ED24648FC}" name="Prix" dataDxfId="244" totalsRowDxfId="243" dataCellStyle="Monétaire"/>
    <tableColumn id="7" xr3:uid="{E903E4FF-7FFF-4CB4-946F-49FE87A4F315}" name="Ménage" dataDxfId="242" totalsRowDxfId="241" dataCellStyle="Monétaire"/>
    <tableColumn id="8" xr3:uid="{365846D4-6F3B-4DF4-BD61-E75D4D627891}" name="Frais channel" dataDxfId="240" totalsRowDxfId="239" dataCellStyle="Monétaire"/>
    <tableColumn id="9" xr3:uid="{6790AC1C-41FE-4DF2-8965-02ADBB67A89C}" name="Frais Conciergerie" dataDxfId="238" totalsRowDxfId="237" dataCellStyle="Monétaire"/>
    <tableColumn id="10" xr3:uid="{C074EF2F-1201-4265-BF95-578298F999AF}" name="Versement" dataDxfId="236" totalsRowDxfId="235" dataCellStyle="Monétaire"/>
    <tableColumn id="11" xr3:uid="{3C3002C0-AD11-41D8-AEF5-83EFD980D659}" name="Payé" dataDxfId="234" totalsRowDxfId="233"/>
    <tableColumn id="12" xr3:uid="{8D6380DD-79AE-4ED4-9B77-D0ABAB836ACC}" name="Code Réservation" dataDxfId="232" totalsRowDxfId="231"/>
    <tableColumn id="23" xr3:uid="{522B66BB-AF79-4DAF-80EC-0CB0B5E273DD}" name="Statut" dataDxfId="230" totalsRowDxfId="229"/>
    <tableColumn id="13" xr3:uid="{071F6C90-A402-46BE-9522-230A07319D28}" name="listing_id" dataDxfId="228" totalsRowDxfId="227"/>
    <tableColumn id="14" xr3:uid="{6AF340AB-8A92-4186-B0AB-B1063FAD0B01}" name="booked_date" dataDxfId="226" totalsRowDxfId="225"/>
    <tableColumn id="15" xr3:uid="{3598CCC5-309C-4823-A0B4-30BC0DC1161A}" name="full_name" dataDxfId="224" totalsRowDxfId="223"/>
    <tableColumn id="16" xr3:uid="{F6899661-8A62-4939-93DE-12EB36410F31}" name="guest_user.id" dataDxfId="222" totalsRowDxfId="221"/>
    <tableColumn id="17" xr3:uid="{25F9B1C3-B5A1-403F-9C5A-E71260FE51B9}" name="phone" dataDxfId="220" totalsRowDxfId="219"/>
    <tableColumn id="18" xr3:uid="{4658FAE5-05D8-4DAE-B6EE-34BC4F38FDD4}" name="Pays" dataDxfId="218" totalsRowDxfId="217"/>
    <tableColumn id="19" xr3:uid="{BB745088-5C9B-421A-B78B-60B6366CA95F}" name="adukts" dataDxfId="216" totalsRowDxfId="215" dataCellStyle="Milliers"/>
    <tableColumn id="20" xr3:uid="{19B9E317-FF04-4426-97A9-486BF9C3AA7B}" name="children" dataDxfId="214" totalsRowDxfId="213" dataCellStyle="Milliers"/>
    <tableColumn id="21" xr3:uid="{22D84F7C-62C7-4AF2-A4C4-34E39C4341D5}" name="infants" dataDxfId="212" totalsRowDxfId="211" dataCellStyle="Milliers"/>
    <tableColumn id="22" xr3:uid="{F7B2FFC3-47C6-43DA-BBF8-A62824303651}" name="pets" dataDxfId="210" totalsRowDxfId="209"/>
    <tableColumn id="24" xr3:uid="{EE8391A0-5411-4CCC-BF3D-3A01ED292012}" name="Invoice_id" dataDxfId="208" totalsRowDxfId="207"/>
    <tableColumn id="26" xr3:uid="{66EAB863-F999-4CC0-8E1D-2AFA2CF34E01}" name="MatchResas" dataDxfId="206" totalsRowDxfId="205" dataCellStyle="Milliers"/>
    <tableColumn id="27" xr3:uid="{A77EE8AC-BA81-4184-9F2D-CF5FBA8FEA4E}" name="MatchResas2" dataDxfId="204" totalsRowDxfId="203" dataCellStyle="Milliers"/>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4DA24E6-5751-4D17-818A-C6389892A350}" name="ListeRésas" displayName="ListeRésas" ref="A3:AD535" totalsRowCount="1" headerRowDxfId="202" dataDxfId="200" headerRowBorderDxfId="201" tableBorderDxfId="199" totalsRowBorderDxfId="198" headerRowCellStyle="Milliers" dataCellStyle="Monétaire">
  <autoFilter ref="A3:AD534" xr:uid="{46E9AD2E-E9CB-43A1-B3D1-A83903CD8D4B}"/>
  <tableColumns count="30">
    <tableColumn id="9" xr3:uid="{34758A02-C602-4B64-ABF0-D12CDFBDCD80}" name="Location" dataDxfId="197" totalsRowDxfId="49" dataCellStyle="Monétaire"/>
    <tableColumn id="11" xr3:uid="{5AD52EA6-7C91-4851-8C04-CEBAF7C03580}" name="Source" dataDxfId="196" totalsRowDxfId="48" dataCellStyle="Monétaire"/>
    <tableColumn id="1" xr3:uid="{BDCEB9EF-EDE4-47DC-A8CB-302394554F45}" name="Date Début" dataDxfId="71" totalsRowDxfId="47" dataCellStyle="Pourcentage"/>
    <tableColumn id="2" xr3:uid="{27E11631-E9FC-4414-B4A6-96EADA7D4BDD}" name="Nb Nuits" totalsRowFunction="count" dataDxfId="195" totalsRowDxfId="46" dataCellStyle="Milliers"/>
    <tableColumn id="3" xr3:uid="{E73353A6-7B3A-42E2-8F7F-7B1D21A17F46}" name="Nuitée" dataDxfId="194" totalsRowDxfId="45" dataCellStyle="Monétaire"/>
    <tableColumn id="4" xr3:uid="{A4F3E02C-3960-4E33-A0F4-F31F29410E89}" name="Prix" totalsRowFunction="sum" dataDxfId="193" totalsRowDxfId="44" dataCellStyle="Monétaire"/>
    <tableColumn id="5" xr3:uid="{B2D03B7B-2ABF-434F-8854-2ED511F67301}" name="Ménage" totalsRowFunction="sum" dataDxfId="192" totalsRowDxfId="43" dataCellStyle="Monétaire"/>
    <tableColumn id="6" xr3:uid="{75040CC9-8E32-491F-826E-3E788410ED21}" name="Frais channel" totalsRowFunction="sum" dataDxfId="191" totalsRowDxfId="42" dataCellStyle="Monétaire"/>
    <tableColumn id="7" xr3:uid="{673C8732-FD91-4C6C-A5ED-2A64DED91A08}" name="Frais Conciergerie" totalsRowFunction="sum" dataDxfId="190" totalsRowDxfId="41" dataCellStyle="Monétaire"/>
    <tableColumn id="8" xr3:uid="{FCDEA43D-E35B-43ED-9BB8-0985F181E900}" name="Versement" totalsRowFunction="sum" dataDxfId="189" totalsRowDxfId="40" dataCellStyle="Monétaire"/>
    <tableColumn id="10" xr3:uid="{F4E5D443-FA54-490D-A90E-6BBF07226BB0}" name="Charge" dataDxfId="188" totalsRowDxfId="39" dataCellStyle="Monétaire"/>
    <tableColumn id="12" xr3:uid="{0B804401-828C-4634-8248-342FBD520420}" name="Payé" dataDxfId="187" totalsRowDxfId="38" dataCellStyle="Monétaire"/>
    <tableColumn id="13" xr3:uid="{730D6E2A-91E4-43C1-8392-343B95BD9B80}" name="Note" dataDxfId="186" totalsRowDxfId="37" dataCellStyle="Milliers"/>
    <tableColumn id="25" xr3:uid="{5218D47B-1C40-4493-A52D-3D53AE84F3E2}" name="Code réservation" dataDxfId="185" totalsRowDxfId="36" dataCellStyle="Monétaire"/>
    <tableColumn id="15" xr3:uid="{2B4C43B3-8105-4851-9128-7BDB4652C09B}" name="Statut" totalsRowLabel=" Complete " dataDxfId="184" totalsRowDxfId="35" dataCellStyle="Monétaire"/>
    <tableColumn id="16" xr3:uid="{DD070CF6-AC9C-4D8F-96B6-04B8746B6D13}" name="listing_id2" dataDxfId="183" totalsRowDxfId="34" dataCellStyle="Monétaire"/>
    <tableColumn id="17" xr3:uid="{00467317-0880-4F7A-8853-41F2B9197AD2}" name="Booking_date" dataDxfId="182" totalsRowDxfId="33" dataCellStyle="Monétaire"/>
    <tableColumn id="26" xr3:uid="{37097EFB-C50C-4640-BD54-84E92E9076D4}" name="guest user" dataDxfId="181" totalsRowDxfId="32" dataCellStyle="Monétaire"/>
    <tableColumn id="18" xr3:uid="{C65C4A8B-9A13-465A-933C-EE488B91484B}" name="guest_user.id" dataDxfId="180" totalsRowDxfId="31" dataCellStyle="Monétaire"/>
    <tableColumn id="19" xr3:uid="{04E0D8C7-C4F2-4B54-B833-17496F49FF7B}" name="phone" dataDxfId="179" totalsRowDxfId="30" dataCellStyle="Monétaire"/>
    <tableColumn id="20" xr3:uid="{CE49060E-7CD0-4D91-8500-E08B7897ECDA}" name="Pays" dataDxfId="178" totalsRowDxfId="29" dataCellStyle="Monétaire"/>
    <tableColumn id="21" xr3:uid="{A4483841-BAB7-4BD9-B6A8-1AE2165CDA3E}" name="adults" dataDxfId="177" totalsRowDxfId="28" dataCellStyle="Milliers"/>
    <tableColumn id="22" xr3:uid="{4D23ACBB-843A-42F2-B9CF-2630F4380D40}" name="children" dataDxfId="176" totalsRowDxfId="27" dataCellStyle="Milliers"/>
    <tableColumn id="23" xr3:uid="{A9549D48-52A6-4140-A71D-FA5D1B500870}" name="infants" dataDxfId="175" totalsRowDxfId="26" dataCellStyle="Milliers"/>
    <tableColumn id="24" xr3:uid="{8F37D4C8-18ED-4BDF-A039-84CD96DA53AC}" name="pets" dataDxfId="174" totalsRowDxfId="25" dataCellStyle="Milliers"/>
    <tableColumn id="14" xr3:uid="{38F0ED87-885D-4767-9F80-157E31456571}" name="Invoice_id" dataDxfId="173" totalsRowDxfId="24" dataCellStyle="Monétaire"/>
    <tableColumn id="27" xr3:uid="{4CFCA01F-2786-4984-BBE8-46F02CF4C0E7}" name="Délai Résa" dataDxfId="172" totalsRowDxfId="23" dataCellStyle="Monétaire"/>
    <tableColumn id="28" xr3:uid="{A09096DB-00D0-46A0-B0B2-4678D3E7762E}" name="Mois Résa" dataDxfId="171" totalsRowDxfId="22" dataCellStyle="Monétaire"/>
    <tableColumn id="29" xr3:uid="{C8F54700-A753-4B6D-BB8E-5DA81AE22DB0}" name="Seuil" dataDxfId="170" totalsRowDxfId="21" dataCellStyle="Monétaire"/>
    <tableColumn id="30" xr3:uid="{D0A13A79-74D5-49E4-8D3C-34BDAD7D3BB2}" name="SuiviPaiement" dataDxfId="169" totalsRowDxfId="20" dataCellStyle="Monétaire"/>
  </tableColumns>
  <tableStyleInfo name="TableStyleMedium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4EBC13F-AE18-48E8-AD01-99E0C9C0743D}" name="Annulation" displayName="Annulation" ref="A3:I4" totalsRowShown="0" headerRowDxfId="0" headerRowBorderDxfId="11" tableBorderDxfId="12" totalsRowBorderDxfId="10">
  <autoFilter ref="A3:I4" xr:uid="{E4EBC13F-AE18-48E8-AD01-99E0C9C0743D}"/>
  <tableColumns count="9">
    <tableColumn id="1" xr3:uid="{F7C2D05F-9FF5-41A9-8802-62E1E328212B}" name="Location" dataDxfId="9"/>
    <tableColumn id="2" xr3:uid="{654A0F53-12CF-4AC4-A4CB-C49647D24712}" name="Source" dataDxfId="8"/>
    <tableColumn id="3" xr3:uid="{3A3E522C-F10A-42DB-8974-EED4C87D143B}" name="Date Début" dataDxfId="7"/>
    <tableColumn id="4" xr3:uid="{36C0D789-CF6F-47C6-91A9-FB692BDCE9B2}" name="Nb Nuits" dataDxfId="6"/>
    <tableColumn id="5" xr3:uid="{F3478966-5A9F-4649-A37F-0952E6A39577}" name="Prix" dataDxfId="5"/>
    <tableColumn id="6" xr3:uid="{58320B7D-AE79-42CA-A432-A9C914AE9FC9}" name="Versement" dataDxfId="4"/>
    <tableColumn id="7" xr3:uid="{4EE57CDC-58B0-40C0-B789-C2DC0580249E}" name="Code réservation" dataDxfId="3"/>
    <tableColumn id="8" xr3:uid="{89DE788F-E6E7-4D54-98FD-9DE378FC6C67}" name="Booking_date" dataDxfId="2"/>
    <tableColumn id="9" xr3:uid="{6B1A8E5E-294C-4C74-A732-4C40F30EFDEC}" name="Cancel_Date" dataDxfId="1"/>
  </tableColumns>
  <tableStyleInfo name="TableStyleMedium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BB33844-455A-4871-8BC6-11EC8F51CDAF}" name="Notifs" displayName="Notifs" ref="A2:F1980" totalsRowCount="1" headerRowDxfId="168" dataDxfId="167" totalsRowDxfId="166">
  <autoFilter ref="A2:F1979" xr:uid="{ABB33844-455A-4871-8BC6-11EC8F51CDAF}"/>
  <tableColumns count="6">
    <tableColumn id="1" xr3:uid="{4BA46DF2-4157-4628-9CB4-63CF4406A456}" name="Date" dataDxfId="165" totalsRowDxfId="164"/>
    <tableColumn id="2" xr3:uid="{F2ACDF62-01D7-440F-824F-67D77D1DB0DE}" name="Channel" totalsRowFunction="count" dataDxfId="163" totalsRowDxfId="162"/>
    <tableColumn id="3" xr3:uid="{4DE1CE21-9EBA-47FB-A962-477135E8B6FB}" name="Type" dataDxfId="161" totalsRowDxfId="160"/>
    <tableColumn id="4" xr3:uid="{A8AD1BAC-43C6-4CFD-BCCD-053C0292B991}" name="Texte" dataDxfId="159" totalsRowDxfId="158"/>
    <tableColumn id="5" xr3:uid="{98AA0363-B0D1-43D9-B43F-07AF7B9604CC}" name="Source" dataDxfId="157" totalsRowDxfId="156"/>
    <tableColumn id="6" xr3:uid="{AE039D3F-843B-4154-B886-85EA519F3F0D}" name="Action" dataDxfId="155" totalsRowDxfId="154"/>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C5B4166-EFFA-44EB-9BBB-FFFDB5A27068}" name="Sources" displayName="Sources" ref="A12:C17" totalsRowShown="0" headerRowDxfId="153" dataDxfId="152">
  <autoFilter ref="A12:C17" xr:uid="{3C5B4166-EFFA-44EB-9BBB-FFFDB5A27068}">
    <filterColumn colId="0" hiddenButton="1"/>
    <filterColumn colId="1" hiddenButton="1"/>
    <filterColumn colId="2" hiddenButton="1"/>
  </autoFilter>
  <tableColumns count="3">
    <tableColumn id="1" xr3:uid="{46DAB816-CD4F-4FA2-85BB-2A9972DFC8EC}" name="Source" dataDxfId="151"/>
    <tableColumn id="2" xr3:uid="{AB784D8A-57F3-43C8-B09F-0784A2F6DCD1}" name="Commission" dataDxfId="150"/>
    <tableColumn id="3" xr3:uid="{B258C0CB-0DE5-4E5C-9BD4-45756E1DB971}" name="Auto" dataDxfId="149"/>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70894C-A2DB-44E4-8C0C-C31CA5F28E8A}" name="Logements" displayName="Logements" ref="A2:H8" totalsRowShown="0" headerRowDxfId="148" dataDxfId="147" tableBorderDxfId="146" totalsRowBorderDxfId="145">
  <autoFilter ref="A2:H8" xr:uid="{0770894C-A2DB-44E4-8C0C-C31CA5F28E8A}">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57F2ECC2-B61B-419E-8724-8928DA1D1EF9}" name="Logements" dataDxfId="144"/>
    <tableColumn id="3" xr3:uid="{E7BF26AB-F051-4050-99DA-3802F0ADAE58}" name="ID airbnb" dataDxfId="143"/>
    <tableColumn id="2" xr3:uid="{137B2918-1F1C-46DD-BDF9-5150603A3558}" name="Titre" dataDxfId="142"/>
    <tableColumn id="5" xr3:uid="{B093F635-34F5-4330-A191-2EEC6ADA5DD2}" name="Ménage" dataDxfId="141" dataCellStyle="Monétaire"/>
    <tableColumn id="4" xr3:uid="{A01A2674-30BF-4621-A311-857C3C32F4AE}" name="Comm" dataDxfId="140"/>
    <tableColumn id="6" xr3:uid="{69BCA4A7-DB65-479E-BD32-BA96AA99C23D}" name="id Booking_id" dataDxfId="139"/>
    <tableColumn id="7" xr3:uid="{E5E40D3D-0B20-4709-BBA4-9ACBE3E56D58}" name="id Guesty" dataDxfId="138"/>
    <tableColumn id="8" xr3:uid="{EF92A405-ACB2-4025-83E7-8A10C0311CE6}" name="Actif" dataDxfId="137"/>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5B9E0E4-0D6C-46FF-BA44-6D8D6D2038D1}" name="CodeReservation" displayName="CodeReservation" ref="A20:B28" totalsRowShown="0" headerRowDxfId="136" dataDxfId="135">
  <autoFilter ref="A20:B28" xr:uid="{45B9E0E4-0D6C-46FF-BA44-6D8D6D2038D1}"/>
  <tableColumns count="2">
    <tableColumn id="1" xr3:uid="{45A9405C-7F9A-4C42-BBE3-9171ABDED3BA}" name="id" dataDxfId="134"/>
    <tableColumn id="2" xr3:uid="{D3CC33A6-925E-4AE1-8BAD-07CA99C959CD}" name="Code" dataDxfId="133"/>
  </tableColumns>
  <tableStyleInfo name="TableStyleMedium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938916B-73A1-4B66-954C-839CB7595B6E}" name="jsonListe" displayName="jsonListe" ref="A1:C20" totalsRowShown="0" headerRowDxfId="132" dataDxfId="131">
  <autoFilter ref="A1:C20" xr:uid="{1938916B-73A1-4B66-954C-839CB7595B6E}"/>
  <tableColumns count="3">
    <tableColumn id="1" xr3:uid="{840325C1-930D-4E9B-9607-21E9DB36ACC1}" name="Code Objet Json Airbnb" dataDxfId="130"/>
    <tableColumn id="2" xr3:uid="{9F4C84AE-8A6F-473C-BE7C-01489E81261D}" name="id Colonne" dataDxfId="129"/>
    <tableColumn id="3" xr3:uid="{C76B7246-AA3D-448C-B1B7-512D92D4C87A}" name="Intitulé" dataDxfId="128"/>
  </tableColumns>
  <tableStyleInfo name="TableStyleMedium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F1B6FB-157A-4D06-9674-9904D39EBF25}" name="TypeMailsAirbnb" displayName="TypeMailsAirbnb" ref="E2:F20" totalsRowShown="0" headerRowDxfId="127" dataDxfId="125" headerRowBorderDxfId="126" tableBorderDxfId="124" totalsRowBorderDxfId="123">
  <autoFilter ref="E2:F20" xr:uid="{82F1B6FB-157A-4D06-9674-9904D39EBF25}">
    <filterColumn colId="0" hiddenButton="1"/>
    <filterColumn colId="1" hiddenButton="1"/>
  </autoFilter>
  <tableColumns count="2">
    <tableColumn id="3" xr3:uid="{1BAD4CBF-7528-4222-B2CB-ABE540FAC3DC}" name="Texte" dataDxfId="122"/>
    <tableColumn id="4" xr3:uid="{5DFB4FE5-8DFE-4D96-88B8-058A1BDDC750}" name="Titre" dataDxfId="121"/>
  </tableColumns>
  <tableStyleInfo name="TableStyleMedium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B27733B-63CD-45A5-979B-4B36E23EE837}" name="GuestyJsonListe" displayName="GuestyJsonListe" ref="D1:F15" totalsRowShown="0" headerRowDxfId="120" dataDxfId="119">
  <autoFilter ref="D1:F15" xr:uid="{FB27733B-63CD-45A5-979B-4B36E23EE837}"/>
  <tableColumns count="3">
    <tableColumn id="1" xr3:uid="{55245933-FE3B-48FA-A575-2FC388CB7BAF}" name="Code Objet Json Airbnb" dataDxfId="118"/>
    <tableColumn id="2" xr3:uid="{B76BB63C-88A8-40D9-8FEF-09347779499B}" name="id Colonne" dataDxfId="117"/>
    <tableColumn id="3" xr3:uid="{12ED9DAC-AAD6-4439-BD7B-C6CBA24559ED}" name="Intitulé" dataDxfId="116"/>
  </tableColumns>
  <tableStyleInfo name="TableStyleMedium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35B4510-970F-4834-906B-8CEA766C76AE}" name="GuestyStatus" displayName="GuestyStatus" ref="A9:A13" totalsRowShown="0" headerRowDxfId="115" dataDxfId="114">
  <autoFilter ref="A9:A13" xr:uid="{035B4510-970F-4834-906B-8CEA766C76AE}"/>
  <tableColumns count="1">
    <tableColumn id="1" xr3:uid="{D94D24A8-80D1-463D-9BEC-14572DE3AD2B}" name="Status" dataDxfId="113"/>
  </tableColumns>
  <tableStyleInfo name="TableStyleMedium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101F9CD-22C1-4580-80AA-444080D259CA}" name="TableauPrix" displayName="TableauPrix" ref="A1:F367" totalsRowShown="0" headerRowDxfId="112" dataDxfId="111" tableBorderDxfId="110" totalsRowBorderDxfId="109" headerRowCellStyle="Monétaire" dataCellStyle="Monétaire">
  <autoFilter ref="A1:F367" xr:uid="{4101F9CD-22C1-4580-80AA-444080D259CA}">
    <filterColumn colId="0" hiddenButton="1"/>
    <filterColumn colId="1" hiddenButton="1"/>
    <filterColumn colId="2" hiddenButton="1"/>
    <filterColumn colId="3" hiddenButton="1"/>
    <filterColumn colId="4" hiddenButton="1"/>
    <filterColumn colId="5" hiddenButton="1"/>
  </autoFilter>
  <tableColumns count="6">
    <tableColumn id="1" xr3:uid="{76DF7418-BC76-4614-8110-B524B4121595}" name="Date" dataDxfId="108"/>
    <tableColumn id="2" xr3:uid="{DABA0865-704A-41EE-AE44-CF52AD5DB255}" name="Apollinaire" dataDxfId="107" dataCellStyle="Monétaire"/>
    <tableColumn id="3" xr3:uid="{1983154A-0EAB-4657-80B9-5C5E51D2E9CC}" name="Maury" dataDxfId="106" dataCellStyle="Monétaire"/>
    <tableColumn id="4" xr3:uid="{ADC065C2-2F05-4D19-A2A6-9031705C3EC3}" name="Bienvenue" dataDxfId="105" dataCellStyle="Monétaire"/>
    <tableColumn id="6" xr3:uid="{8962D6F9-C197-4ED6-A2D1-579E50C50613}" name="Odessa" dataDxfId="104" dataCellStyle="Monétaire"/>
    <tableColumn id="5" xr3:uid="{F255DB69-3533-4182-B246-ABE2BE21CCA7}" name="Joséphine" dataDxfId="103" dataCellStyle="Monétaire"/>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9AFF5E3-F7CF-40DC-8A89-0EA47865C842}" name="StatsAirBNBApollinaire" displayName="StatsAirBNBApollinaire" ref="A3:J478" totalsRowShown="0" headerRowDxfId="102" dataDxfId="101" tableBorderDxfId="100" totalsRowBorderDxfId="99">
  <autoFilter ref="A3:J478" xr:uid="{59AFF5E3-F7CF-40DC-8A89-0EA47865C842}"/>
  <sortState xmlns:xlrd2="http://schemas.microsoft.com/office/spreadsheetml/2017/richdata2" ref="A4:J355">
    <sortCondition ref="A3:A355"/>
  </sortState>
  <tableColumns count="10">
    <tableColumn id="1" xr3:uid="{7BEC8FB8-3CF5-43BA-B146-17107AE23FF9}" name="Date" dataDxfId="98"/>
    <tableColumn id="10" xr3:uid="{D057E7F9-6D79-43F1-98CD-9B2529791D35}" name="Conversion" dataDxfId="97" dataCellStyle="Pourcentage"/>
    <tableColumn id="2" xr3:uid="{0227E13A-C4ED-4255-8D9B-6CA6E159C34D}" name="Impressions" dataDxfId="96" dataCellStyle="Milliers"/>
    <tableColumn id="3" xr3:uid="{21B5E37D-03B3-4E4F-87DF-98E693F55B1A}" name="Premiere Page" dataDxfId="95" dataCellStyle="Pourcentage"/>
    <tableColumn id="4" xr3:uid="{1C1042A1-E19F-4AEA-8445-E0BA20C61E31}" name="Vues" dataDxfId="94" dataCellStyle="Milliers"/>
    <tableColumn id="5" xr3:uid="{56755616-DF09-4E82-99AC-934AA9784D7E}" name="%1" dataDxfId="93" dataCellStyle="Pourcentage"/>
    <tableColumn id="6" xr3:uid="{3AF3E890-FFE3-4753-83D8-4A21CE18F3C0}" name="Reservations" dataDxfId="92" dataCellStyle="Milliers"/>
    <tableColumn id="7" xr3:uid="{ABAA47A2-3A6B-4BC7-9514-FF4B53CD7142}" name="%2" dataDxfId="91" dataCellStyle="Pourcentage"/>
    <tableColumn id="8" xr3:uid="{75D49316-D4B5-4C20-AE80-473D75F393B2}" name="Favoris" dataDxfId="90" dataCellStyle="Milliers"/>
    <tableColumn id="9" xr3:uid="{2559AD37-6660-4F6A-BE18-BD2AD7DAF591}" name="Delai" dataDxfId="89" dataCellStyle="Milliers"/>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79BCBCD-D3CE-4F38-9FE8-99B98FF878D7}" name="StatsAirBNBMaury" displayName="StatsAirBNBMaury" ref="M3:V477" totalsRowShown="0" headerRowDxfId="88" dataDxfId="87" tableBorderDxfId="86" totalsRowBorderDxfId="85">
  <autoFilter ref="M3:V477" xr:uid="{F79BCBCD-D3CE-4F38-9FE8-99B98FF878D7}"/>
  <sortState xmlns:xlrd2="http://schemas.microsoft.com/office/spreadsheetml/2017/richdata2" ref="M4:V355">
    <sortCondition ref="M3:M355"/>
  </sortState>
  <tableColumns count="10">
    <tableColumn id="1" xr3:uid="{A2D7605B-F99F-49D7-8B5E-57682D4820C3}" name="Date" dataDxfId="84"/>
    <tableColumn id="10" xr3:uid="{E796EEB2-5A6F-4A3E-AFDC-9D50F11D33DC}" name="Conversion" dataDxfId="83" dataCellStyle="Pourcentage"/>
    <tableColumn id="2" xr3:uid="{96C6409B-506E-43AE-91F4-A2654095B55F}" name="Impressions" dataDxfId="82" dataCellStyle="Milliers"/>
    <tableColumn id="3" xr3:uid="{884E60AB-DDD9-46C9-A104-9F04AAC12F81}" name="Premiere Page" dataDxfId="81" dataCellStyle="Pourcentage"/>
    <tableColumn id="4" xr3:uid="{212DEFB3-3194-485D-912C-FD4B09FB6CBF}" name="Vues" dataDxfId="80" dataCellStyle="Milliers"/>
    <tableColumn id="5" xr3:uid="{98340DB5-33E3-43ED-86D9-087F1E547A15}" name="%1" dataDxfId="79" dataCellStyle="Pourcentage"/>
    <tableColumn id="6" xr3:uid="{3FF5A637-9708-4B84-9653-E79524C71C23}" name="Reservations" dataDxfId="78" dataCellStyle="Milliers"/>
    <tableColumn id="7" xr3:uid="{64CEE84D-A2B5-4DA9-A593-5450086B2C91}" name="%2" dataDxfId="77" dataCellStyle="Pourcentage"/>
    <tableColumn id="8" xr3:uid="{A014968A-EC32-4A14-8EE6-70E9E6987E9D}" name="Favoris" dataDxfId="76" dataCellStyle="Milliers"/>
    <tableColumn id="9" xr3:uid="{835B5633-5CAB-43F8-9C99-62FBED43ACE2}" name="Delai" dataDxfId="75" dataCellStyle="Milliers"/>
  </tableColumns>
  <tableStyleInfo name="TableStyleMedium1"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DCDCFF"/>
      </a:dk1>
      <a:lt1>
        <a:sysClr val="window" lastClr="000000"/>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8" dT="2024-09-19T10:13:55.93" personId="{8E05945D-ECB8-4C51-B5E2-A14450B9BC6F}" id="{0C269371-95DB-4229-BB2D-516A0F54FF4B}">
    <text xml:space="preserve">Y compris travaux évacuation 9 724 €
</text>
  </threadedComment>
</ThreadedComments>
</file>

<file path=xl/threadedComments/threadedComment2.xml><?xml version="1.0" encoding="utf-8"?>
<ThreadedComments xmlns="http://schemas.microsoft.com/office/spreadsheetml/2018/threadedcomments" xmlns:x="http://schemas.openxmlformats.org/spreadsheetml/2006/main">
  <threadedComment ref="J394" dT="2025-01-07T20:16:25.19" personId="{8E05945D-ECB8-4C51-B5E2-A14450B9BC6F}" id="{C1F10AE9-78EB-4CE7-80A3-C75ADB1851E7}">
    <text>Nuit supplémentaire ajoutée envoyé directement par airbnb. La charge correspond au montant perçu par Hobe. O</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 dockstate="right" visibility="0" width="525" row="6">
    <wetp:webextensionref xmlns:r="http://schemas.openxmlformats.org/officeDocument/2006/relationships" r:id="rId2"/>
  </wetp:taskpane>
</wetp:taskpanes>
</file>

<file path=xl/webextensions/webextension1.xml><?xml version="1.0" encoding="utf-8"?>
<we:webextension xmlns:we="http://schemas.microsoft.com/office/webextensions/webextension/2010/11" id="{A1D3D474-2201-439B-B44B-D79036D6A03D}">
  <we:reference id="wa200005502" version="1.0.0.11" store="fr-FR" storeType="OMEX"/>
  <we:alternateReferences>
    <we:reference id="WA200005502" version="1.0.0.11" store="" storeType="OMEX"/>
  </we:alternateReferences>
  <we:properties>
    <we:property name="docId" value="&quot;UIx5r3NtbictW4HPWnSz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2A70CC55-B0EA-45F1-B862-2FECB8A2CD1E}">
  <we:reference id="wa200005271" version="2.5.4.0" store="fr-FR" storeType="OMEX"/>
  <we:alternateReferences>
    <we:reference id="WA200005271" version="2.5.4.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vmlDrawing" Target="../drawings/vmlDrawing1.v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3.emf"/><Relationship Id="rId12" Type="http://schemas.microsoft.com/office/2017/10/relationships/threadedComment" Target="../threadedComments/threadedComment2.x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3.xml"/><Relationship Id="rId11" Type="http://schemas.openxmlformats.org/officeDocument/2006/relationships/comments" Target="../comments2.xml"/><Relationship Id="rId5" Type="http://schemas.openxmlformats.org/officeDocument/2006/relationships/image" Target="../media/image2.emf"/><Relationship Id="rId10" Type="http://schemas.openxmlformats.org/officeDocument/2006/relationships/table" Target="../tables/table16.xml"/><Relationship Id="rId4" Type="http://schemas.openxmlformats.org/officeDocument/2006/relationships/control" Target="../activeX/activeX2.xml"/><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6.emf"/><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printerSettings" Target="../printerSettings/printerSettings10.bin"/><Relationship Id="rId1" Type="http://schemas.openxmlformats.org/officeDocument/2006/relationships/hyperlink" Target="../../AppData/AppData/Local/AppData/Roaming/Microsoft/LMNP/Synchronisation/" TargetMode="External"/><Relationship Id="rId5" Type="http://schemas.openxmlformats.org/officeDocument/2006/relationships/table" Target="../tables/table21.xml"/><Relationship Id="rId4"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app.guesty.com/api/revenue-analytics/analytics/listings/idLogement/calendar?from=dateDebut&amp;to=dateFin&amp;fields=date+status+note+price" TargetMode="External"/><Relationship Id="rId1" Type="http://schemas.openxmlformats.org/officeDocument/2006/relationships/hyperlink" Target="https://app.guesty.com/api/reservations-reports/owner-portal?smartView=true&amp;columns=source+status+checkIn+checkOut+money.ownerRevenue+money.hostPayout+guest.fullName+guestsCount+numberOfGuests.numberOfAdults+numberOfGuests.numberOfChildren+numberOfGuests.numberOfInfants+listingNickname+listing+integration.platform&amp;filters=%7B%22status%22%3A%7B%22%40in%22%3A%5B%22confirmed%22%2C%22reserved%22%2C%22awaiting_payment%22%5D%7D%7D&amp;skip=0&amp;limit=250&amp;sort=-checkIn&amp;lang=fr-FR&amp;timezone=Europe%2FParis" TargetMode="External"/><Relationship Id="rId5" Type="http://schemas.openxmlformats.org/officeDocument/2006/relationships/table" Target="../tables/table25.xml"/><Relationship Id="rId4" Type="http://schemas.openxmlformats.org/officeDocument/2006/relationships/table" Target="../tables/table2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31207-CF47-4CB8-8F75-DE91E5B27A07}">
  <sheetPr codeName="Feuil11">
    <pageSetUpPr fitToPage="1"/>
  </sheetPr>
  <dimension ref="A1:NC556"/>
  <sheetViews>
    <sheetView showGridLines="0" topLeftCell="A5" zoomScale="70" zoomScaleNormal="70" workbookViewId="0">
      <selection activeCell="A10" sqref="A10"/>
    </sheetView>
  </sheetViews>
  <sheetFormatPr baseColWidth="10" defaultColWidth="11" defaultRowHeight="24"/>
  <cols>
    <col min="1" max="1" width="11" style="34"/>
    <col min="2" max="2" width="11" style="34" customWidth="1"/>
    <col min="3" max="3" width="9.640625" style="34" customWidth="1"/>
    <col min="4" max="4" width="10.2109375" style="34" customWidth="1"/>
    <col min="5" max="5" width="11.2109375" style="34" customWidth="1"/>
    <col min="6" max="6" width="10.78515625" style="34" customWidth="1"/>
    <col min="7" max="7" width="12.0703125" style="34" customWidth="1"/>
    <col min="8" max="8" width="12.35546875" style="35" customWidth="1"/>
    <col min="9" max="9" width="10.42578125" style="36" customWidth="1"/>
    <col min="10" max="10" width="8.92578125" style="34" customWidth="1"/>
    <col min="11" max="11" width="12.0703125" style="34" customWidth="1"/>
    <col min="12" max="12" width="11" style="34"/>
    <col min="13" max="13" width="14.28515625" style="423" customWidth="1"/>
    <col min="14" max="14" width="13.2109375" style="416" customWidth="1"/>
    <col min="15" max="15" width="16.35546875" style="34" customWidth="1"/>
    <col min="16" max="17" width="11" style="34"/>
    <col min="18" max="18" width="14.78515625" style="34" customWidth="1"/>
    <col min="19" max="16384" width="11" style="34"/>
  </cols>
  <sheetData>
    <row r="1" spans="1:367" ht="69.599999999999994" customHeight="1">
      <c r="A1" s="1229" t="s">
        <v>1147</v>
      </c>
      <c r="B1" s="1230"/>
      <c r="C1" s="1230"/>
      <c r="D1" s="1230"/>
      <c r="E1" s="1230"/>
      <c r="F1" s="1230"/>
      <c r="G1" s="1230"/>
      <c r="H1" s="1230"/>
      <c r="I1" s="1230"/>
      <c r="J1" s="1230"/>
      <c r="K1" s="1230"/>
      <c r="L1" s="1230"/>
      <c r="M1" s="928"/>
      <c r="N1" s="34"/>
    </row>
    <row r="2" spans="1:367" s="596" customFormat="1" ht="24" customHeight="1">
      <c r="A2" s="929" t="s">
        <v>0</v>
      </c>
      <c r="B2" s="931" t="s">
        <v>1</v>
      </c>
      <c r="C2" s="931" t="s">
        <v>2</v>
      </c>
      <c r="D2" s="931" t="s">
        <v>3</v>
      </c>
      <c r="E2" s="931" t="s">
        <v>4</v>
      </c>
      <c r="F2" s="931" t="s">
        <v>1186</v>
      </c>
      <c r="G2" s="931" t="s">
        <v>5</v>
      </c>
      <c r="H2" s="932" t="s">
        <v>6</v>
      </c>
      <c r="I2" s="933" t="s">
        <v>7</v>
      </c>
      <c r="J2" s="764" t="s">
        <v>1055</v>
      </c>
      <c r="K2" s="764" t="s">
        <v>1056</v>
      </c>
      <c r="L2" s="34"/>
      <c r="M2" s="34"/>
      <c r="N2" s="34"/>
      <c r="O2" s="34"/>
      <c r="P2" s="34"/>
      <c r="Q2" s="34"/>
      <c r="R2" s="34"/>
      <c r="S2" s="34"/>
      <c r="T2" s="789"/>
      <c r="U2" s="789"/>
      <c r="V2" s="789"/>
      <c r="W2" s="34"/>
      <c r="X2" s="34"/>
      <c r="Y2" s="34"/>
      <c r="Z2" s="34"/>
      <c r="AA2" s="34"/>
      <c r="AB2" s="34"/>
      <c r="AC2" s="34"/>
      <c r="AD2" s="34"/>
      <c r="AE2" s="34"/>
      <c r="AF2" s="790"/>
      <c r="AG2" s="791"/>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790"/>
      <c r="BI2" s="791"/>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790"/>
      <c r="CM2" s="824"/>
      <c r="CN2" s="791"/>
      <c r="CO2" s="34"/>
      <c r="CP2" s="34"/>
      <c r="CQ2" s="34"/>
      <c r="CR2" s="34"/>
      <c r="CS2" s="34"/>
      <c r="CT2" s="34"/>
      <c r="CU2" s="34"/>
      <c r="CV2" s="34"/>
      <c r="CW2" s="34"/>
      <c r="CX2" s="34"/>
      <c r="CY2" s="34"/>
      <c r="CZ2" s="34"/>
      <c r="DA2" s="34"/>
      <c r="DQ2" s="597"/>
      <c r="DR2" s="616"/>
      <c r="DS2" s="616"/>
      <c r="DT2" s="616"/>
      <c r="DU2" s="599"/>
      <c r="EU2" s="597"/>
      <c r="EV2" s="616"/>
      <c r="EW2" s="599"/>
      <c r="EX2" s="597"/>
      <c r="EY2" s="599"/>
      <c r="FZ2" s="597"/>
      <c r="GA2" s="616"/>
      <c r="GB2" s="599"/>
      <c r="HE2" s="597"/>
      <c r="HF2" s="599"/>
      <c r="II2" s="597"/>
      <c r="IJ2" s="616"/>
      <c r="IK2" s="599"/>
      <c r="JN2" s="597"/>
      <c r="JO2" s="616"/>
      <c r="JP2" s="599"/>
      <c r="KR2" s="597"/>
      <c r="KS2" s="616"/>
      <c r="KT2" s="599"/>
      <c r="LW2" s="597"/>
      <c r="LX2" s="597"/>
      <c r="NC2" s="597"/>
    </row>
    <row r="3" spans="1:367" s="596" customFormat="1" ht="24" customHeight="1">
      <c r="A3" s="936" t="s">
        <v>8</v>
      </c>
      <c r="B3" s="937">
        <v>46081</v>
      </c>
      <c r="C3" s="930" t="s">
        <v>3676</v>
      </c>
      <c r="D3" s="938">
        <v>6</v>
      </c>
      <c r="E3" s="939">
        <v>832.99</v>
      </c>
      <c r="F3" s="940" t="s">
        <v>23</v>
      </c>
      <c r="G3" s="941">
        <v>46085</v>
      </c>
      <c r="H3" s="942" t="s">
        <v>4038</v>
      </c>
      <c r="I3" s="943">
        <v>4</v>
      </c>
      <c r="J3" s="944" t="s">
        <v>88</v>
      </c>
      <c r="K3" s="945">
        <v>508.87</v>
      </c>
      <c r="L3" s="34"/>
      <c r="M3" s="789"/>
      <c r="N3" s="34"/>
      <c r="O3" s="946" t="s">
        <v>880</v>
      </c>
      <c r="P3" s="947" t="s">
        <v>881</v>
      </c>
      <c r="Q3" s="948" t="s">
        <v>3743</v>
      </c>
      <c r="R3" s="949" t="s">
        <v>1066</v>
      </c>
      <c r="S3" s="947" t="s">
        <v>1077</v>
      </c>
      <c r="T3" s="789"/>
      <c r="U3" s="950" t="s">
        <v>3763</v>
      </c>
      <c r="V3" s="789"/>
      <c r="W3" s="34"/>
      <c r="X3" s="789"/>
      <c r="Y3" s="34"/>
      <c r="Z3" s="34"/>
      <c r="AA3" s="789"/>
      <c r="AB3" s="34"/>
      <c r="AC3" s="34"/>
      <c r="AD3" s="34"/>
      <c r="AE3" s="789"/>
      <c r="AF3" s="790"/>
      <c r="AG3" s="791"/>
      <c r="AH3" s="789"/>
      <c r="AI3" s="34"/>
      <c r="AJ3" s="34"/>
      <c r="AK3" s="34"/>
      <c r="AL3" s="789"/>
      <c r="AM3" s="34"/>
      <c r="AN3" s="34"/>
      <c r="AO3" s="789"/>
      <c r="AP3" s="34"/>
      <c r="AQ3" s="34"/>
      <c r="AR3" s="34"/>
      <c r="AS3" s="789"/>
      <c r="AT3" s="34"/>
      <c r="AU3" s="34"/>
      <c r="AV3" s="789"/>
      <c r="AW3" s="34"/>
      <c r="AX3" s="34"/>
      <c r="AY3" s="34"/>
      <c r="AZ3" s="789"/>
      <c r="BA3" s="34"/>
      <c r="BB3" s="34"/>
      <c r="BC3" s="789"/>
      <c r="BD3" s="34"/>
      <c r="BE3" s="34"/>
      <c r="BF3" s="34"/>
      <c r="BG3" s="789"/>
      <c r="BH3" s="790"/>
      <c r="BI3" s="791"/>
      <c r="BJ3" s="789"/>
      <c r="BK3" s="34"/>
      <c r="BL3" s="34"/>
      <c r="BM3" s="34"/>
      <c r="BN3" s="789"/>
      <c r="BO3" s="34"/>
      <c r="BP3" s="34"/>
      <c r="BQ3" s="789"/>
      <c r="BR3" s="34"/>
      <c r="BS3" s="34"/>
      <c r="BT3" s="34"/>
      <c r="BU3" s="789"/>
      <c r="BV3" s="34"/>
      <c r="BW3" s="34"/>
      <c r="BX3" s="789"/>
      <c r="BY3" s="34"/>
      <c r="BZ3" s="34"/>
      <c r="CA3" s="34"/>
      <c r="CB3" s="789"/>
      <c r="CC3" s="34"/>
      <c r="CD3" s="34"/>
      <c r="CE3" s="789"/>
      <c r="CF3" s="34"/>
      <c r="CG3" s="34"/>
      <c r="CH3" s="34"/>
      <c r="CI3" s="789"/>
      <c r="CJ3" s="34"/>
      <c r="CK3" s="34"/>
      <c r="CL3" s="823"/>
      <c r="CM3" s="824"/>
      <c r="CN3" s="791"/>
      <c r="CO3" s="34"/>
      <c r="CP3" s="789"/>
      <c r="CQ3" s="34"/>
      <c r="CR3" s="34"/>
      <c r="CS3" s="789"/>
      <c r="CT3" s="34"/>
      <c r="CU3" s="34"/>
      <c r="CV3" s="34"/>
      <c r="CW3" s="789"/>
      <c r="CX3" s="34"/>
      <c r="CY3" s="598"/>
      <c r="CZ3" s="598"/>
      <c r="DA3" s="598"/>
      <c r="DC3" s="598"/>
      <c r="DD3" s="598"/>
      <c r="DE3" s="598"/>
      <c r="DF3" s="598"/>
      <c r="DG3" s="598"/>
      <c r="DH3" s="615"/>
      <c r="DI3" s="616"/>
      <c r="DJ3" s="599"/>
      <c r="DK3" s="598"/>
      <c r="DL3" s="598"/>
      <c r="DM3" s="598"/>
      <c r="DN3" s="598"/>
      <c r="DO3" s="598"/>
      <c r="DQ3" s="615"/>
      <c r="DR3" s="599"/>
      <c r="DS3" s="598"/>
      <c r="DT3" s="598"/>
      <c r="DU3" s="598"/>
      <c r="DV3" s="598"/>
      <c r="DX3" s="598"/>
      <c r="DY3" s="598"/>
      <c r="DZ3" s="598"/>
      <c r="EA3" s="598"/>
      <c r="EB3" s="598"/>
      <c r="EC3" s="598"/>
      <c r="EE3" s="598"/>
      <c r="EF3" s="598"/>
      <c r="EG3" s="598"/>
      <c r="EH3" s="598"/>
      <c r="EI3" s="598"/>
      <c r="EJ3" s="598"/>
      <c r="EL3" s="598"/>
      <c r="EM3" s="615"/>
      <c r="EN3" s="599"/>
      <c r="EO3" s="598"/>
      <c r="EP3" s="598"/>
      <c r="EQ3" s="598"/>
      <c r="ES3" s="598"/>
      <c r="ET3" s="598"/>
      <c r="EU3" s="615"/>
      <c r="EV3" s="616"/>
      <c r="EW3" s="599"/>
      <c r="EX3" s="598"/>
      <c r="EZ3" s="598"/>
      <c r="FA3" s="598"/>
      <c r="FB3" s="598"/>
      <c r="FC3" s="598"/>
      <c r="FD3" s="598"/>
      <c r="FE3" s="598"/>
      <c r="FG3" s="598"/>
      <c r="FH3" s="598"/>
      <c r="FI3" s="598"/>
      <c r="FJ3" s="598"/>
      <c r="FK3" s="598"/>
      <c r="FL3" s="598"/>
      <c r="FN3" s="598"/>
      <c r="FO3" s="598"/>
      <c r="FP3" s="598"/>
      <c r="FQ3" s="598"/>
      <c r="FR3" s="615"/>
      <c r="FS3" s="599"/>
      <c r="FU3" s="598"/>
      <c r="FV3" s="598"/>
      <c r="FW3" s="598"/>
      <c r="FX3" s="598"/>
      <c r="FY3" s="598"/>
      <c r="FZ3" s="615"/>
      <c r="GA3" s="599"/>
      <c r="GB3" s="598"/>
      <c r="GC3" s="598"/>
      <c r="GD3" s="598"/>
      <c r="GE3" s="598"/>
      <c r="GF3" s="598"/>
      <c r="GG3" s="598"/>
      <c r="GI3" s="598"/>
      <c r="GJ3" s="598"/>
      <c r="GK3" s="598"/>
      <c r="GL3" s="598"/>
      <c r="GM3" s="598"/>
      <c r="GN3" s="598"/>
      <c r="GP3" s="598"/>
      <c r="GQ3" s="598"/>
      <c r="GR3" s="598"/>
      <c r="GS3" s="598"/>
      <c r="GT3" s="598"/>
      <c r="GU3" s="598"/>
      <c r="GV3" s="597"/>
      <c r="GW3" s="599"/>
      <c r="GX3" s="598"/>
      <c r="GY3" s="598"/>
      <c r="GZ3" s="598"/>
      <c r="HA3" s="598"/>
      <c r="HB3" s="598"/>
      <c r="HD3" s="598"/>
      <c r="HE3" s="615"/>
      <c r="HF3" s="599"/>
      <c r="HG3" s="598"/>
      <c r="HH3" s="598"/>
      <c r="HI3" s="598"/>
      <c r="HK3" s="598"/>
      <c r="HL3" s="598"/>
      <c r="HM3" s="598"/>
      <c r="HN3" s="598"/>
      <c r="HO3" s="598"/>
      <c r="HP3" s="598"/>
      <c r="HR3" s="598"/>
      <c r="HS3" s="598"/>
      <c r="HT3" s="598"/>
      <c r="HU3" s="598"/>
      <c r="HV3" s="598"/>
      <c r="HW3" s="598"/>
      <c r="HY3" s="598"/>
      <c r="HZ3" s="598"/>
      <c r="IA3" s="615"/>
      <c r="IB3" s="599"/>
      <c r="IC3" s="598"/>
      <c r="ID3" s="598"/>
      <c r="IF3" s="598"/>
      <c r="IG3" s="598"/>
      <c r="IH3" s="598"/>
      <c r="II3" s="615"/>
      <c r="IJ3" s="616"/>
      <c r="IK3" s="599"/>
      <c r="IM3" s="598"/>
      <c r="IN3" s="598"/>
      <c r="IO3" s="598"/>
      <c r="IP3" s="598"/>
      <c r="IQ3" s="598"/>
      <c r="IR3" s="598"/>
      <c r="IT3" s="598"/>
      <c r="IU3" s="598"/>
      <c r="IV3" s="598"/>
      <c r="IW3" s="598"/>
      <c r="IX3" s="598"/>
      <c r="IY3" s="598"/>
      <c r="JA3" s="598"/>
      <c r="JB3" s="598"/>
      <c r="JC3" s="598"/>
      <c r="JD3" s="598"/>
      <c r="JE3" s="615"/>
      <c r="JF3" s="616"/>
      <c r="JG3" s="599"/>
      <c r="JH3" s="598"/>
      <c r="JI3" s="598"/>
      <c r="JJ3" s="598"/>
      <c r="JK3" s="598"/>
      <c r="JL3" s="598"/>
      <c r="JM3" s="598"/>
      <c r="JN3" s="597"/>
      <c r="JO3" s="599"/>
      <c r="JP3" s="598"/>
      <c r="JQ3" s="598"/>
      <c r="JR3" s="598"/>
      <c r="JS3" s="598"/>
      <c r="JT3" s="598"/>
      <c r="JV3" s="598"/>
      <c r="JW3" s="598"/>
      <c r="JX3" s="598"/>
      <c r="JY3" s="598"/>
      <c r="JZ3" s="598"/>
      <c r="KA3" s="598"/>
      <c r="KC3" s="598"/>
      <c r="KD3" s="598"/>
      <c r="KE3" s="598"/>
      <c r="KF3" s="598"/>
      <c r="KG3" s="598"/>
      <c r="KH3" s="598"/>
      <c r="KJ3" s="598"/>
      <c r="KK3" s="598"/>
      <c r="KL3" s="598"/>
      <c r="KM3" s="598"/>
      <c r="KN3" s="598"/>
      <c r="KO3" s="598"/>
      <c r="KQ3" s="598"/>
      <c r="KR3" s="615"/>
      <c r="KS3" s="616"/>
      <c r="KT3" s="599"/>
      <c r="KU3" s="598"/>
      <c r="KV3" s="598"/>
      <c r="KX3" s="598"/>
      <c r="KY3" s="598"/>
      <c r="KZ3" s="598"/>
      <c r="LA3" s="598"/>
      <c r="LB3" s="598"/>
      <c r="LC3" s="598"/>
      <c r="LE3" s="598"/>
      <c r="LF3" s="598"/>
      <c r="LG3" s="598"/>
      <c r="LH3" s="598"/>
      <c r="LI3" s="598"/>
      <c r="LJ3" s="598"/>
      <c r="LL3" s="598"/>
      <c r="LM3" s="598"/>
      <c r="LN3" s="615"/>
      <c r="LO3" s="598"/>
      <c r="LP3" s="598"/>
      <c r="LQ3" s="598"/>
      <c r="LS3" s="598"/>
      <c r="LT3" s="598"/>
      <c r="LU3" s="598"/>
      <c r="LV3" s="598"/>
      <c r="LW3" s="615"/>
      <c r="LX3" s="598"/>
      <c r="LZ3" s="598"/>
      <c r="MA3" s="598"/>
      <c r="MB3" s="598"/>
      <c r="MC3" s="598"/>
      <c r="MD3" s="598"/>
      <c r="ME3" s="598"/>
      <c r="MG3" s="598"/>
      <c r="MH3" s="598"/>
      <c r="MI3" s="598"/>
      <c r="MJ3" s="598"/>
      <c r="MK3" s="598"/>
      <c r="ML3" s="598"/>
      <c r="MN3" s="598"/>
      <c r="MO3" s="598"/>
      <c r="MP3" s="598"/>
      <c r="MQ3" s="598"/>
      <c r="MR3" s="598"/>
      <c r="MS3" s="598"/>
      <c r="MT3" s="597"/>
      <c r="MV3" s="598"/>
      <c r="MY3" s="598"/>
      <c r="NC3" s="597"/>
    </row>
    <row r="4" spans="1:367" s="596" customFormat="1" ht="24" customHeight="1">
      <c r="A4" s="936" t="s">
        <v>10</v>
      </c>
      <c r="B4" s="951">
        <v>46081</v>
      </c>
      <c r="C4" s="952" t="s">
        <v>3935</v>
      </c>
      <c r="D4" s="953">
        <v>2</v>
      </c>
      <c r="E4" s="954">
        <v>203.18</v>
      </c>
      <c r="F4" s="955" t="s">
        <v>88</v>
      </c>
      <c r="G4" s="941">
        <v>46081</v>
      </c>
      <c r="H4" s="942" t="s">
        <v>3720</v>
      </c>
      <c r="I4" s="956">
        <v>10</v>
      </c>
      <c r="J4" s="944" t="s">
        <v>88</v>
      </c>
      <c r="K4" s="945">
        <v>1247.82</v>
      </c>
      <c r="L4" s="34"/>
      <c r="M4" s="789"/>
      <c r="N4" s="34"/>
      <c r="O4" s="398">
        <v>46080</v>
      </c>
      <c r="P4" s="402">
        <v>114397.26</v>
      </c>
      <c r="Q4" s="400">
        <v>138736.82</v>
      </c>
      <c r="R4" s="785">
        <v>43489.25</v>
      </c>
      <c r="S4" s="403">
        <v>46570.05</v>
      </c>
      <c r="T4" s="789"/>
      <c r="U4" s="961" t="s">
        <v>62</v>
      </c>
      <c r="V4" s="962" t="s">
        <v>63</v>
      </c>
      <c r="W4" s="34"/>
      <c r="X4" s="789"/>
      <c r="Y4" s="34"/>
      <c r="Z4" s="34"/>
      <c r="AA4" s="34"/>
      <c r="AB4" s="34"/>
      <c r="AC4" s="34"/>
      <c r="AD4" s="34"/>
      <c r="AE4" s="34"/>
      <c r="AF4" s="34"/>
      <c r="AG4" s="34"/>
      <c r="AH4" s="34"/>
      <c r="AI4" s="34"/>
      <c r="AJ4" s="34"/>
      <c r="AK4" s="34"/>
      <c r="AL4" s="34"/>
      <c r="AM4" s="34"/>
      <c r="AN4" s="34"/>
      <c r="AO4" s="34"/>
      <c r="AP4" s="34"/>
      <c r="AQ4" s="34"/>
      <c r="AR4" s="34"/>
      <c r="AS4" s="789"/>
      <c r="AT4" s="34"/>
      <c r="AU4" s="34"/>
      <c r="AV4" s="789"/>
      <c r="AW4" s="34"/>
      <c r="AX4" s="34"/>
      <c r="AY4" s="34"/>
      <c r="AZ4" s="789"/>
      <c r="BA4" s="34"/>
      <c r="BB4" s="34"/>
      <c r="BC4" s="789"/>
      <c r="BD4" s="34"/>
      <c r="BE4" s="34"/>
      <c r="BF4" s="34"/>
      <c r="BG4" s="789"/>
      <c r="BH4" s="790"/>
      <c r="BI4" s="791"/>
      <c r="BJ4" s="789"/>
      <c r="BK4" s="34"/>
      <c r="BL4" s="34"/>
      <c r="BM4" s="34"/>
      <c r="BN4" s="789"/>
      <c r="BO4" s="34"/>
      <c r="BP4" s="34"/>
      <c r="BQ4" s="789"/>
      <c r="BR4" s="34"/>
      <c r="BS4" s="34"/>
      <c r="BT4" s="34"/>
      <c r="BU4" s="789"/>
      <c r="BV4" s="34"/>
      <c r="BW4" s="34"/>
      <c r="BX4" s="789"/>
      <c r="BY4" s="34"/>
      <c r="BZ4" s="34"/>
      <c r="CA4" s="34"/>
      <c r="CB4" s="789"/>
      <c r="CC4" s="34"/>
      <c r="CD4" s="34"/>
      <c r="CE4" s="789"/>
      <c r="CF4" s="34"/>
      <c r="CG4" s="34"/>
      <c r="CH4" s="34"/>
      <c r="CI4" s="789"/>
      <c r="CJ4" s="34"/>
      <c r="CK4" s="34"/>
      <c r="CL4" s="823"/>
      <c r="CM4" s="824"/>
      <c r="CN4" s="791"/>
      <c r="CO4" s="34"/>
      <c r="CP4" s="789"/>
      <c r="CQ4" s="34"/>
      <c r="CR4" s="34"/>
      <c r="CS4" s="789"/>
      <c r="CT4" s="34"/>
      <c r="CU4" s="34"/>
      <c r="CV4" s="34"/>
      <c r="CW4" s="789"/>
      <c r="CX4" s="34"/>
      <c r="CY4" s="598"/>
      <c r="CZ4" s="598"/>
      <c r="DA4" s="598"/>
      <c r="DC4" s="598"/>
      <c r="DD4" s="598"/>
      <c r="DE4" s="598"/>
      <c r="DF4" s="598"/>
      <c r="DG4" s="598"/>
      <c r="DH4" s="615"/>
      <c r="DI4" s="616"/>
      <c r="DJ4" s="599"/>
      <c r="DK4" s="598"/>
      <c r="DL4" s="598"/>
      <c r="DM4" s="598"/>
      <c r="DN4" s="598"/>
      <c r="DO4" s="598"/>
      <c r="DQ4" s="615"/>
      <c r="DR4" s="599"/>
      <c r="DS4" s="598"/>
      <c r="DT4" s="598"/>
      <c r="DU4" s="598"/>
      <c r="DV4" s="598"/>
      <c r="DX4" s="598"/>
      <c r="DY4" s="598"/>
      <c r="DZ4" s="598"/>
      <c r="EA4" s="598"/>
      <c r="EB4" s="598"/>
      <c r="EC4" s="598"/>
      <c r="EE4" s="598"/>
      <c r="EF4" s="598"/>
      <c r="EG4" s="598"/>
      <c r="EH4" s="598"/>
      <c r="EI4" s="598"/>
      <c r="EJ4" s="598"/>
      <c r="EL4" s="598"/>
      <c r="EM4" s="615"/>
      <c r="EN4" s="599"/>
      <c r="EO4" s="598"/>
      <c r="EP4" s="598"/>
      <c r="EQ4" s="598"/>
      <c r="ES4" s="598"/>
      <c r="ET4" s="598"/>
      <c r="EU4" s="615"/>
      <c r="EV4" s="616"/>
      <c r="EW4" s="599"/>
      <c r="EX4" s="598"/>
      <c r="EZ4" s="598"/>
      <c r="FA4" s="598"/>
      <c r="FB4" s="598"/>
      <c r="FC4" s="598"/>
      <c r="FD4" s="598"/>
      <c r="FE4" s="598"/>
      <c r="FG4" s="598"/>
      <c r="FH4" s="598"/>
      <c r="FI4" s="598"/>
      <c r="FJ4" s="598"/>
      <c r="FK4" s="598"/>
      <c r="FL4" s="598"/>
      <c r="FN4" s="598"/>
      <c r="FO4" s="598"/>
      <c r="FP4" s="598"/>
      <c r="FQ4" s="598"/>
      <c r="FR4" s="615"/>
      <c r="FS4" s="599"/>
      <c r="FU4" s="598"/>
      <c r="FV4" s="598"/>
      <c r="FW4" s="598"/>
      <c r="FX4" s="598"/>
      <c r="FY4" s="598"/>
      <c r="FZ4" s="615"/>
      <c r="GA4" s="599"/>
      <c r="GB4" s="598"/>
      <c r="GC4" s="598"/>
      <c r="GD4" s="598"/>
      <c r="GE4" s="598"/>
      <c r="GF4" s="598"/>
      <c r="GG4" s="598"/>
      <c r="GI4" s="598"/>
      <c r="GJ4" s="598"/>
      <c r="GK4" s="598"/>
      <c r="GL4" s="598"/>
      <c r="GM4" s="598"/>
      <c r="GN4" s="598"/>
      <c r="GP4" s="598"/>
      <c r="GQ4" s="598"/>
      <c r="GR4" s="598"/>
      <c r="GS4" s="598"/>
      <c r="GT4" s="598"/>
      <c r="GU4" s="598"/>
      <c r="GV4" s="597"/>
      <c r="GW4" s="599"/>
      <c r="GX4" s="598"/>
      <c r="GY4" s="598"/>
      <c r="GZ4" s="598"/>
      <c r="HA4" s="598"/>
      <c r="HB4" s="598"/>
      <c r="HD4" s="598"/>
      <c r="HE4" s="615"/>
      <c r="HF4" s="599"/>
      <c r="HG4" s="598"/>
      <c r="HH4" s="598"/>
      <c r="HI4" s="598"/>
      <c r="HK4" s="598"/>
      <c r="HL4" s="598"/>
      <c r="HM4" s="598"/>
      <c r="HN4" s="598"/>
      <c r="HO4" s="598"/>
      <c r="HP4" s="598"/>
      <c r="HR4" s="598"/>
      <c r="HS4" s="598"/>
      <c r="HT4" s="598"/>
      <c r="HU4" s="598"/>
      <c r="HV4" s="598"/>
      <c r="HW4" s="598"/>
      <c r="HY4" s="598"/>
      <c r="HZ4" s="598"/>
      <c r="IA4" s="615"/>
      <c r="IB4" s="599"/>
      <c r="IC4" s="598"/>
      <c r="ID4" s="598"/>
      <c r="IF4" s="598"/>
      <c r="IG4" s="598"/>
      <c r="IH4" s="598"/>
      <c r="II4" s="615"/>
      <c r="IJ4" s="616"/>
      <c r="IK4" s="599"/>
      <c r="IM4" s="598"/>
      <c r="IN4" s="598"/>
      <c r="IO4" s="598"/>
      <c r="IP4" s="598"/>
      <c r="IQ4" s="598"/>
      <c r="IR4" s="598"/>
      <c r="IT4" s="598"/>
      <c r="IU4" s="598"/>
      <c r="IV4" s="598"/>
      <c r="IW4" s="598"/>
      <c r="IX4" s="598"/>
      <c r="IY4" s="598"/>
      <c r="JA4" s="598"/>
      <c r="JB4" s="598"/>
      <c r="JC4" s="598"/>
      <c r="JD4" s="598"/>
      <c r="JE4" s="615"/>
      <c r="JF4" s="616"/>
      <c r="JG4" s="599"/>
      <c r="JH4" s="598"/>
      <c r="JI4" s="598"/>
      <c r="JJ4" s="598"/>
      <c r="JK4" s="598"/>
      <c r="JL4" s="598"/>
      <c r="JM4" s="598"/>
      <c r="JN4" s="597"/>
      <c r="JO4" s="599"/>
      <c r="JP4" s="598"/>
      <c r="JQ4" s="598"/>
      <c r="JR4" s="598"/>
      <c r="JS4" s="598"/>
      <c r="JT4" s="598"/>
      <c r="JV4" s="598"/>
      <c r="JW4" s="598"/>
      <c r="JX4" s="598"/>
      <c r="JY4" s="598"/>
      <c r="JZ4" s="598"/>
      <c r="KA4" s="598"/>
      <c r="KC4" s="598"/>
      <c r="KD4" s="598"/>
      <c r="KE4" s="598"/>
      <c r="KF4" s="598"/>
      <c r="KG4" s="598"/>
      <c r="KH4" s="598"/>
      <c r="KJ4" s="598"/>
      <c r="KK4" s="598"/>
      <c r="KL4" s="598"/>
      <c r="KM4" s="598"/>
      <c r="KN4" s="598"/>
      <c r="KO4" s="598"/>
      <c r="KQ4" s="598"/>
      <c r="KR4" s="615"/>
      <c r="KS4" s="616"/>
      <c r="KT4" s="599"/>
      <c r="KU4" s="598"/>
      <c r="KV4" s="598"/>
      <c r="KX4" s="598"/>
      <c r="KY4" s="598"/>
      <c r="KZ4" s="598"/>
      <c r="LA4" s="598"/>
      <c r="LB4" s="598"/>
      <c r="LC4" s="598"/>
      <c r="LE4" s="598"/>
      <c r="LF4" s="598"/>
      <c r="LG4" s="598"/>
      <c r="LH4" s="598"/>
      <c r="LI4" s="598"/>
      <c r="LJ4" s="598"/>
      <c r="LL4" s="598"/>
      <c r="LM4" s="598"/>
      <c r="LN4" s="615"/>
      <c r="LO4" s="598"/>
      <c r="LP4" s="598"/>
      <c r="LQ4" s="598"/>
      <c r="LS4" s="598"/>
      <c r="LT4" s="598"/>
      <c r="LU4" s="598"/>
      <c r="LV4" s="598"/>
      <c r="LW4" s="615"/>
      <c r="LX4" s="598"/>
      <c r="LZ4" s="598"/>
      <c r="MA4" s="598"/>
      <c r="MB4" s="598"/>
      <c r="MC4" s="598"/>
      <c r="MD4" s="598"/>
      <c r="ME4" s="598"/>
      <c r="MG4" s="598"/>
      <c r="MH4" s="598"/>
      <c r="MI4" s="598"/>
      <c r="MJ4" s="598"/>
      <c r="MK4" s="598"/>
      <c r="ML4" s="598"/>
      <c r="MN4" s="598"/>
      <c r="MO4" s="598"/>
      <c r="MP4" s="598"/>
      <c r="MQ4" s="598"/>
      <c r="MR4" s="598"/>
      <c r="MS4" s="598"/>
      <c r="MT4" s="597"/>
      <c r="MV4" s="598"/>
      <c r="MY4" s="598"/>
      <c r="NC4" s="597"/>
    </row>
    <row r="5" spans="1:367" s="596" customFormat="1" ht="24" customHeight="1">
      <c r="A5" s="936" t="s">
        <v>15</v>
      </c>
      <c r="B5" s="937">
        <v>46172</v>
      </c>
      <c r="C5" s="964" t="s">
        <v>3685</v>
      </c>
      <c r="D5" s="938">
        <v>142</v>
      </c>
      <c r="E5" s="965">
        <v>9050.76</v>
      </c>
      <c r="F5" s="966" t="s">
        <v>88</v>
      </c>
      <c r="G5" s="941">
        <v>46174</v>
      </c>
      <c r="H5" s="967" t="s">
        <v>3741</v>
      </c>
      <c r="I5" s="943">
        <v>6</v>
      </c>
      <c r="J5" s="944" t="s">
        <v>3733</v>
      </c>
      <c r="K5" s="945">
        <v>600</v>
      </c>
      <c r="L5" s="34"/>
      <c r="M5" s="789"/>
      <c r="N5" s="34"/>
      <c r="O5" s="398">
        <v>46079</v>
      </c>
      <c r="P5" s="402">
        <v>114407.67</v>
      </c>
      <c r="Q5" s="400">
        <v>138740.42000000001</v>
      </c>
      <c r="R5" s="785">
        <v>42983.68</v>
      </c>
      <c r="S5" s="403">
        <v>46570.05</v>
      </c>
      <c r="T5" s="789"/>
      <c r="U5" s="968" t="s">
        <v>8</v>
      </c>
      <c r="V5" s="969">
        <v>46081</v>
      </c>
      <c r="W5" s="34"/>
      <c r="X5" s="789"/>
      <c r="Y5" s="34"/>
      <c r="Z5" s="34"/>
      <c r="AA5" s="34"/>
      <c r="AB5" s="34"/>
      <c r="AC5" s="34"/>
      <c r="AD5" s="34"/>
      <c r="AE5" s="34"/>
      <c r="AF5" s="34"/>
      <c r="AG5" s="34"/>
      <c r="AH5" s="34"/>
      <c r="AI5" s="34"/>
      <c r="AJ5" s="34"/>
      <c r="AK5" s="34"/>
      <c r="AL5" s="34"/>
      <c r="AM5" s="34"/>
      <c r="AN5" s="34"/>
      <c r="AO5" s="34"/>
      <c r="AP5" s="34"/>
      <c r="AQ5" s="34"/>
      <c r="AR5" s="34"/>
      <c r="AS5" s="789"/>
      <c r="AT5" s="34"/>
      <c r="AU5" s="34"/>
      <c r="AV5" s="789"/>
      <c r="AW5" s="34"/>
      <c r="AX5" s="34"/>
      <c r="AY5" s="34"/>
      <c r="AZ5" s="789"/>
      <c r="BA5" s="34"/>
      <c r="BB5" s="34"/>
      <c r="BC5" s="789"/>
      <c r="BD5" s="34"/>
      <c r="BE5" s="34"/>
      <c r="BF5" s="34"/>
      <c r="BG5" s="789"/>
      <c r="BH5" s="790"/>
      <c r="BI5" s="791"/>
      <c r="BJ5" s="789"/>
      <c r="BK5" s="34"/>
      <c r="BL5" s="34"/>
      <c r="BM5" s="34"/>
      <c r="BN5" s="789"/>
      <c r="BO5" s="34"/>
      <c r="BP5" s="34"/>
      <c r="BQ5" s="789"/>
      <c r="BR5" s="34"/>
      <c r="BS5" s="34"/>
      <c r="BT5" s="34"/>
      <c r="BU5" s="789"/>
      <c r="BV5" s="34"/>
      <c r="BW5" s="34"/>
      <c r="BX5" s="789"/>
      <c r="BY5" s="34"/>
      <c r="BZ5" s="34"/>
      <c r="CA5" s="34"/>
      <c r="CB5" s="789"/>
      <c r="CC5" s="34"/>
      <c r="CD5" s="34"/>
      <c r="CE5" s="789"/>
      <c r="CF5" s="34"/>
      <c r="CG5" s="34"/>
      <c r="CH5" s="34"/>
      <c r="CI5" s="789"/>
      <c r="CJ5" s="34"/>
      <c r="CK5" s="34"/>
      <c r="CL5" s="823"/>
      <c r="CM5" s="824"/>
      <c r="CN5" s="791"/>
      <c r="CO5" s="34"/>
      <c r="CP5" s="789"/>
      <c r="CQ5" s="34"/>
      <c r="CR5" s="34"/>
      <c r="CS5" s="789"/>
      <c r="CT5" s="34"/>
      <c r="CU5" s="34"/>
      <c r="CV5" s="34"/>
      <c r="CW5" s="789"/>
      <c r="CX5" s="34"/>
      <c r="CY5" s="598"/>
      <c r="CZ5" s="598"/>
      <c r="DA5" s="598"/>
      <c r="DC5" s="598"/>
      <c r="DD5" s="598"/>
      <c r="DE5" s="598"/>
      <c r="DF5" s="598"/>
      <c r="DG5" s="598"/>
      <c r="DH5" s="615"/>
      <c r="DI5" s="616"/>
      <c r="DJ5" s="599"/>
      <c r="DK5" s="598"/>
      <c r="DL5" s="598"/>
      <c r="DM5" s="598"/>
      <c r="DN5" s="598"/>
      <c r="DO5" s="598"/>
      <c r="DQ5" s="615"/>
      <c r="DR5" s="599"/>
      <c r="DS5" s="598"/>
      <c r="DT5" s="598"/>
      <c r="DU5" s="598"/>
      <c r="DV5" s="598"/>
      <c r="DX5" s="598"/>
      <c r="DY5" s="598"/>
      <c r="DZ5" s="598"/>
      <c r="EA5" s="598"/>
      <c r="EB5" s="598"/>
      <c r="EC5" s="598"/>
      <c r="EE5" s="598"/>
      <c r="EF5" s="598"/>
      <c r="EG5" s="598"/>
      <c r="EH5" s="598"/>
      <c r="EI5" s="598"/>
      <c r="EJ5" s="598"/>
      <c r="EL5" s="598"/>
      <c r="EM5" s="615"/>
      <c r="EN5" s="599"/>
      <c r="EO5" s="598"/>
      <c r="EP5" s="598"/>
      <c r="EQ5" s="598"/>
      <c r="ES5" s="598"/>
      <c r="ET5" s="598"/>
      <c r="EU5" s="615"/>
      <c r="EV5" s="616"/>
      <c r="EW5" s="599"/>
      <c r="EX5" s="598"/>
      <c r="EZ5" s="598"/>
      <c r="FA5" s="598"/>
      <c r="FB5" s="598"/>
      <c r="FC5" s="598"/>
      <c r="FD5" s="598"/>
      <c r="FE5" s="598"/>
      <c r="FG5" s="598"/>
      <c r="FH5" s="598"/>
      <c r="FI5" s="598"/>
      <c r="FJ5" s="598"/>
      <c r="FK5" s="598"/>
      <c r="FL5" s="598"/>
      <c r="FN5" s="598"/>
      <c r="FO5" s="598"/>
      <c r="FP5" s="598"/>
      <c r="FQ5" s="598"/>
      <c r="FR5" s="615"/>
      <c r="FS5" s="599"/>
      <c r="FU5" s="598"/>
      <c r="FV5" s="598"/>
      <c r="FW5" s="598"/>
      <c r="FX5" s="598"/>
      <c r="FY5" s="598"/>
      <c r="FZ5" s="615"/>
      <c r="GA5" s="599"/>
      <c r="GB5" s="598"/>
      <c r="GC5" s="598"/>
      <c r="GD5" s="598"/>
      <c r="GE5" s="598"/>
      <c r="GF5" s="598"/>
      <c r="GG5" s="598"/>
      <c r="GI5" s="598"/>
      <c r="GJ5" s="598"/>
      <c r="GK5" s="598"/>
      <c r="GL5" s="598"/>
      <c r="GM5" s="598"/>
      <c r="GN5" s="598"/>
      <c r="GP5" s="598"/>
      <c r="GQ5" s="598"/>
      <c r="GR5" s="598"/>
      <c r="GS5" s="598"/>
      <c r="GT5" s="598"/>
      <c r="GU5" s="598"/>
      <c r="GV5" s="597"/>
      <c r="GW5" s="599"/>
      <c r="GX5" s="598"/>
      <c r="GY5" s="598"/>
      <c r="GZ5" s="598"/>
      <c r="HA5" s="598"/>
      <c r="HB5" s="598"/>
      <c r="HD5" s="598"/>
      <c r="HE5" s="615"/>
      <c r="HF5" s="599"/>
      <c r="HG5" s="598"/>
      <c r="HH5" s="598"/>
      <c r="HI5" s="598"/>
      <c r="HK5" s="598"/>
      <c r="HL5" s="598"/>
      <c r="HM5" s="598"/>
      <c r="HN5" s="598"/>
      <c r="HO5" s="598"/>
      <c r="HP5" s="598"/>
      <c r="HR5" s="598"/>
      <c r="HS5" s="598"/>
      <c r="HT5" s="598"/>
      <c r="HU5" s="598"/>
      <c r="HV5" s="598"/>
      <c r="HW5" s="598"/>
      <c r="HY5" s="598"/>
      <c r="HZ5" s="598"/>
      <c r="IA5" s="615"/>
      <c r="IB5" s="599"/>
      <c r="IC5" s="598"/>
      <c r="ID5" s="598"/>
      <c r="IF5" s="598"/>
      <c r="IG5" s="598"/>
      <c r="IH5" s="598"/>
      <c r="II5" s="615"/>
      <c r="IJ5" s="616"/>
      <c r="IK5" s="599"/>
      <c r="IM5" s="598"/>
      <c r="IN5" s="598"/>
      <c r="IO5" s="598"/>
      <c r="IP5" s="598"/>
      <c r="IQ5" s="598"/>
      <c r="IR5" s="598"/>
      <c r="IT5" s="598"/>
      <c r="IU5" s="598"/>
      <c r="IV5" s="598"/>
      <c r="IW5" s="598"/>
      <c r="IX5" s="598"/>
      <c r="IY5" s="598"/>
      <c r="JA5" s="598"/>
      <c r="JB5" s="598"/>
      <c r="JC5" s="598"/>
      <c r="JD5" s="598"/>
      <c r="JE5" s="615"/>
      <c r="JF5" s="616"/>
      <c r="JG5" s="599"/>
      <c r="JH5" s="598"/>
      <c r="JI5" s="598"/>
      <c r="JJ5" s="598"/>
      <c r="JK5" s="598"/>
      <c r="JL5" s="598"/>
      <c r="JM5" s="598"/>
      <c r="JN5" s="597"/>
      <c r="JO5" s="599"/>
      <c r="JP5" s="598"/>
      <c r="JQ5" s="598"/>
      <c r="JR5" s="598"/>
      <c r="JS5" s="598"/>
      <c r="JT5" s="598"/>
      <c r="JV5" s="598"/>
      <c r="JW5" s="598"/>
      <c r="JX5" s="598"/>
      <c r="JY5" s="598"/>
      <c r="JZ5" s="598"/>
      <c r="KA5" s="598"/>
      <c r="KC5" s="598"/>
      <c r="KD5" s="598"/>
      <c r="KE5" s="598"/>
      <c r="KF5" s="598"/>
      <c r="KG5" s="598"/>
      <c r="KH5" s="598"/>
      <c r="KJ5" s="598"/>
      <c r="KK5" s="598"/>
      <c r="KL5" s="598"/>
      <c r="KM5" s="598"/>
      <c r="KN5" s="598"/>
      <c r="KO5" s="598"/>
      <c r="KQ5" s="598"/>
      <c r="KR5" s="615"/>
      <c r="KS5" s="616"/>
      <c r="KT5" s="599"/>
      <c r="KU5" s="598"/>
      <c r="KV5" s="598"/>
      <c r="KX5" s="598"/>
      <c r="KY5" s="598"/>
      <c r="KZ5" s="598"/>
      <c r="LA5" s="598"/>
      <c r="LB5" s="598"/>
      <c r="LC5" s="598"/>
      <c r="LE5" s="598"/>
      <c r="LF5" s="598"/>
      <c r="LG5" s="598"/>
      <c r="LH5" s="598"/>
      <c r="LI5" s="598"/>
      <c r="LJ5" s="598"/>
      <c r="LL5" s="598"/>
      <c r="LM5" s="598"/>
      <c r="LN5" s="615"/>
      <c r="LO5" s="598"/>
      <c r="LP5" s="598"/>
      <c r="LQ5" s="598"/>
      <c r="LS5" s="598"/>
      <c r="LT5" s="598"/>
      <c r="LU5" s="598"/>
      <c r="LV5" s="598"/>
      <c r="LW5" s="615"/>
      <c r="LX5" s="598"/>
      <c r="LZ5" s="598"/>
      <c r="MA5" s="598"/>
      <c r="MB5" s="598"/>
      <c r="MC5" s="598"/>
      <c r="MD5" s="598"/>
      <c r="ME5" s="598"/>
      <c r="MG5" s="598"/>
      <c r="MH5" s="598"/>
      <c r="MI5" s="598"/>
      <c r="MJ5" s="598"/>
      <c r="MK5" s="598"/>
      <c r="ML5" s="598"/>
      <c r="MN5" s="598"/>
      <c r="MO5" s="598"/>
      <c r="MP5" s="598"/>
      <c r="MQ5" s="598"/>
      <c r="MR5" s="598"/>
      <c r="MS5" s="598"/>
      <c r="MT5" s="597"/>
      <c r="MV5" s="598"/>
      <c r="MY5" s="598"/>
      <c r="NC5" s="597"/>
    </row>
    <row r="6" spans="1:367" s="596" customFormat="1" ht="24" customHeight="1">
      <c r="A6" s="936" t="s">
        <v>3764</v>
      </c>
      <c r="B6" s="937"/>
      <c r="C6" s="964"/>
      <c r="D6" s="938"/>
      <c r="E6" s="965"/>
      <c r="F6" s="966"/>
      <c r="G6" s="941">
        <v>46140</v>
      </c>
      <c r="H6" s="967" t="s">
        <v>3790</v>
      </c>
      <c r="I6" s="943">
        <v>5</v>
      </c>
      <c r="J6" s="944" t="s">
        <v>3733</v>
      </c>
      <c r="K6" s="945">
        <v>600</v>
      </c>
      <c r="L6" s="34"/>
      <c r="M6" s="789"/>
      <c r="N6" s="34"/>
      <c r="O6" s="398">
        <v>46078</v>
      </c>
      <c r="P6" s="402">
        <v>114422.72</v>
      </c>
      <c r="Q6" s="400">
        <v>138744.01</v>
      </c>
      <c r="R6" s="785">
        <v>42739.51</v>
      </c>
      <c r="S6" s="403">
        <v>45876.73</v>
      </c>
      <c r="T6" s="789"/>
      <c r="U6" s="968" t="s">
        <v>10</v>
      </c>
      <c r="V6" s="969">
        <v>46081</v>
      </c>
      <c r="W6" s="34"/>
      <c r="X6" s="789"/>
      <c r="Y6" s="34"/>
      <c r="Z6" s="34"/>
      <c r="AA6" s="34"/>
      <c r="AB6" s="34"/>
      <c r="AC6" s="34"/>
      <c r="AD6" s="34"/>
      <c r="AE6" s="34"/>
      <c r="AF6" s="34"/>
      <c r="AG6" s="34"/>
      <c r="AH6" s="34"/>
      <c r="AI6" s="34"/>
      <c r="AJ6" s="34"/>
      <c r="AK6" s="34"/>
      <c r="AL6" s="34"/>
      <c r="AM6" s="34"/>
      <c r="AN6" s="34"/>
      <c r="AO6" s="34"/>
      <c r="AP6" s="34"/>
      <c r="AQ6" s="34"/>
      <c r="AR6" s="34"/>
      <c r="AS6" s="789"/>
      <c r="AT6" s="34"/>
      <c r="AU6" s="34"/>
      <c r="AV6" s="789"/>
      <c r="AW6" s="34"/>
      <c r="AX6" s="34"/>
      <c r="AY6" s="34"/>
      <c r="AZ6" s="789"/>
      <c r="BA6" s="34"/>
      <c r="BB6" s="34"/>
      <c r="BC6" s="789"/>
      <c r="BD6" s="34"/>
      <c r="BE6" s="34"/>
      <c r="BF6" s="34"/>
      <c r="BG6" s="789"/>
      <c r="BH6" s="790"/>
      <c r="BI6" s="791"/>
      <c r="BJ6" s="789"/>
      <c r="BK6" s="34"/>
      <c r="BL6" s="34"/>
      <c r="BM6" s="34"/>
      <c r="BN6" s="789"/>
      <c r="BO6" s="34"/>
      <c r="BP6" s="34"/>
      <c r="BQ6" s="789"/>
      <c r="BR6" s="34"/>
      <c r="BS6" s="34"/>
      <c r="BT6" s="34"/>
      <c r="BU6" s="789"/>
      <c r="BV6" s="34"/>
      <c r="BW6" s="34"/>
      <c r="BX6" s="789"/>
      <c r="BY6" s="34"/>
      <c r="BZ6" s="34"/>
      <c r="CA6" s="34"/>
      <c r="CB6" s="789"/>
      <c r="CC6" s="34"/>
      <c r="CD6" s="34"/>
      <c r="CE6" s="789"/>
      <c r="CF6" s="34"/>
      <c r="CG6" s="34"/>
      <c r="CH6" s="34"/>
      <c r="CI6" s="789"/>
      <c r="CJ6" s="34"/>
      <c r="CK6" s="34"/>
      <c r="CL6" s="823"/>
      <c r="CM6" s="824"/>
      <c r="CN6" s="791"/>
      <c r="CO6" s="34"/>
      <c r="CP6" s="789"/>
      <c r="CQ6" s="34"/>
      <c r="CR6" s="34"/>
      <c r="CS6" s="789"/>
      <c r="CT6" s="34"/>
      <c r="CU6" s="34"/>
      <c r="CV6" s="34"/>
      <c r="CW6" s="789"/>
      <c r="CX6" s="34"/>
      <c r="CY6" s="598"/>
      <c r="CZ6" s="598"/>
      <c r="DA6" s="598"/>
      <c r="DC6" s="598"/>
      <c r="DD6" s="598"/>
      <c r="DE6" s="598"/>
      <c r="DF6" s="598"/>
      <c r="DG6" s="598"/>
      <c r="DH6" s="615"/>
      <c r="DI6" s="616"/>
      <c r="DJ6" s="599"/>
      <c r="DK6" s="598"/>
      <c r="DL6" s="598"/>
      <c r="DM6" s="598"/>
      <c r="DN6" s="598"/>
      <c r="DO6" s="598"/>
      <c r="DQ6" s="615"/>
      <c r="DR6" s="599"/>
      <c r="DS6" s="598"/>
      <c r="DT6" s="598"/>
      <c r="DU6" s="598"/>
      <c r="DV6" s="598"/>
      <c r="DX6" s="598"/>
      <c r="DY6" s="598"/>
      <c r="DZ6" s="598"/>
      <c r="EA6" s="598"/>
      <c r="EB6" s="598"/>
      <c r="EC6" s="598"/>
      <c r="EE6" s="598"/>
      <c r="EF6" s="598"/>
      <c r="EG6" s="598"/>
      <c r="EH6" s="598"/>
      <c r="EI6" s="598"/>
      <c r="EJ6" s="598"/>
      <c r="EL6" s="598"/>
      <c r="EM6" s="615"/>
      <c r="EN6" s="599"/>
      <c r="EO6" s="598"/>
      <c r="EP6" s="598"/>
      <c r="EQ6" s="598"/>
      <c r="ES6" s="598"/>
      <c r="ET6" s="598"/>
      <c r="EU6" s="615"/>
      <c r="EV6" s="616"/>
      <c r="EW6" s="599"/>
      <c r="EX6" s="598"/>
      <c r="EZ6" s="598"/>
      <c r="FA6" s="598"/>
      <c r="FB6" s="598"/>
      <c r="FC6" s="598"/>
      <c r="FD6" s="598"/>
      <c r="FE6" s="598"/>
      <c r="FG6" s="598"/>
      <c r="FH6" s="598"/>
      <c r="FI6" s="598"/>
      <c r="FJ6" s="598"/>
      <c r="FK6" s="598"/>
      <c r="FL6" s="598"/>
      <c r="FN6" s="598"/>
      <c r="FO6" s="598"/>
      <c r="FP6" s="598"/>
      <c r="FQ6" s="598"/>
      <c r="FR6" s="615"/>
      <c r="FS6" s="599"/>
      <c r="FU6" s="598"/>
      <c r="FV6" s="598"/>
      <c r="FW6" s="598"/>
      <c r="FX6" s="598"/>
      <c r="FY6" s="598"/>
      <c r="FZ6" s="615"/>
      <c r="GA6" s="599"/>
      <c r="GB6" s="598"/>
      <c r="GC6" s="598"/>
      <c r="GD6" s="598"/>
      <c r="GE6" s="598"/>
      <c r="GF6" s="598"/>
      <c r="GG6" s="598"/>
      <c r="GI6" s="598"/>
      <c r="GJ6" s="598"/>
      <c r="GK6" s="598"/>
      <c r="GL6" s="598"/>
      <c r="GM6" s="598"/>
      <c r="GN6" s="598"/>
      <c r="GP6" s="598"/>
      <c r="GQ6" s="598"/>
      <c r="GR6" s="598"/>
      <c r="GS6" s="598"/>
      <c r="GT6" s="598"/>
      <c r="GU6" s="598"/>
      <c r="GV6" s="597"/>
      <c r="GW6" s="599"/>
      <c r="GX6" s="598"/>
      <c r="GY6" s="598"/>
      <c r="GZ6" s="598"/>
      <c r="HA6" s="598"/>
      <c r="HB6" s="598"/>
      <c r="HD6" s="598"/>
      <c r="HE6" s="615"/>
      <c r="HF6" s="599"/>
      <c r="HG6" s="598"/>
      <c r="HH6" s="598"/>
      <c r="HI6" s="598"/>
      <c r="HK6" s="598"/>
      <c r="HL6" s="598"/>
      <c r="HM6" s="598"/>
      <c r="HN6" s="598"/>
      <c r="HO6" s="598"/>
      <c r="HP6" s="598"/>
      <c r="HR6" s="598"/>
      <c r="HS6" s="598"/>
      <c r="HT6" s="598"/>
      <c r="HU6" s="598"/>
      <c r="HV6" s="598"/>
      <c r="HW6" s="598"/>
      <c r="HY6" s="598"/>
      <c r="HZ6" s="598"/>
      <c r="IA6" s="615"/>
      <c r="IB6" s="599"/>
      <c r="IC6" s="598"/>
      <c r="ID6" s="598"/>
      <c r="IF6" s="598"/>
      <c r="IG6" s="598"/>
      <c r="IH6" s="598"/>
      <c r="II6" s="615"/>
      <c r="IJ6" s="616"/>
      <c r="IK6" s="599"/>
      <c r="IM6" s="598"/>
      <c r="IN6" s="598"/>
      <c r="IO6" s="598"/>
      <c r="IP6" s="598"/>
      <c r="IQ6" s="598"/>
      <c r="IR6" s="598"/>
      <c r="IT6" s="598"/>
      <c r="IU6" s="598"/>
      <c r="IV6" s="598"/>
      <c r="IW6" s="598"/>
      <c r="IX6" s="598"/>
      <c r="IY6" s="598"/>
      <c r="JA6" s="598"/>
      <c r="JB6" s="598"/>
      <c r="JC6" s="598"/>
      <c r="JD6" s="598"/>
      <c r="JE6" s="615"/>
      <c r="JF6" s="616"/>
      <c r="JG6" s="599"/>
      <c r="JH6" s="598"/>
      <c r="JI6" s="598"/>
      <c r="JJ6" s="598"/>
      <c r="JK6" s="598"/>
      <c r="JL6" s="598"/>
      <c r="JM6" s="598"/>
      <c r="JN6" s="597"/>
      <c r="JO6" s="599"/>
      <c r="JP6" s="598"/>
      <c r="JQ6" s="598"/>
      <c r="JR6" s="598"/>
      <c r="JS6" s="598"/>
      <c r="JT6" s="598"/>
      <c r="JV6" s="598"/>
      <c r="JW6" s="598"/>
      <c r="JX6" s="598"/>
      <c r="JY6" s="598"/>
      <c r="JZ6" s="598"/>
      <c r="KA6" s="598"/>
      <c r="KC6" s="598"/>
      <c r="KD6" s="598"/>
      <c r="KE6" s="598"/>
      <c r="KF6" s="598"/>
      <c r="KG6" s="598"/>
      <c r="KH6" s="598"/>
      <c r="KJ6" s="598"/>
      <c r="KK6" s="598"/>
      <c r="KL6" s="598"/>
      <c r="KM6" s="598"/>
      <c r="KN6" s="598"/>
      <c r="KO6" s="598"/>
      <c r="KQ6" s="598"/>
      <c r="KR6" s="615"/>
      <c r="KS6" s="616"/>
      <c r="KT6" s="599"/>
      <c r="KU6" s="598"/>
      <c r="KV6" s="598"/>
      <c r="KX6" s="598"/>
      <c r="KY6" s="598"/>
      <c r="KZ6" s="598"/>
      <c r="LA6" s="598"/>
      <c r="LB6" s="598"/>
      <c r="LC6" s="598"/>
      <c r="LE6" s="598"/>
      <c r="LF6" s="598"/>
      <c r="LG6" s="598"/>
      <c r="LH6" s="598"/>
      <c r="LI6" s="598"/>
      <c r="LJ6" s="598"/>
      <c r="LL6" s="598"/>
      <c r="LM6" s="598"/>
      <c r="LN6" s="615"/>
      <c r="LO6" s="598"/>
      <c r="LP6" s="598"/>
      <c r="LQ6" s="598"/>
      <c r="LS6" s="598"/>
      <c r="LT6" s="598"/>
      <c r="LU6" s="598"/>
      <c r="LV6" s="598"/>
      <c r="LW6" s="615"/>
      <c r="LX6" s="598"/>
      <c r="LZ6" s="598"/>
      <c r="MA6" s="598"/>
      <c r="MB6" s="598"/>
      <c r="MC6" s="598"/>
      <c r="MD6" s="598"/>
      <c r="ME6" s="598"/>
      <c r="MG6" s="598"/>
      <c r="MH6" s="598"/>
      <c r="MI6" s="598"/>
      <c r="MJ6" s="598"/>
      <c r="MK6" s="598"/>
      <c r="ML6" s="598"/>
      <c r="MN6" s="598"/>
      <c r="MO6" s="598"/>
      <c r="MP6" s="598"/>
      <c r="MQ6" s="598"/>
      <c r="MR6" s="598"/>
      <c r="MS6" s="598"/>
      <c r="MT6" s="597"/>
      <c r="MV6" s="598"/>
      <c r="MY6" s="598"/>
      <c r="NC6" s="597"/>
    </row>
    <row r="7" spans="1:367" s="596" customFormat="1" ht="24" customHeight="1">
      <c r="A7" s="936"/>
      <c r="B7" s="937"/>
      <c r="C7" s="972"/>
      <c r="D7" s="938"/>
      <c r="E7" s="965"/>
      <c r="F7" s="966"/>
      <c r="G7" s="941"/>
      <c r="H7" s="967"/>
      <c r="I7" s="943"/>
      <c r="J7" s="944"/>
      <c r="K7" s="945"/>
      <c r="L7" s="34"/>
      <c r="M7" s="789"/>
      <c r="N7" s="34"/>
      <c r="O7" s="398">
        <v>46077</v>
      </c>
      <c r="P7" s="402">
        <v>114437.78</v>
      </c>
      <c r="Q7" s="400">
        <v>138848.14000000001</v>
      </c>
      <c r="R7" s="785">
        <v>42739.51</v>
      </c>
      <c r="S7" s="403">
        <v>45876.73</v>
      </c>
      <c r="T7" s="789"/>
      <c r="U7" s="968" t="s">
        <v>8</v>
      </c>
      <c r="V7" s="969">
        <v>46089</v>
      </c>
      <c r="W7" s="34"/>
      <c r="X7" s="789"/>
      <c r="Y7" s="34"/>
      <c r="Z7" s="34"/>
      <c r="AA7" s="34"/>
      <c r="AB7" s="34"/>
      <c r="AC7" s="34"/>
      <c r="AD7" s="34"/>
      <c r="AE7" s="34"/>
      <c r="AF7" s="34"/>
      <c r="AG7" s="34"/>
      <c r="AH7" s="34"/>
      <c r="AI7" s="34"/>
      <c r="AJ7" s="34"/>
      <c r="AK7" s="34"/>
      <c r="AL7" s="34"/>
      <c r="AM7" s="34"/>
      <c r="AN7" s="34"/>
      <c r="AO7" s="34"/>
      <c r="AP7" s="34"/>
      <c r="AQ7" s="34"/>
      <c r="AR7" s="34"/>
      <c r="AS7" s="789"/>
      <c r="AT7" s="34"/>
      <c r="AU7" s="34"/>
      <c r="AV7" s="789"/>
      <c r="AW7" s="34"/>
      <c r="AX7" s="34"/>
      <c r="AY7" s="34"/>
      <c r="AZ7" s="789"/>
      <c r="BA7" s="34"/>
      <c r="BB7" s="34"/>
      <c r="BC7" s="789"/>
      <c r="BD7" s="34"/>
      <c r="BE7" s="34"/>
      <c r="BF7" s="34"/>
      <c r="BG7" s="789"/>
      <c r="BH7" s="790"/>
      <c r="BI7" s="791"/>
      <c r="BJ7" s="789"/>
      <c r="BK7" s="34"/>
      <c r="BL7" s="34"/>
      <c r="BM7" s="34"/>
      <c r="BN7" s="789"/>
      <c r="BO7" s="34"/>
      <c r="BP7" s="34"/>
      <c r="BQ7" s="789"/>
      <c r="BR7" s="34"/>
      <c r="BS7" s="34"/>
      <c r="BT7" s="34"/>
      <c r="BU7" s="789"/>
      <c r="BV7" s="34"/>
      <c r="BW7" s="34"/>
      <c r="BX7" s="789"/>
      <c r="BY7" s="34"/>
      <c r="BZ7" s="34"/>
      <c r="CA7" s="34"/>
      <c r="CB7" s="789"/>
      <c r="CC7" s="34"/>
      <c r="CD7" s="34"/>
      <c r="CE7" s="789"/>
      <c r="CF7" s="34"/>
      <c r="CG7" s="34"/>
      <c r="CH7" s="34"/>
      <c r="CI7" s="789"/>
      <c r="CJ7" s="34"/>
      <c r="CK7" s="34"/>
      <c r="CL7" s="823"/>
      <c r="CM7" s="824"/>
      <c r="CN7" s="791"/>
      <c r="CO7" s="34"/>
      <c r="CP7" s="789"/>
      <c r="CQ7" s="34"/>
      <c r="CR7" s="34"/>
      <c r="CS7" s="789"/>
      <c r="CT7" s="34"/>
      <c r="CU7" s="34"/>
      <c r="CV7" s="34"/>
      <c r="CW7" s="789"/>
      <c r="CX7" s="34"/>
      <c r="CY7" s="598"/>
      <c r="CZ7" s="598"/>
      <c r="DA7" s="598"/>
      <c r="DC7" s="598"/>
      <c r="DD7" s="598"/>
      <c r="DE7" s="598"/>
      <c r="DF7" s="598"/>
      <c r="DG7" s="598"/>
      <c r="DH7" s="615"/>
      <c r="DI7" s="616"/>
      <c r="DJ7" s="599"/>
      <c r="DK7" s="598"/>
      <c r="DL7" s="598"/>
      <c r="DM7" s="598"/>
      <c r="DN7" s="598"/>
      <c r="DO7" s="598"/>
      <c r="DQ7" s="615"/>
      <c r="DR7" s="599"/>
      <c r="DS7" s="598"/>
      <c r="DT7" s="598"/>
      <c r="DU7" s="598"/>
      <c r="DV7" s="598"/>
      <c r="DX7" s="598"/>
      <c r="DY7" s="598"/>
      <c r="DZ7" s="598"/>
      <c r="EA7" s="598"/>
      <c r="EB7" s="598"/>
      <c r="EC7" s="598"/>
      <c r="EE7" s="598"/>
      <c r="EF7" s="598"/>
      <c r="EG7" s="598"/>
      <c r="EH7" s="598"/>
      <c r="EI7" s="598"/>
      <c r="EJ7" s="598"/>
      <c r="EL7" s="598"/>
      <c r="EM7" s="615"/>
      <c r="EN7" s="599"/>
      <c r="EO7" s="598"/>
      <c r="EP7" s="598"/>
      <c r="EQ7" s="598"/>
      <c r="ES7" s="598"/>
      <c r="ET7" s="598"/>
      <c r="EU7" s="615"/>
      <c r="EV7" s="616"/>
      <c r="EW7" s="599"/>
      <c r="EX7" s="598"/>
      <c r="EZ7" s="598"/>
      <c r="FA7" s="598"/>
      <c r="FB7" s="598"/>
      <c r="FC7" s="598"/>
      <c r="FD7" s="598"/>
      <c r="FE7" s="598"/>
      <c r="FG7" s="598"/>
      <c r="FH7" s="598"/>
      <c r="FI7" s="598"/>
      <c r="FJ7" s="598"/>
      <c r="FK7" s="598"/>
      <c r="FL7" s="598"/>
      <c r="FN7" s="598"/>
      <c r="FO7" s="598"/>
      <c r="FP7" s="598"/>
      <c r="FQ7" s="598"/>
      <c r="FR7" s="615"/>
      <c r="FS7" s="599"/>
      <c r="FU7" s="598"/>
      <c r="FV7" s="598"/>
      <c r="FW7" s="598"/>
      <c r="FX7" s="598"/>
      <c r="FY7" s="598"/>
      <c r="FZ7" s="615"/>
      <c r="GA7" s="599"/>
      <c r="GB7" s="598"/>
      <c r="GC7" s="598"/>
      <c r="GD7" s="598"/>
      <c r="GE7" s="598"/>
      <c r="GF7" s="598"/>
      <c r="GG7" s="598"/>
      <c r="GI7" s="598"/>
      <c r="GJ7" s="598"/>
      <c r="GK7" s="598"/>
      <c r="GL7" s="598"/>
      <c r="GM7" s="598"/>
      <c r="GN7" s="598"/>
      <c r="GP7" s="598"/>
      <c r="GQ7" s="598"/>
      <c r="GR7" s="598"/>
      <c r="GS7" s="598"/>
      <c r="GT7" s="598"/>
      <c r="GU7" s="598"/>
      <c r="GV7" s="597"/>
      <c r="GW7" s="599"/>
      <c r="GX7" s="598"/>
      <c r="GY7" s="598"/>
      <c r="GZ7" s="598"/>
      <c r="HA7" s="598"/>
      <c r="HB7" s="598"/>
      <c r="HD7" s="598"/>
      <c r="HE7" s="615"/>
      <c r="HF7" s="599"/>
      <c r="HG7" s="598"/>
      <c r="HH7" s="598"/>
      <c r="HI7" s="598"/>
      <c r="HK7" s="598"/>
      <c r="HL7" s="598"/>
      <c r="HM7" s="598"/>
      <c r="HN7" s="598"/>
      <c r="HO7" s="598"/>
      <c r="HP7" s="598"/>
      <c r="HR7" s="598"/>
      <c r="HS7" s="598"/>
      <c r="HT7" s="598"/>
      <c r="HU7" s="598"/>
      <c r="HV7" s="598"/>
      <c r="HW7" s="598"/>
      <c r="HY7" s="598"/>
      <c r="HZ7" s="598"/>
      <c r="IA7" s="615"/>
      <c r="IB7" s="599"/>
      <c r="IC7" s="598"/>
      <c r="ID7" s="598"/>
      <c r="IF7" s="598"/>
      <c r="IG7" s="598"/>
      <c r="IH7" s="598"/>
      <c r="II7" s="615"/>
      <c r="IJ7" s="616"/>
      <c r="IK7" s="599"/>
      <c r="IM7" s="598"/>
      <c r="IN7" s="598"/>
      <c r="IO7" s="598"/>
      <c r="IP7" s="598"/>
      <c r="IQ7" s="598"/>
      <c r="IR7" s="598"/>
      <c r="IT7" s="598"/>
      <c r="IU7" s="598"/>
      <c r="IV7" s="598"/>
      <c r="IW7" s="598"/>
      <c r="IX7" s="598"/>
      <c r="IY7" s="598"/>
      <c r="JA7" s="598"/>
      <c r="JB7" s="598"/>
      <c r="JC7" s="598"/>
      <c r="JD7" s="598"/>
      <c r="JE7" s="615"/>
      <c r="JF7" s="616"/>
      <c r="JG7" s="599"/>
      <c r="JH7" s="598"/>
      <c r="JI7" s="598"/>
      <c r="JJ7" s="598"/>
      <c r="JK7" s="598"/>
      <c r="JL7" s="598"/>
      <c r="JM7" s="598"/>
      <c r="JN7" s="597"/>
      <c r="JO7" s="599"/>
      <c r="JP7" s="598"/>
      <c r="JQ7" s="598"/>
      <c r="JR7" s="598"/>
      <c r="JS7" s="598"/>
      <c r="JT7" s="598"/>
      <c r="JV7" s="598"/>
      <c r="JW7" s="598"/>
      <c r="JX7" s="598"/>
      <c r="JY7" s="598"/>
      <c r="JZ7" s="598"/>
      <c r="KA7" s="598"/>
      <c r="KC7" s="598"/>
      <c r="KD7" s="598"/>
      <c r="KE7" s="598"/>
      <c r="KF7" s="598"/>
      <c r="KG7" s="598"/>
      <c r="KH7" s="598"/>
      <c r="KJ7" s="598"/>
      <c r="KK7" s="598"/>
      <c r="KL7" s="598"/>
      <c r="KM7" s="598"/>
      <c r="KN7" s="598"/>
      <c r="KO7" s="598"/>
      <c r="KQ7" s="598"/>
      <c r="KR7" s="615"/>
      <c r="KS7" s="616"/>
      <c r="KT7" s="599"/>
      <c r="KU7" s="598"/>
      <c r="KV7" s="598"/>
      <c r="KX7" s="598"/>
      <c r="KY7" s="598"/>
      <c r="KZ7" s="598"/>
      <c r="LA7" s="598"/>
      <c r="LB7" s="598"/>
      <c r="LC7" s="598"/>
      <c r="LE7" s="598"/>
      <c r="LF7" s="598"/>
      <c r="LG7" s="598"/>
      <c r="LH7" s="598"/>
      <c r="LI7" s="598"/>
      <c r="LJ7" s="598"/>
      <c r="LL7" s="598"/>
      <c r="LM7" s="598"/>
      <c r="LN7" s="615"/>
      <c r="LO7" s="598"/>
      <c r="LP7" s="598"/>
      <c r="LQ7" s="598"/>
      <c r="LS7" s="598"/>
      <c r="LT7" s="598"/>
      <c r="LU7" s="598"/>
      <c r="LV7" s="598"/>
      <c r="LW7" s="615"/>
      <c r="LX7" s="598"/>
      <c r="LZ7" s="598"/>
      <c r="MA7" s="598"/>
      <c r="MB7" s="598"/>
      <c r="MC7" s="598"/>
      <c r="MD7" s="598"/>
      <c r="ME7" s="598"/>
      <c r="MG7" s="598"/>
      <c r="MH7" s="598"/>
      <c r="MI7" s="598"/>
      <c r="MJ7" s="598"/>
      <c r="MK7" s="598"/>
      <c r="ML7" s="598"/>
      <c r="MN7" s="598"/>
      <c r="MO7" s="598"/>
      <c r="MP7" s="598"/>
      <c r="MQ7" s="598"/>
      <c r="MR7" s="598"/>
      <c r="MS7" s="598"/>
      <c r="MT7" s="597"/>
      <c r="MV7" s="598"/>
      <c r="MY7" s="598"/>
      <c r="NC7" s="597"/>
    </row>
    <row r="8" spans="1:367" s="596" customFormat="1" ht="24" customHeight="1">
      <c r="A8" s="973"/>
      <c r="B8" s="951"/>
      <c r="C8" s="974"/>
      <c r="D8" s="975"/>
      <c r="E8" s="976">
        <f>SUBTOTAL(109,EnCours[Versements])</f>
        <v>10086.93</v>
      </c>
      <c r="F8" s="977"/>
      <c r="G8" s="944"/>
      <c r="H8" s="978"/>
      <c r="I8" s="943"/>
      <c r="J8" s="973"/>
      <c r="K8" s="979">
        <f>SUBTOTAL(109,EnCours[Versement2])</f>
        <v>2956.69</v>
      </c>
      <c r="L8" s="789"/>
      <c r="M8" s="34"/>
      <c r="N8" s="34"/>
      <c r="O8" s="398">
        <v>46075</v>
      </c>
      <c r="P8" s="402">
        <v>114564.84</v>
      </c>
      <c r="Q8" s="400">
        <v>138840.5</v>
      </c>
      <c r="R8" s="785">
        <v>41893.22</v>
      </c>
      <c r="S8" s="403">
        <v>45876.73</v>
      </c>
      <c r="T8" s="789"/>
      <c r="U8" s="968" t="s">
        <v>10</v>
      </c>
      <c r="V8" s="969">
        <v>46091</v>
      </c>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789"/>
      <c r="AW8" s="34"/>
      <c r="AX8" s="34"/>
      <c r="AY8" s="34"/>
      <c r="AZ8" s="34"/>
      <c r="BA8" s="34"/>
      <c r="BB8" s="34"/>
      <c r="BC8" s="789"/>
      <c r="BD8" s="34"/>
      <c r="BE8" s="34"/>
      <c r="BF8" s="34"/>
      <c r="BG8" s="34"/>
      <c r="BH8" s="790"/>
      <c r="BI8" s="791"/>
      <c r="BJ8" s="789"/>
      <c r="BK8" s="34"/>
      <c r="BL8" s="34"/>
      <c r="BM8" s="34"/>
      <c r="BN8" s="34"/>
      <c r="BO8" s="34"/>
      <c r="BP8" s="34"/>
      <c r="BQ8" s="789"/>
      <c r="BR8" s="34"/>
      <c r="BS8" s="34"/>
      <c r="BT8" s="34"/>
      <c r="BU8" s="34"/>
      <c r="BV8" s="34"/>
      <c r="BW8" s="34"/>
      <c r="BX8" s="789"/>
      <c r="BY8" s="34"/>
      <c r="BZ8" s="34"/>
      <c r="CA8" s="34"/>
      <c r="CB8" s="34"/>
      <c r="CC8" s="34"/>
      <c r="CD8" s="34"/>
      <c r="CE8" s="789"/>
      <c r="CF8" s="34"/>
      <c r="CG8" s="34"/>
      <c r="CH8" s="34"/>
      <c r="CI8" s="34"/>
      <c r="CJ8" s="34"/>
      <c r="CK8" s="34"/>
      <c r="CL8" s="789"/>
      <c r="CM8" s="790"/>
      <c r="CN8" s="791"/>
      <c r="CO8" s="34"/>
      <c r="CP8" s="34"/>
      <c r="CQ8" s="34"/>
      <c r="CR8" s="34"/>
      <c r="CS8" s="789"/>
      <c r="CT8" s="34"/>
      <c r="CU8" s="34"/>
      <c r="CV8" s="34"/>
      <c r="CW8" s="34"/>
      <c r="CX8" s="34"/>
      <c r="CZ8" s="598"/>
      <c r="DB8" s="598"/>
      <c r="DD8" s="598"/>
      <c r="DE8" s="598"/>
      <c r="DG8" s="598"/>
      <c r="DI8" s="598"/>
      <c r="DK8" s="598"/>
      <c r="DL8" s="598"/>
      <c r="DN8" s="615"/>
      <c r="DO8" s="616"/>
      <c r="DP8" s="616"/>
      <c r="DQ8" s="616"/>
      <c r="DR8" s="599"/>
      <c r="DS8" s="598"/>
      <c r="DU8" s="598"/>
      <c r="DW8" s="598"/>
      <c r="DY8" s="598"/>
      <c r="DZ8" s="598"/>
      <c r="EB8" s="598"/>
      <c r="ED8" s="598"/>
      <c r="EF8" s="598"/>
      <c r="EG8" s="598"/>
      <c r="EI8" s="598"/>
      <c r="EK8" s="598"/>
      <c r="EM8" s="598"/>
      <c r="EN8" s="598"/>
      <c r="EP8" s="598"/>
      <c r="ER8" s="598"/>
      <c r="ES8" s="597"/>
      <c r="ET8" s="599"/>
      <c r="EU8" s="615"/>
      <c r="EV8" s="616"/>
      <c r="EW8" s="599"/>
      <c r="EY8" s="598"/>
      <c r="FA8" s="598"/>
      <c r="FB8" s="598"/>
      <c r="FD8" s="598"/>
      <c r="FF8" s="598"/>
      <c r="FH8" s="598"/>
      <c r="FI8" s="598"/>
      <c r="FK8" s="598"/>
      <c r="FM8" s="598"/>
      <c r="FO8" s="598"/>
      <c r="FP8" s="598"/>
      <c r="FR8" s="598"/>
      <c r="FT8" s="598"/>
      <c r="FV8" s="598"/>
      <c r="FW8" s="615"/>
      <c r="FX8" s="599"/>
      <c r="FY8" s="598"/>
      <c r="FZ8" s="597"/>
      <c r="GA8" s="599"/>
      <c r="GC8" s="598"/>
      <c r="GD8" s="598"/>
      <c r="GF8" s="598"/>
      <c r="GH8" s="598"/>
      <c r="GJ8" s="598"/>
      <c r="GK8" s="598"/>
      <c r="GM8" s="598"/>
      <c r="GO8" s="598"/>
      <c r="GQ8" s="598"/>
      <c r="GR8" s="598"/>
      <c r="GT8" s="598"/>
      <c r="GV8" s="598"/>
      <c r="GX8" s="598"/>
      <c r="GY8" s="598"/>
      <c r="HA8" s="598"/>
      <c r="HB8" s="597"/>
      <c r="HC8" s="599"/>
      <c r="HE8" s="615"/>
      <c r="HF8" s="599"/>
      <c r="HH8" s="598"/>
      <c r="HJ8" s="598"/>
      <c r="HL8" s="598"/>
      <c r="HM8" s="598"/>
      <c r="HO8" s="598"/>
      <c r="HQ8" s="598"/>
      <c r="HS8" s="598"/>
      <c r="HT8" s="598"/>
      <c r="HV8" s="598"/>
      <c r="HX8" s="598"/>
      <c r="HZ8" s="598"/>
      <c r="IA8" s="598"/>
      <c r="IC8" s="598"/>
      <c r="IE8" s="598"/>
      <c r="IG8" s="615"/>
      <c r="IH8" s="599"/>
      <c r="IJ8" s="615"/>
      <c r="IK8" s="599"/>
      <c r="IL8" s="598"/>
      <c r="IN8" s="598"/>
      <c r="IO8" s="598"/>
      <c r="IQ8" s="598"/>
      <c r="IS8" s="598"/>
      <c r="IU8" s="598"/>
      <c r="IV8" s="598"/>
      <c r="IX8" s="598"/>
      <c r="IZ8" s="598"/>
      <c r="JB8" s="598"/>
      <c r="JC8" s="598"/>
      <c r="JE8" s="598"/>
      <c r="JG8" s="598"/>
      <c r="JI8" s="598"/>
      <c r="JJ8" s="598"/>
      <c r="JL8" s="615"/>
      <c r="JM8" s="599"/>
      <c r="JN8" s="615"/>
      <c r="JO8" s="599"/>
      <c r="JP8" s="598"/>
      <c r="JQ8" s="598"/>
      <c r="JS8" s="598"/>
      <c r="JU8" s="598"/>
      <c r="JW8" s="598"/>
      <c r="JX8" s="598"/>
      <c r="JZ8" s="598"/>
      <c r="KB8" s="598"/>
      <c r="KD8" s="598"/>
      <c r="KE8" s="598"/>
      <c r="KG8" s="598"/>
      <c r="KI8" s="598"/>
      <c r="KK8" s="598"/>
      <c r="KL8" s="598"/>
      <c r="KN8" s="598"/>
      <c r="KP8" s="615"/>
      <c r="KQ8" s="599"/>
      <c r="KR8" s="598"/>
      <c r="KS8" s="615"/>
      <c r="KT8" s="599"/>
      <c r="KU8" s="598"/>
      <c r="KW8" s="598"/>
      <c r="KY8" s="598"/>
      <c r="KZ8" s="598"/>
      <c r="LB8" s="598"/>
      <c r="LD8" s="598"/>
      <c r="LF8" s="598"/>
      <c r="LG8" s="598"/>
      <c r="LI8" s="598"/>
      <c r="LK8" s="598"/>
      <c r="LM8" s="598"/>
      <c r="LN8" s="598"/>
      <c r="LP8" s="598"/>
      <c r="LR8" s="598"/>
      <c r="LT8" s="615"/>
      <c r="LU8" s="615"/>
      <c r="LW8" s="615"/>
      <c r="LY8" s="598"/>
      <c r="MA8" s="598"/>
      <c r="MB8" s="598"/>
      <c r="MD8" s="598"/>
      <c r="MF8" s="598"/>
      <c r="MH8" s="598"/>
      <c r="MI8" s="598"/>
      <c r="MK8" s="598"/>
      <c r="MM8" s="598"/>
      <c r="MO8" s="598"/>
      <c r="MP8" s="598"/>
      <c r="MR8" s="598"/>
      <c r="MT8" s="598"/>
      <c r="MV8" s="598"/>
      <c r="MW8" s="598"/>
      <c r="MY8" s="598"/>
      <c r="MZ8" s="597"/>
      <c r="NC8" s="597"/>
    </row>
    <row r="9" spans="1:367" ht="24" customHeight="1">
      <c r="A9" s="38"/>
      <c r="B9" s="38"/>
      <c r="C9" s="38"/>
      <c r="D9" s="38"/>
      <c r="E9" s="38"/>
      <c r="F9" s="38"/>
      <c r="G9" s="38"/>
      <c r="H9" s="39"/>
      <c r="I9" s="980"/>
      <c r="J9" s="38"/>
      <c r="K9" s="38"/>
      <c r="M9" s="34"/>
      <c r="N9" s="34"/>
      <c r="O9" s="398">
        <v>46074</v>
      </c>
      <c r="P9" s="402">
        <v>114568.65</v>
      </c>
      <c r="Q9" s="400">
        <v>138843.07</v>
      </c>
      <c r="R9" s="785">
        <v>42726.21</v>
      </c>
      <c r="S9" s="403">
        <v>46873.35</v>
      </c>
      <c r="U9" s="968" t="s">
        <v>8</v>
      </c>
      <c r="V9" s="969">
        <v>46095</v>
      </c>
    </row>
    <row r="10" spans="1:367" ht="24" customHeight="1">
      <c r="A10" s="38"/>
      <c r="B10" s="38"/>
      <c r="C10" s="38"/>
      <c r="D10" s="38"/>
      <c r="E10" s="38"/>
      <c r="F10" s="38"/>
      <c r="G10" s="38"/>
      <c r="H10" s="39"/>
      <c r="I10" s="980"/>
      <c r="J10" s="981"/>
      <c r="K10" s="38"/>
      <c r="M10" s="34"/>
      <c r="N10" s="34"/>
      <c r="O10" s="398">
        <v>46072</v>
      </c>
      <c r="P10" s="402">
        <v>114594.15</v>
      </c>
      <c r="Q10" s="400">
        <v>138980.07999999999</v>
      </c>
      <c r="R10" s="785">
        <v>42519.11</v>
      </c>
      <c r="S10" s="403">
        <v>47102.21</v>
      </c>
      <c r="U10" s="968" t="s">
        <v>10</v>
      </c>
      <c r="V10" s="969">
        <v>46096</v>
      </c>
    </row>
    <row r="11" spans="1:367" ht="24" customHeight="1">
      <c r="A11" s="38"/>
      <c r="B11" s="38"/>
      <c r="C11" s="38"/>
      <c r="D11" s="38"/>
      <c r="E11" s="38"/>
      <c r="F11" s="38"/>
      <c r="G11" s="38"/>
      <c r="H11" s="39"/>
      <c r="I11" s="40"/>
      <c r="J11" s="38"/>
      <c r="K11" s="38"/>
      <c r="L11" s="38"/>
      <c r="M11" s="419"/>
      <c r="N11" s="419"/>
      <c r="O11" s="398">
        <v>46071</v>
      </c>
      <c r="P11" s="402">
        <v>114742.63</v>
      </c>
      <c r="Q11" s="400">
        <v>138977.25</v>
      </c>
      <c r="R11" s="785">
        <v>42071.92</v>
      </c>
      <c r="S11" s="403">
        <v>47516.11</v>
      </c>
      <c r="U11" s="432" t="s">
        <v>8</v>
      </c>
      <c r="V11" s="433">
        <v>46098</v>
      </c>
    </row>
    <row r="12" spans="1:367" ht="24" customHeight="1">
      <c r="A12" s="38"/>
      <c r="B12" s="38"/>
      <c r="C12" s="38"/>
      <c r="D12" s="38"/>
      <c r="E12" s="38"/>
      <c r="F12" s="38"/>
      <c r="G12" s="38"/>
      <c r="H12" s="39"/>
      <c r="I12" s="40"/>
      <c r="J12" s="38"/>
      <c r="K12" s="38"/>
      <c r="L12" s="38"/>
      <c r="M12" s="419"/>
      <c r="N12" s="419"/>
      <c r="O12" s="398">
        <v>46070</v>
      </c>
      <c r="P12" s="402">
        <v>114751.26</v>
      </c>
      <c r="Q12" s="400">
        <v>139133.75</v>
      </c>
      <c r="R12" s="785">
        <v>41530.230000000003</v>
      </c>
      <c r="S12" s="403">
        <v>46883.31</v>
      </c>
      <c r="U12" s="43" t="s">
        <v>10</v>
      </c>
      <c r="V12" s="434">
        <v>46098</v>
      </c>
    </row>
    <row r="13" spans="1:367" ht="24" customHeight="1">
      <c r="A13" s="38"/>
      <c r="B13" s="38"/>
      <c r="C13" s="38"/>
      <c r="D13" s="38"/>
      <c r="E13" s="38"/>
      <c r="F13" s="38"/>
      <c r="G13" s="38"/>
      <c r="H13" s="39"/>
      <c r="I13" s="40"/>
      <c r="J13" s="38"/>
      <c r="K13" s="38"/>
      <c r="L13" s="38"/>
      <c r="M13" s="419"/>
      <c r="N13" s="419"/>
      <c r="O13" s="398">
        <v>46069</v>
      </c>
      <c r="P13" s="402">
        <v>114919.23</v>
      </c>
      <c r="Q13" s="400">
        <v>139109.31</v>
      </c>
      <c r="R13" s="785">
        <v>42307.17</v>
      </c>
      <c r="S13" s="403">
        <v>42220.42</v>
      </c>
      <c r="U13" s="43" t="s">
        <v>10</v>
      </c>
      <c r="V13" s="434">
        <v>46102</v>
      </c>
    </row>
    <row r="14" spans="1:367" ht="24" customHeight="1">
      <c r="A14" s="38"/>
      <c r="B14" s="38"/>
      <c r="C14" s="38"/>
      <c r="D14" s="38"/>
      <c r="E14" s="38"/>
      <c r="F14" s="38"/>
      <c r="G14" s="38"/>
      <c r="H14" s="39"/>
      <c r="I14" s="40"/>
      <c r="J14" s="38"/>
      <c r="K14" s="38"/>
      <c r="L14" s="38"/>
      <c r="M14" s="419"/>
      <c r="N14" s="419"/>
      <c r="O14" s="398">
        <v>46068</v>
      </c>
      <c r="P14" s="402">
        <v>114906.24000000001</v>
      </c>
      <c r="Q14" s="400">
        <v>139084.85999999999</v>
      </c>
      <c r="R14" s="785">
        <v>42307.17</v>
      </c>
      <c r="S14" s="403">
        <v>43301.85</v>
      </c>
      <c r="U14" s="43" t="s">
        <v>10</v>
      </c>
      <c r="V14" s="434">
        <v>46104</v>
      </c>
    </row>
    <row r="15" spans="1:367" ht="24" customHeight="1">
      <c r="A15" s="38"/>
      <c r="B15" s="38"/>
      <c r="C15" s="38"/>
      <c r="D15" s="38"/>
      <c r="E15" s="38"/>
      <c r="F15" s="38"/>
      <c r="G15" s="38"/>
      <c r="H15" s="39"/>
      <c r="I15" s="40"/>
      <c r="J15" s="38"/>
      <c r="K15" s="38"/>
      <c r="L15" s="38"/>
      <c r="M15" s="422"/>
      <c r="N15" s="417"/>
      <c r="O15" s="398">
        <v>46067</v>
      </c>
      <c r="P15" s="402">
        <v>114893.25</v>
      </c>
      <c r="Q15" s="400">
        <v>139111.67000000001</v>
      </c>
      <c r="R15" s="785">
        <v>42189.87</v>
      </c>
      <c r="S15" s="403">
        <v>42305.23</v>
      </c>
      <c r="U15" s="43" t="s">
        <v>8</v>
      </c>
      <c r="V15" s="434">
        <v>46105</v>
      </c>
    </row>
    <row r="16" spans="1:367" ht="24" customHeight="1">
      <c r="A16" s="38"/>
      <c r="B16" s="38"/>
      <c r="C16" s="38"/>
      <c r="D16" s="38"/>
      <c r="E16" s="38"/>
      <c r="F16" s="38"/>
      <c r="G16" s="38"/>
      <c r="H16" s="39"/>
      <c r="I16" s="40"/>
      <c r="J16" s="38"/>
      <c r="K16" s="38"/>
      <c r="L16" s="38"/>
      <c r="M16" s="422"/>
      <c r="N16" s="417"/>
      <c r="O16" s="398">
        <v>46066</v>
      </c>
      <c r="P16" s="402">
        <v>114931.52</v>
      </c>
      <c r="Q16" s="400">
        <v>139215.42000000001</v>
      </c>
      <c r="R16" s="785">
        <v>42165.919999999998</v>
      </c>
      <c r="S16" s="403">
        <v>42305.23</v>
      </c>
      <c r="U16" s="43" t="s">
        <v>10</v>
      </c>
      <c r="V16" s="434">
        <v>46111</v>
      </c>
    </row>
    <row r="17" spans="1:22" ht="24" customHeight="1">
      <c r="A17" s="38"/>
      <c r="B17" s="38"/>
      <c r="C17" s="38"/>
      <c r="D17" s="38"/>
      <c r="E17" s="38"/>
      <c r="F17" s="38"/>
      <c r="G17" s="38"/>
      <c r="H17" s="39"/>
      <c r="I17" s="40"/>
      <c r="J17" s="38"/>
      <c r="K17" s="38"/>
      <c r="L17" s="38"/>
      <c r="M17" s="422"/>
      <c r="N17" s="417"/>
      <c r="O17" s="957">
        <v>46065</v>
      </c>
      <c r="P17" s="958">
        <v>115046.73</v>
      </c>
      <c r="Q17" s="959">
        <v>139292.32</v>
      </c>
      <c r="R17" s="960">
        <v>42637.66</v>
      </c>
      <c r="S17" s="403">
        <v>42580.51</v>
      </c>
      <c r="U17" s="43" t="s">
        <v>8</v>
      </c>
      <c r="V17" s="434">
        <v>46115</v>
      </c>
    </row>
    <row r="18" spans="1:22" ht="24" customHeight="1">
      <c r="A18" s="38"/>
      <c r="B18" s="38"/>
      <c r="C18" s="38"/>
      <c r="D18" s="38"/>
      <c r="E18" s="38"/>
      <c r="F18" s="38"/>
      <c r="G18" s="38"/>
      <c r="H18" s="39"/>
      <c r="I18" s="40"/>
      <c r="J18" s="38"/>
      <c r="K18" s="38"/>
      <c r="L18" s="38"/>
      <c r="M18" s="422"/>
      <c r="N18" s="417"/>
      <c r="O18" s="957">
        <v>46064</v>
      </c>
      <c r="P18" s="958">
        <v>115135.1</v>
      </c>
      <c r="Q18" s="959">
        <v>139322.10999999999</v>
      </c>
      <c r="R18" s="960">
        <v>43661.120000000003</v>
      </c>
      <c r="S18" s="403">
        <v>42082.68</v>
      </c>
      <c r="U18" s="43" t="s">
        <v>10</v>
      </c>
      <c r="V18" s="434">
        <v>46117</v>
      </c>
    </row>
    <row r="19" spans="1:22" ht="24" customHeight="1">
      <c r="A19" s="38"/>
      <c r="B19" s="38"/>
      <c r="C19" s="38"/>
      <c r="D19" s="38"/>
      <c r="E19" s="38"/>
      <c r="F19" s="38"/>
      <c r="G19" s="38"/>
      <c r="H19" s="39"/>
      <c r="I19" s="40"/>
      <c r="J19" s="38"/>
      <c r="K19" s="38"/>
      <c r="L19" s="38"/>
      <c r="M19" s="422"/>
      <c r="N19" s="417"/>
      <c r="O19" s="957">
        <v>46063</v>
      </c>
      <c r="P19" s="970">
        <v>115176.36</v>
      </c>
      <c r="Q19" s="971">
        <v>139351.91</v>
      </c>
      <c r="R19" s="960">
        <v>43882.16</v>
      </c>
      <c r="S19" s="403">
        <v>40726.21</v>
      </c>
      <c r="U19" s="43" t="s">
        <v>8</v>
      </c>
      <c r="V19" s="434">
        <v>46122</v>
      </c>
    </row>
    <row r="20" spans="1:22" ht="24" customHeight="1">
      <c r="A20" s="38"/>
      <c r="B20" s="38"/>
      <c r="C20" s="38"/>
      <c r="D20" s="38"/>
      <c r="E20" s="38"/>
      <c r="F20" s="38"/>
      <c r="G20" s="38"/>
      <c r="H20" s="39"/>
      <c r="I20" s="40"/>
      <c r="J20" s="38"/>
      <c r="K20" s="38"/>
      <c r="L20" s="38"/>
      <c r="M20" s="422"/>
      <c r="N20" s="417"/>
      <c r="O20" s="957">
        <v>46062</v>
      </c>
      <c r="P20" s="970">
        <v>115217.61</v>
      </c>
      <c r="Q20" s="971">
        <v>139381.70000000001</v>
      </c>
      <c r="R20" s="960">
        <v>40927.910000000003</v>
      </c>
      <c r="S20" s="403">
        <v>40726.21</v>
      </c>
      <c r="U20" s="43" t="s">
        <v>10</v>
      </c>
      <c r="V20" s="434">
        <v>46122</v>
      </c>
    </row>
    <row r="21" spans="1:22" ht="24" customHeight="1">
      <c r="A21" s="38"/>
      <c r="B21" s="38"/>
      <c r="C21" s="38"/>
      <c r="D21" s="38"/>
      <c r="E21" s="38"/>
      <c r="F21" s="38"/>
      <c r="G21" s="38"/>
      <c r="H21" s="39"/>
      <c r="I21" s="40"/>
      <c r="J21" s="38"/>
      <c r="K21" s="38"/>
      <c r="L21" s="38"/>
      <c r="M21" s="422"/>
      <c r="N21" s="417"/>
      <c r="O21" s="957">
        <v>46061</v>
      </c>
      <c r="P21" s="970">
        <v>115258.86</v>
      </c>
      <c r="Q21" s="971">
        <v>139365.35999999999</v>
      </c>
      <c r="R21" s="960">
        <v>39898.29</v>
      </c>
      <c r="S21" s="403">
        <v>38630.49</v>
      </c>
      <c r="U21" s="43" t="s">
        <v>8</v>
      </c>
      <c r="V21" s="434">
        <v>46125</v>
      </c>
    </row>
    <row r="22" spans="1:22" ht="24" customHeight="1">
      <c r="A22" s="704" t="s">
        <v>3746</v>
      </c>
      <c r="B22" s="38"/>
      <c r="C22" s="38"/>
      <c r="D22" s="38"/>
      <c r="E22" s="38"/>
      <c r="F22" s="38"/>
      <c r="G22" s="38"/>
      <c r="H22" s="39"/>
      <c r="I22" s="40"/>
      <c r="J22" s="704" t="s">
        <v>3745</v>
      </c>
      <c r="K22" s="38"/>
      <c r="L22" s="38"/>
      <c r="M22" s="422"/>
      <c r="N22" s="417"/>
      <c r="O22" s="957">
        <v>46060</v>
      </c>
      <c r="P22" s="970">
        <v>115253.99</v>
      </c>
      <c r="Q22" s="971">
        <v>139349.01999999999</v>
      </c>
      <c r="R22" s="960">
        <v>39426.06</v>
      </c>
      <c r="S22" s="403">
        <v>39240.33</v>
      </c>
      <c r="U22" s="43" t="s">
        <v>8</v>
      </c>
      <c r="V22" s="434">
        <v>46128</v>
      </c>
    </row>
    <row r="23" spans="1:22" ht="24" customHeight="1">
      <c r="A23" s="702" t="s">
        <v>21</v>
      </c>
      <c r="B23" s="726" t="s">
        <v>3</v>
      </c>
      <c r="C23" s="702" t="s">
        <v>22</v>
      </c>
      <c r="D23" s="702" t="s">
        <v>23</v>
      </c>
      <c r="E23" s="702" t="s">
        <v>3573</v>
      </c>
      <c r="F23" s="727" t="s">
        <v>3594</v>
      </c>
      <c r="G23" s="728" t="s">
        <v>3733</v>
      </c>
      <c r="H23" s="705" t="s">
        <v>73</v>
      </c>
      <c r="I23" s="40"/>
      <c r="J23" s="584" t="s">
        <v>3560</v>
      </c>
      <c r="K23" s="587" t="s">
        <v>3557</v>
      </c>
      <c r="L23" s="586" t="s">
        <v>1077</v>
      </c>
      <c r="M23" s="422"/>
      <c r="N23" s="417"/>
      <c r="O23" s="957">
        <v>46059</v>
      </c>
      <c r="P23" s="970">
        <v>115249.11</v>
      </c>
      <c r="Q23" s="971">
        <v>139180.99</v>
      </c>
      <c r="R23" s="960">
        <v>39426.06</v>
      </c>
      <c r="S23" s="403">
        <v>39240.33</v>
      </c>
      <c r="U23" s="43" t="s">
        <v>8</v>
      </c>
      <c r="V23" s="434">
        <v>46131</v>
      </c>
    </row>
    <row r="24" spans="1:22" ht="24" customHeight="1">
      <c r="A24" s="702" t="s">
        <v>8</v>
      </c>
      <c r="B24" s="711">
        <v>28</v>
      </c>
      <c r="C24" s="711">
        <v>16</v>
      </c>
      <c r="D24" s="711">
        <v>12</v>
      </c>
      <c r="E24" s="712"/>
      <c r="F24" s="712"/>
      <c r="G24" s="713"/>
      <c r="H24" s="714">
        <v>27850.66</v>
      </c>
      <c r="I24" s="40"/>
      <c r="J24" s="716" t="s">
        <v>3567</v>
      </c>
      <c r="K24" s="717">
        <v>82.351515151515144</v>
      </c>
      <c r="L24" s="718">
        <v>81.697530864197532</v>
      </c>
      <c r="M24" s="422"/>
      <c r="N24" s="417"/>
      <c r="O24" s="934">
        <v>46058</v>
      </c>
      <c r="P24" s="963">
        <v>115092.54</v>
      </c>
      <c r="Q24" s="825">
        <v>139222.10999999999</v>
      </c>
      <c r="R24" s="935">
        <v>39655.96</v>
      </c>
      <c r="S24" s="403">
        <v>41163.81</v>
      </c>
      <c r="U24" s="43" t="s">
        <v>10</v>
      </c>
      <c r="V24" s="434">
        <v>46133</v>
      </c>
    </row>
    <row r="25" spans="1:22" ht="24" customHeight="1">
      <c r="A25" s="702" t="s">
        <v>10</v>
      </c>
      <c r="B25" s="711">
        <v>23</v>
      </c>
      <c r="C25" s="711">
        <v>15</v>
      </c>
      <c r="D25" s="711">
        <v>8</v>
      </c>
      <c r="E25" s="712"/>
      <c r="F25" s="712"/>
      <c r="G25" s="713"/>
      <c r="H25" s="714">
        <v>16147.46</v>
      </c>
      <c r="I25" s="40"/>
      <c r="J25" s="719" t="s">
        <v>3561</v>
      </c>
      <c r="K25" s="720">
        <v>4203.82</v>
      </c>
      <c r="L25" s="721">
        <v>3681.79</v>
      </c>
      <c r="M25" s="422"/>
      <c r="N25" s="417"/>
      <c r="O25" s="398">
        <v>46057</v>
      </c>
      <c r="P25" s="820">
        <v>115145.12</v>
      </c>
      <c r="Q25" s="822">
        <v>139251.32999999999</v>
      </c>
      <c r="R25" s="785">
        <v>39422.83</v>
      </c>
      <c r="S25" s="788">
        <v>41389.89</v>
      </c>
      <c r="U25" s="43" t="s">
        <v>8</v>
      </c>
      <c r="V25" s="434">
        <v>46138</v>
      </c>
    </row>
    <row r="26" spans="1:22" ht="24" customHeight="1">
      <c r="A26" s="702" t="s">
        <v>15</v>
      </c>
      <c r="B26" s="806">
        <v>4</v>
      </c>
      <c r="C26" s="806">
        <v>2</v>
      </c>
      <c r="D26" s="806"/>
      <c r="E26" s="807"/>
      <c r="F26" s="807"/>
      <c r="G26" s="806">
        <v>2</v>
      </c>
      <c r="H26" s="756">
        <v>6990.53</v>
      </c>
      <c r="I26" s="40"/>
      <c r="J26" s="719" t="s">
        <v>3562</v>
      </c>
      <c r="K26" s="720">
        <v>5469.46</v>
      </c>
      <c r="L26" s="721">
        <v>5922.95</v>
      </c>
      <c r="M26" s="422"/>
      <c r="N26" s="417"/>
      <c r="O26" s="398">
        <v>46056</v>
      </c>
      <c r="P26" s="820">
        <v>115185.8</v>
      </c>
      <c r="Q26" s="825">
        <v>139236.76</v>
      </c>
      <c r="R26" s="785">
        <v>39422.83</v>
      </c>
      <c r="S26" s="788">
        <v>41389.89</v>
      </c>
      <c r="U26" s="43" t="s">
        <v>10</v>
      </c>
      <c r="V26" s="434">
        <v>46141</v>
      </c>
    </row>
    <row r="27" spans="1:22" ht="24" customHeight="1">
      <c r="A27" s="804" t="s">
        <v>3764</v>
      </c>
      <c r="B27" s="706">
        <v>1</v>
      </c>
      <c r="C27" s="706"/>
      <c r="D27" s="706"/>
      <c r="E27" s="810"/>
      <c r="F27" s="810"/>
      <c r="G27" s="806">
        <v>1</v>
      </c>
      <c r="H27" s="733">
        <v>600</v>
      </c>
      <c r="I27" s="40"/>
      <c r="J27" s="719" t="s">
        <v>3563</v>
      </c>
      <c r="K27" s="720">
        <v>7726.19</v>
      </c>
      <c r="L27" s="721">
        <v>18579.240000000002</v>
      </c>
      <c r="M27" s="422"/>
      <c r="N27" s="417"/>
      <c r="O27" s="398">
        <v>46055</v>
      </c>
      <c r="P27" s="820">
        <v>115182.69</v>
      </c>
      <c r="Q27" s="825">
        <v>139281.75</v>
      </c>
      <c r="R27" s="785">
        <v>37893.69</v>
      </c>
      <c r="S27" s="403">
        <v>41389.89</v>
      </c>
      <c r="U27" s="43" t="s">
        <v>8</v>
      </c>
      <c r="V27" s="434">
        <v>46144</v>
      </c>
    </row>
    <row r="28" spans="1:22" ht="24" customHeight="1">
      <c r="A28" s="715"/>
      <c r="B28" s="808">
        <f>SUBTOTAL(109,Avenir[N])</f>
        <v>56</v>
      </c>
      <c r="C28" s="808">
        <f>SUBTOTAL(109,Avenir[AirBNB])</f>
        <v>33</v>
      </c>
      <c r="D28" s="808">
        <f>SUBTOTAL(109,Avenir[Booking])</f>
        <v>20</v>
      </c>
      <c r="E28" s="808">
        <f>SUBTOTAL(109,Avenir[Hobe])</f>
        <v>0</v>
      </c>
      <c r="F28" s="808">
        <f>SUBTOTAL(109,Avenir[Marriott])</f>
        <v>0</v>
      </c>
      <c r="G28" s="808">
        <f>SUBTOTAL(109,Avenir[HomeExchange])</f>
        <v>3</v>
      </c>
      <c r="H28" s="809">
        <f>SUBTOTAL(109,Avenir[Versement])</f>
        <v>51588.649999999994</v>
      </c>
      <c r="I28" s="40"/>
      <c r="J28" s="719" t="s">
        <v>3564</v>
      </c>
      <c r="K28" s="720">
        <v>22001.4</v>
      </c>
      <c r="L28" s="721">
        <v>22543.66</v>
      </c>
      <c r="M28" s="422"/>
      <c r="N28" s="417"/>
      <c r="O28" s="398">
        <v>46054</v>
      </c>
      <c r="P28" s="820">
        <v>115179.85</v>
      </c>
      <c r="Q28" s="822">
        <v>139326.75</v>
      </c>
      <c r="R28" s="785">
        <v>36014.97</v>
      </c>
      <c r="S28" s="788">
        <v>40410.870000000003</v>
      </c>
      <c r="U28" s="43" t="s">
        <v>3764</v>
      </c>
      <c r="V28" s="434">
        <v>46145</v>
      </c>
    </row>
    <row r="29" spans="1:22" ht="24" customHeight="1">
      <c r="A29" s="37"/>
      <c r="B29" s="811"/>
      <c r="C29" s="811"/>
      <c r="D29" s="811"/>
      <c r="E29" s="811"/>
      <c r="F29" s="811"/>
      <c r="G29" s="811"/>
      <c r="H29" s="812"/>
      <c r="I29" s="38"/>
      <c r="J29" s="719" t="s">
        <v>3565</v>
      </c>
      <c r="K29" s="720">
        <v>56693.83</v>
      </c>
      <c r="L29" s="721">
        <v>36037.83</v>
      </c>
      <c r="O29" s="398">
        <v>46053</v>
      </c>
      <c r="P29" s="820">
        <v>115177</v>
      </c>
      <c r="Q29" s="825">
        <v>139523.87</v>
      </c>
      <c r="R29" s="785">
        <v>32236.58</v>
      </c>
      <c r="S29" s="788">
        <v>40066.71</v>
      </c>
      <c r="U29" s="43" t="s">
        <v>10</v>
      </c>
      <c r="V29" s="434">
        <v>46145</v>
      </c>
    </row>
    <row r="30" spans="1:22" ht="24" customHeight="1">
      <c r="A30" s="37"/>
      <c r="B30" s="811"/>
      <c r="C30" s="811"/>
      <c r="D30" s="811"/>
      <c r="E30" s="811"/>
      <c r="F30" s="811"/>
      <c r="G30" s="811"/>
      <c r="H30" s="812"/>
      <c r="I30" s="38"/>
      <c r="J30" s="719" t="s">
        <v>3566</v>
      </c>
      <c r="K30" s="720">
        <v>15940.33</v>
      </c>
      <c r="L30" s="721">
        <v>30409.74</v>
      </c>
      <c r="O30" s="398">
        <v>46052</v>
      </c>
      <c r="P30" s="820">
        <v>115326.28</v>
      </c>
      <c r="Q30" s="825">
        <v>139568.29999999999</v>
      </c>
      <c r="R30" s="785">
        <v>32845.07</v>
      </c>
      <c r="S30" s="788">
        <v>40066.71</v>
      </c>
      <c r="U30" s="43" t="s">
        <v>8</v>
      </c>
      <c r="V30" s="434">
        <v>46148</v>
      </c>
    </row>
    <row r="31" spans="1:22" ht="24" customHeight="1">
      <c r="A31" s="709" t="s">
        <v>3744</v>
      </c>
      <c r="I31" s="38"/>
      <c r="J31" s="722" t="s">
        <v>807</v>
      </c>
      <c r="K31" s="723">
        <v>112035.03</v>
      </c>
      <c r="L31" s="721">
        <v>117175.21</v>
      </c>
      <c r="O31" s="398">
        <v>46051</v>
      </c>
      <c r="P31" s="820">
        <v>115322.87</v>
      </c>
      <c r="Q31" s="825">
        <v>139496.93</v>
      </c>
      <c r="R31" s="785">
        <v>31967.18</v>
      </c>
      <c r="S31" s="788">
        <v>39331.83</v>
      </c>
      <c r="U31" s="43" t="s">
        <v>10</v>
      </c>
      <c r="V31" s="434">
        <v>46156</v>
      </c>
    </row>
    <row r="32" spans="1:22" ht="24" customHeight="1">
      <c r="A32" s="701" t="s">
        <v>60</v>
      </c>
      <c r="B32" s="729" t="s">
        <v>745</v>
      </c>
      <c r="C32" s="701" t="s">
        <v>23</v>
      </c>
      <c r="D32" s="730" t="s">
        <v>3573</v>
      </c>
      <c r="E32" s="701" t="s">
        <v>3594</v>
      </c>
      <c r="F32" s="701" t="s">
        <v>3733</v>
      </c>
      <c r="G32" s="701" t="s">
        <v>3595</v>
      </c>
      <c r="I32" s="38"/>
      <c r="J32" s="724" t="s">
        <v>3568</v>
      </c>
      <c r="K32" s="725"/>
      <c r="L32" s="725"/>
      <c r="O32" s="398">
        <v>46050</v>
      </c>
      <c r="P32" s="820">
        <v>115203.66</v>
      </c>
      <c r="Q32" s="825">
        <v>139672.1</v>
      </c>
      <c r="R32" s="785">
        <v>31967.18</v>
      </c>
      <c r="S32" s="788">
        <v>40681.71</v>
      </c>
      <c r="U32" s="43" t="s">
        <v>8</v>
      </c>
      <c r="V32" s="434">
        <v>46159</v>
      </c>
    </row>
    <row r="33" spans="1:22" ht="24" customHeight="1">
      <c r="A33" s="731" t="s">
        <v>8</v>
      </c>
      <c r="B33" s="814">
        <v>39497.839999999997</v>
      </c>
      <c r="C33" s="814">
        <v>25945.82</v>
      </c>
      <c r="D33" s="814">
        <v>798.4</v>
      </c>
      <c r="E33" s="814">
        <v>0</v>
      </c>
      <c r="F33" s="732">
        <v>0</v>
      </c>
      <c r="G33" s="732">
        <v>66242.06</v>
      </c>
      <c r="I33" s="38"/>
      <c r="O33" s="398">
        <v>46049</v>
      </c>
      <c r="P33" s="402">
        <v>115330.98</v>
      </c>
      <c r="Q33" s="821">
        <v>139999.95000000001</v>
      </c>
      <c r="R33" s="785">
        <v>32675.69</v>
      </c>
      <c r="S33" s="788">
        <v>40681.71</v>
      </c>
      <c r="U33" s="43" t="s">
        <v>10</v>
      </c>
      <c r="V33" s="434">
        <v>46160</v>
      </c>
    </row>
    <row r="34" spans="1:22" ht="24" customHeight="1">
      <c r="A34" s="731" t="s">
        <v>10</v>
      </c>
      <c r="B34" s="814">
        <v>34034.15</v>
      </c>
      <c r="C34" s="814">
        <v>13878.55</v>
      </c>
      <c r="D34" s="814">
        <v>0</v>
      </c>
      <c r="E34" s="814">
        <v>242.5</v>
      </c>
      <c r="F34" s="733">
        <v>0</v>
      </c>
      <c r="G34" s="733">
        <v>48155.199999999997</v>
      </c>
      <c r="I34" s="38"/>
      <c r="O34" s="398">
        <v>46048</v>
      </c>
      <c r="P34" s="402">
        <v>115611</v>
      </c>
      <c r="Q34" s="400">
        <v>140327.81</v>
      </c>
      <c r="R34" s="785">
        <v>31184.799999999999</v>
      </c>
      <c r="S34" s="788">
        <v>39768.5</v>
      </c>
      <c r="U34" s="43" t="s">
        <v>8</v>
      </c>
      <c r="V34" s="434">
        <v>46163</v>
      </c>
    </row>
    <row r="35" spans="1:22" ht="24" customHeight="1">
      <c r="A35" s="731" t="s">
        <v>13</v>
      </c>
      <c r="B35" s="814">
        <v>4762.33</v>
      </c>
      <c r="C35" s="814">
        <v>0</v>
      </c>
      <c r="D35" s="814">
        <v>0</v>
      </c>
      <c r="E35" s="814">
        <v>0</v>
      </c>
      <c r="F35" s="733">
        <v>0</v>
      </c>
      <c r="G35" s="733">
        <v>4762.33</v>
      </c>
      <c r="H35" s="594"/>
      <c r="I35" s="38"/>
      <c r="O35" s="398">
        <v>46047</v>
      </c>
      <c r="P35" s="402">
        <v>115891.02</v>
      </c>
      <c r="Q35" s="400">
        <v>140406.20000000001</v>
      </c>
      <c r="R35" s="785">
        <v>30183.82</v>
      </c>
      <c r="S35" s="788">
        <v>39768.5</v>
      </c>
      <c r="U35" s="43" t="s">
        <v>8</v>
      </c>
      <c r="V35" s="434">
        <v>46170</v>
      </c>
    </row>
    <row r="36" spans="1:22" ht="24" customHeight="1">
      <c r="A36" s="731" t="s">
        <v>15</v>
      </c>
      <c r="B36" s="814">
        <v>19055.54</v>
      </c>
      <c r="C36" s="814">
        <v>0</v>
      </c>
      <c r="D36" s="814">
        <v>0</v>
      </c>
      <c r="E36" s="814">
        <v>0</v>
      </c>
      <c r="F36" s="733">
        <v>0</v>
      </c>
      <c r="G36" s="733">
        <v>19055.54</v>
      </c>
      <c r="H36" s="42"/>
      <c r="I36" s="38"/>
      <c r="O36" s="398">
        <v>46046</v>
      </c>
      <c r="P36" s="402">
        <v>115921.57</v>
      </c>
      <c r="Q36" s="400">
        <v>140333.01999999999</v>
      </c>
      <c r="R36" s="785">
        <v>29575.55</v>
      </c>
      <c r="S36" s="788">
        <v>38837.46</v>
      </c>
      <c r="U36" s="43" t="s">
        <v>15</v>
      </c>
      <c r="V36" s="434">
        <v>46172</v>
      </c>
    </row>
    <row r="37" spans="1:22" ht="24" customHeight="1">
      <c r="A37" s="731" t="s">
        <v>18</v>
      </c>
      <c r="B37" s="814">
        <v>522.75</v>
      </c>
      <c r="C37" s="814">
        <v>0</v>
      </c>
      <c r="D37" s="814">
        <v>0</v>
      </c>
      <c r="E37" s="814">
        <v>0</v>
      </c>
      <c r="F37" s="734">
        <v>0</v>
      </c>
      <c r="G37" s="734">
        <v>522.75</v>
      </c>
      <c r="H37" s="699"/>
      <c r="I37" s="38"/>
      <c r="O37" s="398">
        <v>46045</v>
      </c>
      <c r="P37" s="402">
        <v>115800.55</v>
      </c>
      <c r="Q37" s="400">
        <v>140425.84</v>
      </c>
      <c r="R37" s="785">
        <v>29575.55</v>
      </c>
      <c r="S37" s="788">
        <v>38860.42</v>
      </c>
      <c r="U37" s="43" t="s">
        <v>10</v>
      </c>
      <c r="V37" s="434">
        <v>46174</v>
      </c>
    </row>
    <row r="38" spans="1:22" ht="24" customHeight="1">
      <c r="A38" s="734" t="s">
        <v>3764</v>
      </c>
      <c r="B38" s="734">
        <v>0</v>
      </c>
      <c r="C38" s="734">
        <v>0</v>
      </c>
      <c r="D38" s="815">
        <v>0</v>
      </c>
      <c r="E38" s="816">
        <v>0</v>
      </c>
      <c r="F38" s="734">
        <v>0</v>
      </c>
      <c r="G38" s="734">
        <v>0</v>
      </c>
      <c r="H38" s="699"/>
      <c r="I38" s="44"/>
      <c r="N38" s="38"/>
      <c r="O38" s="398">
        <v>46044</v>
      </c>
      <c r="P38" s="402">
        <v>115845.53</v>
      </c>
      <c r="Q38" s="400">
        <v>140425.84</v>
      </c>
      <c r="R38" s="785">
        <v>28892.43</v>
      </c>
      <c r="S38" s="788">
        <v>37571.550000000003</v>
      </c>
      <c r="U38" s="43" t="s">
        <v>8</v>
      </c>
      <c r="V38" s="434">
        <v>46174</v>
      </c>
    </row>
    <row r="39" spans="1:22" ht="24" customHeight="1">
      <c r="A39" s="735"/>
      <c r="B39" s="735">
        <f>SUBTOTAL(109,CA12Mois[AirBnB])</f>
        <v>97872.609999999986</v>
      </c>
      <c r="C39" s="735">
        <f>SUBTOTAL(109,CA12Mois[Booking])</f>
        <v>39824.369999999995</v>
      </c>
      <c r="D39" s="735">
        <f>SUBTOTAL(109,CA12Mois[Hobe])</f>
        <v>798.4</v>
      </c>
      <c r="E39" s="735">
        <f>SUBTOTAL(109,CA12Mois[Marriott])</f>
        <v>242.5</v>
      </c>
      <c r="F39" s="736">
        <f>SUBTOTAL(109,CA12Mois[HomeExchange])</f>
        <v>0</v>
      </c>
      <c r="G39" s="736">
        <f>SUBTOTAL(109,CA12Mois[CA 12 Mois])</f>
        <v>138737.88</v>
      </c>
      <c r="H39" s="38"/>
      <c r="I39" s="44"/>
      <c r="J39" s="45"/>
      <c r="K39" s="45"/>
      <c r="L39" s="417"/>
      <c r="M39" s="420"/>
      <c r="N39" s="34"/>
      <c r="O39" s="398">
        <v>46043</v>
      </c>
      <c r="P39" s="402">
        <v>115890.5</v>
      </c>
      <c r="Q39" s="400">
        <v>140483.01999999999</v>
      </c>
      <c r="R39" s="401">
        <v>28464.59</v>
      </c>
      <c r="S39" s="788">
        <v>35782.080000000002</v>
      </c>
      <c r="U39" s="43" t="s">
        <v>8</v>
      </c>
      <c r="V39" s="434">
        <v>46178</v>
      </c>
    </row>
    <row r="40" spans="1:22" ht="24" customHeight="1">
      <c r="A40" s="786"/>
      <c r="B40" s="786"/>
      <c r="C40" s="786"/>
      <c r="D40" s="786"/>
      <c r="E40" s="786"/>
      <c r="F40" s="787"/>
      <c r="G40" s="787"/>
      <c r="H40" s="38"/>
      <c r="L40" s="46"/>
      <c r="O40" s="398">
        <v>46042</v>
      </c>
      <c r="P40" s="402">
        <v>115807.02</v>
      </c>
      <c r="Q40" s="400">
        <v>140595.38</v>
      </c>
      <c r="R40" s="401">
        <v>29333.94</v>
      </c>
      <c r="S40" s="403">
        <v>36681.22</v>
      </c>
      <c r="U40" s="43" t="s">
        <v>15</v>
      </c>
      <c r="V40" s="434">
        <v>46180</v>
      </c>
    </row>
    <row r="41" spans="1:22" ht="24" customHeight="1">
      <c r="A41" s="704" t="s">
        <v>806</v>
      </c>
      <c r="B41" s="38"/>
      <c r="C41" s="38"/>
      <c r="D41" s="38"/>
      <c r="E41" s="38"/>
      <c r="F41" s="38"/>
      <c r="G41" s="424"/>
      <c r="H41" s="38"/>
      <c r="L41" s="37"/>
      <c r="O41" s="398">
        <v>46041</v>
      </c>
      <c r="P41" s="402">
        <v>115871.54</v>
      </c>
      <c r="Q41" s="400">
        <v>141016.74</v>
      </c>
      <c r="R41" s="401">
        <v>30816.28</v>
      </c>
      <c r="S41" s="403">
        <v>35773.33</v>
      </c>
      <c r="U41" s="432" t="s">
        <v>8</v>
      </c>
      <c r="V41" s="433">
        <v>46183</v>
      </c>
    </row>
    <row r="42" spans="1:22" ht="24" customHeight="1">
      <c r="A42" s="700" t="s">
        <v>806</v>
      </c>
      <c r="B42" s="1227" t="s">
        <v>22</v>
      </c>
      <c r="C42" s="1227"/>
      <c r="D42" s="1227" t="s">
        <v>23</v>
      </c>
      <c r="E42" s="1228"/>
      <c r="F42" s="1231" t="s">
        <v>3573</v>
      </c>
      <c r="G42" s="1232"/>
      <c r="H42" s="38"/>
      <c r="O42" s="398">
        <v>46039</v>
      </c>
      <c r="P42" s="402">
        <v>116197.22</v>
      </c>
      <c r="Q42" s="400">
        <v>141057.57</v>
      </c>
      <c r="R42" s="401">
        <v>30525.439999999999</v>
      </c>
      <c r="S42" s="788">
        <v>33691.33</v>
      </c>
      <c r="U42" s="43"/>
      <c r="V42" s="41">
        <f>SUBTOTAL(103,Menages[Date Ménage])</f>
        <v>37</v>
      </c>
    </row>
    <row r="43" spans="1:22" ht="24" customHeight="1">
      <c r="A43" s="702"/>
      <c r="B43" s="726" t="s">
        <v>22</v>
      </c>
      <c r="C43" s="726" t="s">
        <v>808</v>
      </c>
      <c r="D43" s="726" t="s">
        <v>807</v>
      </c>
      <c r="E43" s="738" t="s">
        <v>809</v>
      </c>
      <c r="F43" s="707" t="s">
        <v>807</v>
      </c>
      <c r="G43" s="737" t="s">
        <v>809</v>
      </c>
      <c r="H43" s="38"/>
      <c r="O43" s="398">
        <v>46038</v>
      </c>
      <c r="P43" s="402">
        <v>116190.21</v>
      </c>
      <c r="Q43" s="400">
        <v>140834.1</v>
      </c>
      <c r="R43" s="401">
        <v>30525.439999999999</v>
      </c>
      <c r="S43" s="403">
        <v>31960.7</v>
      </c>
    </row>
    <row r="44" spans="1:22" ht="24" customHeight="1">
      <c r="A44" s="739" t="s">
        <v>8</v>
      </c>
      <c r="B44" s="740" t="s">
        <v>3996</v>
      </c>
      <c r="C44" s="740" t="s">
        <v>3997</v>
      </c>
      <c r="D44" s="740" t="s">
        <v>3913</v>
      </c>
      <c r="E44" s="741" t="s">
        <v>3928</v>
      </c>
      <c r="F44" s="742"/>
      <c r="G44" s="707"/>
      <c r="H44" s="38"/>
      <c r="O44" s="398">
        <v>46037</v>
      </c>
      <c r="P44" s="402">
        <v>115918.9</v>
      </c>
      <c r="Q44" s="400">
        <v>140858.76</v>
      </c>
      <c r="R44" s="401">
        <v>28921.26</v>
      </c>
      <c r="S44" s="403">
        <v>31791.85</v>
      </c>
    </row>
    <row r="45" spans="1:22" ht="24" customHeight="1">
      <c r="A45" s="700" t="s">
        <v>10</v>
      </c>
      <c r="B45" s="740" t="s">
        <v>3998</v>
      </c>
      <c r="C45" s="740" t="s">
        <v>3999</v>
      </c>
      <c r="D45" s="740" t="s">
        <v>4000</v>
      </c>
      <c r="E45" s="741" t="s">
        <v>4001</v>
      </c>
      <c r="F45" s="742"/>
      <c r="G45" s="742"/>
      <c r="H45" s="38"/>
      <c r="O45" s="398">
        <v>46036</v>
      </c>
      <c r="P45" s="402">
        <v>115895.72</v>
      </c>
      <c r="Q45" s="400">
        <v>141053.25</v>
      </c>
      <c r="R45" s="401">
        <v>28921.26</v>
      </c>
      <c r="S45" s="403">
        <v>31342.33</v>
      </c>
    </row>
    <row r="46" spans="1:22" ht="24" customHeight="1">
      <c r="A46" s="739" t="s">
        <v>13</v>
      </c>
      <c r="B46" s="740" t="s">
        <v>3664</v>
      </c>
      <c r="C46" s="740" t="s">
        <v>3665</v>
      </c>
      <c r="D46" s="740"/>
      <c r="E46" s="741"/>
      <c r="F46" s="742"/>
      <c r="G46" s="742"/>
      <c r="O46" s="398">
        <v>46035</v>
      </c>
      <c r="P46" s="402">
        <v>116042.37</v>
      </c>
      <c r="Q46" s="400">
        <v>141247.75</v>
      </c>
      <c r="R46" s="401">
        <v>28130.33</v>
      </c>
      <c r="S46" s="403">
        <v>31342.33</v>
      </c>
    </row>
    <row r="47" spans="1:22" ht="24" customHeight="1">
      <c r="A47" s="700" t="s">
        <v>15</v>
      </c>
      <c r="B47" s="740" t="s">
        <v>3663</v>
      </c>
      <c r="C47" s="740" t="s">
        <v>3686</v>
      </c>
      <c r="D47" s="740"/>
      <c r="E47" s="741"/>
      <c r="F47" s="742"/>
      <c r="G47" s="742"/>
      <c r="O47" s="398">
        <v>46034</v>
      </c>
      <c r="P47" s="402">
        <v>116189.03</v>
      </c>
      <c r="Q47" s="400">
        <v>141442.25</v>
      </c>
      <c r="R47" s="401">
        <v>28130.33</v>
      </c>
      <c r="S47" s="403">
        <v>31342.33</v>
      </c>
    </row>
    <row r="48" spans="1:22" ht="24" customHeight="1">
      <c r="A48" s="793" t="s">
        <v>18</v>
      </c>
      <c r="B48" s="794" t="s">
        <v>3528</v>
      </c>
      <c r="C48" s="795"/>
      <c r="D48" s="795"/>
      <c r="E48" s="796"/>
      <c r="F48" s="797"/>
      <c r="G48" s="797"/>
      <c r="O48" s="398">
        <v>46033</v>
      </c>
      <c r="P48" s="402">
        <v>116335.67999999999</v>
      </c>
      <c r="Q48" s="400">
        <v>141374.20000000001</v>
      </c>
      <c r="R48" s="401">
        <v>27088.75</v>
      </c>
      <c r="S48" s="403">
        <v>31342.33</v>
      </c>
    </row>
    <row r="49" spans="1:19" ht="24" customHeight="1">
      <c r="A49" s="793" t="s">
        <v>3764</v>
      </c>
      <c r="B49" s="41"/>
      <c r="C49" s="41"/>
      <c r="D49" s="41"/>
      <c r="E49" s="41"/>
      <c r="F49" s="41"/>
      <c r="G49" s="41"/>
      <c r="O49" s="398">
        <v>46032</v>
      </c>
      <c r="P49" s="402">
        <v>116219.8</v>
      </c>
      <c r="Q49" s="400">
        <v>141306.17000000001</v>
      </c>
      <c r="R49" s="401">
        <v>27088.75</v>
      </c>
      <c r="S49" s="403">
        <v>31753.17</v>
      </c>
    </row>
    <row r="50" spans="1:19" ht="24" customHeight="1">
      <c r="A50" s="38"/>
      <c r="B50" s="38"/>
      <c r="C50" s="38"/>
      <c r="D50" s="38"/>
      <c r="E50" s="38"/>
      <c r="F50" s="38"/>
      <c r="G50" s="38"/>
      <c r="O50" s="398">
        <v>46031</v>
      </c>
      <c r="P50" s="402">
        <v>116103.92</v>
      </c>
      <c r="Q50" s="400">
        <v>141168.9</v>
      </c>
      <c r="R50" s="401">
        <v>27088.75</v>
      </c>
      <c r="S50" s="403">
        <v>31753.17</v>
      </c>
    </row>
    <row r="51" spans="1:19" ht="24" customHeight="1">
      <c r="F51" s="595"/>
      <c r="O51" s="398">
        <v>46030</v>
      </c>
      <c r="P51" s="402">
        <v>115918.82</v>
      </c>
      <c r="Q51" s="400">
        <v>141263.62</v>
      </c>
      <c r="R51" s="401">
        <v>26056</v>
      </c>
      <c r="S51" s="403">
        <v>31462.27</v>
      </c>
    </row>
    <row r="52" spans="1:19" ht="24" customHeight="1">
      <c r="A52" s="704" t="s">
        <v>3382</v>
      </c>
      <c r="B52" s="38"/>
      <c r="C52" s="37"/>
      <c r="D52" s="417"/>
      <c r="F52" s="403"/>
      <c r="O52" s="398">
        <v>46029</v>
      </c>
      <c r="P52" s="402">
        <v>115901.95</v>
      </c>
      <c r="Q52" s="400">
        <v>141692.35999999999</v>
      </c>
      <c r="R52" s="401">
        <v>28260.54</v>
      </c>
      <c r="S52" s="403">
        <v>31462.27</v>
      </c>
    </row>
    <row r="53" spans="1:19" ht="24" customHeight="1">
      <c r="A53" s="703" t="s">
        <v>880</v>
      </c>
      <c r="B53" s="800" t="s">
        <v>3767</v>
      </c>
      <c r="C53" s="800" t="s">
        <v>3768</v>
      </c>
      <c r="D53" s="800" t="s">
        <v>3769</v>
      </c>
      <c r="E53" s="801" t="s">
        <v>1603</v>
      </c>
      <c r="F53" s="801" t="s">
        <v>1604</v>
      </c>
      <c r="G53" s="801" t="s">
        <v>1701</v>
      </c>
      <c r="H53" s="801" t="s">
        <v>1605</v>
      </c>
      <c r="O53" s="398">
        <v>46028</v>
      </c>
      <c r="P53" s="402">
        <v>116219.12</v>
      </c>
      <c r="Q53" s="400">
        <v>142172.68</v>
      </c>
      <c r="R53" s="401">
        <v>27012.720000000001</v>
      </c>
      <c r="S53" s="403">
        <v>30790.37</v>
      </c>
    </row>
    <row r="54" spans="1:19" ht="24" customHeight="1">
      <c r="A54" s="743" t="s">
        <v>52</v>
      </c>
      <c r="B54" s="475">
        <v>7930.24</v>
      </c>
      <c r="C54" s="476">
        <v>17354.72</v>
      </c>
      <c r="D54" s="476">
        <v>17712.59</v>
      </c>
      <c r="E54" s="799">
        <v>0</v>
      </c>
      <c r="F54" s="1225">
        <v>0</v>
      </c>
      <c r="G54" s="799">
        <v>0</v>
      </c>
      <c r="H54" s="1226">
        <v>0</v>
      </c>
      <c r="O54" s="398">
        <v>46026</v>
      </c>
      <c r="P54" s="402">
        <v>116476.28</v>
      </c>
      <c r="Q54" s="400">
        <v>142100.21</v>
      </c>
      <c r="R54" s="401">
        <v>26002.6</v>
      </c>
      <c r="S54" s="403">
        <v>30323.85</v>
      </c>
    </row>
    <row r="55" spans="1:19" ht="24" customHeight="1">
      <c r="A55" s="743" t="s">
        <v>53</v>
      </c>
      <c r="B55" s="475">
        <v>13927.37</v>
      </c>
      <c r="C55" s="476">
        <v>13187.23</v>
      </c>
      <c r="D55" s="476">
        <v>15792.27</v>
      </c>
      <c r="E55" s="799">
        <v>0</v>
      </c>
      <c r="F55" s="1225">
        <v>0</v>
      </c>
      <c r="G55" s="799">
        <v>0</v>
      </c>
      <c r="H55" s="1226">
        <v>0</v>
      </c>
      <c r="O55" s="398">
        <v>46024</v>
      </c>
      <c r="P55" s="402">
        <v>116239.95</v>
      </c>
      <c r="Q55" s="400">
        <v>143071.69</v>
      </c>
      <c r="R55" s="401">
        <v>27434.06</v>
      </c>
      <c r="S55" s="403">
        <v>30110.23</v>
      </c>
    </row>
    <row r="56" spans="1:19" ht="24" customHeight="1">
      <c r="A56" s="743" t="s">
        <v>26</v>
      </c>
      <c r="B56" s="475">
        <v>8256.2900000000009</v>
      </c>
      <c r="C56" s="476">
        <v>7971.95</v>
      </c>
      <c r="D56" s="476">
        <v>0</v>
      </c>
      <c r="E56" s="799">
        <v>0</v>
      </c>
      <c r="F56" s="1225">
        <v>0</v>
      </c>
      <c r="G56" s="799">
        <v>0</v>
      </c>
      <c r="H56" s="1226">
        <v>0</v>
      </c>
      <c r="O56" s="398">
        <v>46021</v>
      </c>
      <c r="P56" s="402">
        <v>116287.02</v>
      </c>
      <c r="Q56" s="400">
        <v>143328.85</v>
      </c>
      <c r="R56" s="401">
        <v>27618.5</v>
      </c>
      <c r="S56" s="403">
        <v>30762.54</v>
      </c>
    </row>
    <row r="57" spans="1:19" ht="24" customHeight="1">
      <c r="A57" s="743" t="s">
        <v>27</v>
      </c>
      <c r="B57" s="475">
        <v>6203.31</v>
      </c>
      <c r="C57" s="476">
        <v>5975.5</v>
      </c>
      <c r="D57" s="476">
        <v>0</v>
      </c>
      <c r="E57" s="799">
        <v>0</v>
      </c>
      <c r="F57" s="1225">
        <v>0</v>
      </c>
      <c r="G57" s="799">
        <v>0</v>
      </c>
      <c r="H57" s="1226">
        <v>0</v>
      </c>
      <c r="O57" s="398">
        <v>46020</v>
      </c>
      <c r="P57" s="402">
        <v>116236.03</v>
      </c>
      <c r="Q57" s="400">
        <v>143585.99</v>
      </c>
      <c r="R57" s="401">
        <v>27618.5</v>
      </c>
      <c r="S57" s="403">
        <v>30671.86</v>
      </c>
    </row>
    <row r="58" spans="1:19" ht="24" customHeight="1">
      <c r="A58" s="743" t="s">
        <v>28</v>
      </c>
      <c r="B58" s="475">
        <v>5885.96</v>
      </c>
      <c r="C58" s="476">
        <v>5413.34</v>
      </c>
      <c r="D58" s="476">
        <v>0</v>
      </c>
      <c r="E58" s="799">
        <v>0</v>
      </c>
      <c r="F58" s="1225">
        <v>0</v>
      </c>
      <c r="G58" s="799">
        <v>0</v>
      </c>
      <c r="H58" s="1226">
        <v>0</v>
      </c>
      <c r="O58" s="398">
        <v>46019</v>
      </c>
      <c r="P58" s="402">
        <v>116185.04</v>
      </c>
      <c r="Q58" s="400">
        <v>144372.69</v>
      </c>
      <c r="R58" s="401">
        <v>27618.5</v>
      </c>
      <c r="S58" s="403">
        <v>30671.86</v>
      </c>
    </row>
    <row r="59" spans="1:19" ht="24" customHeight="1">
      <c r="A59" s="743" t="s">
        <v>29</v>
      </c>
      <c r="B59" s="475">
        <v>11182.5</v>
      </c>
      <c r="C59" s="476">
        <v>6994.99</v>
      </c>
      <c r="D59" s="476">
        <v>0</v>
      </c>
      <c r="E59" s="799">
        <v>0</v>
      </c>
      <c r="F59" s="1225">
        <v>0</v>
      </c>
      <c r="G59" s="799">
        <v>0</v>
      </c>
      <c r="H59" s="1226">
        <v>0</v>
      </c>
      <c r="L59" s="588"/>
      <c r="O59" s="398">
        <v>46017</v>
      </c>
      <c r="P59" s="402">
        <v>116355.46</v>
      </c>
      <c r="Q59" s="400">
        <v>144736.29999999999</v>
      </c>
      <c r="R59" s="401">
        <v>26853.5</v>
      </c>
      <c r="S59" s="403">
        <v>31049.78</v>
      </c>
    </row>
    <row r="60" spans="1:19" ht="24" customHeight="1">
      <c r="A60" s="743" t="s">
        <v>54</v>
      </c>
      <c r="B60" s="475">
        <v>9741.0499999999993</v>
      </c>
      <c r="C60" s="476">
        <v>16421.03</v>
      </c>
      <c r="D60" s="476">
        <v>0</v>
      </c>
      <c r="E60" s="799">
        <v>0</v>
      </c>
      <c r="F60" s="1225">
        <v>0</v>
      </c>
      <c r="G60" s="799">
        <v>0</v>
      </c>
      <c r="H60" s="1226">
        <v>0</v>
      </c>
      <c r="O60" s="398">
        <v>46016</v>
      </c>
      <c r="P60" s="402">
        <v>116410.93</v>
      </c>
      <c r="Q60" s="400">
        <v>145099.93</v>
      </c>
      <c r="R60" s="401">
        <v>25079.54</v>
      </c>
      <c r="S60" s="403">
        <v>31049.78</v>
      </c>
    </row>
    <row r="61" spans="1:19" ht="24" customHeight="1">
      <c r="A61" s="743" t="s">
        <v>55</v>
      </c>
      <c r="B61" s="475">
        <v>9104.06</v>
      </c>
      <c r="C61" s="476">
        <v>8831.7800000000007</v>
      </c>
      <c r="D61" s="476">
        <v>0</v>
      </c>
      <c r="E61" s="799">
        <v>0</v>
      </c>
      <c r="F61" s="1225">
        <v>0</v>
      </c>
      <c r="G61" s="799">
        <v>0</v>
      </c>
      <c r="H61" s="1226">
        <v>0</v>
      </c>
      <c r="O61" s="398">
        <v>46015</v>
      </c>
      <c r="P61" s="402">
        <v>116466.4</v>
      </c>
      <c r="Q61" s="400">
        <v>145282.76</v>
      </c>
      <c r="R61" s="401">
        <v>25079.54</v>
      </c>
      <c r="S61" s="403">
        <v>31049.78</v>
      </c>
    </row>
    <row r="62" spans="1:19" ht="24" customHeight="1">
      <c r="A62" s="743" t="s">
        <v>56</v>
      </c>
      <c r="B62" s="475">
        <v>11229.24</v>
      </c>
      <c r="C62" s="476">
        <v>8011.99</v>
      </c>
      <c r="D62" s="476">
        <v>0</v>
      </c>
      <c r="E62" s="799">
        <v>0</v>
      </c>
      <c r="F62" s="1225">
        <v>0</v>
      </c>
      <c r="G62" s="799">
        <v>0</v>
      </c>
      <c r="H62" s="1226">
        <v>0</v>
      </c>
      <c r="O62" s="398">
        <v>46013</v>
      </c>
      <c r="P62" s="402">
        <v>116433.99</v>
      </c>
      <c r="Q62" s="400">
        <v>145309.14000000001</v>
      </c>
      <c r="R62" s="401">
        <v>25775.79</v>
      </c>
      <c r="S62" s="403">
        <v>29386.560000000001</v>
      </c>
    </row>
    <row r="63" spans="1:19" ht="24" customHeight="1">
      <c r="A63" s="743" t="s">
        <v>57</v>
      </c>
      <c r="B63" s="475">
        <v>7958.63</v>
      </c>
      <c r="C63" s="476">
        <v>4780.1000000000004</v>
      </c>
      <c r="D63" s="476">
        <v>0</v>
      </c>
      <c r="E63" s="799">
        <v>0</v>
      </c>
      <c r="F63" s="1225">
        <v>0</v>
      </c>
      <c r="G63" s="799">
        <v>0</v>
      </c>
      <c r="H63" s="1226">
        <v>0</v>
      </c>
      <c r="O63" s="398">
        <v>46011</v>
      </c>
      <c r="P63" s="402">
        <v>116245.11</v>
      </c>
      <c r="Q63" s="400">
        <v>145339.51999999999</v>
      </c>
      <c r="R63" s="401">
        <v>25729.67</v>
      </c>
      <c r="S63" s="403">
        <v>30922.53</v>
      </c>
    </row>
    <row r="64" spans="1:19" ht="24" customHeight="1">
      <c r="A64" s="743" t="s">
        <v>58</v>
      </c>
      <c r="B64" s="475">
        <v>6789.03</v>
      </c>
      <c r="C64" s="476">
        <v>9528.7999999999993</v>
      </c>
      <c r="D64" s="476">
        <v>0</v>
      </c>
      <c r="E64" s="799">
        <v>0</v>
      </c>
      <c r="F64" s="1225">
        <v>0</v>
      </c>
      <c r="G64" s="799">
        <v>0</v>
      </c>
      <c r="H64" s="1226">
        <v>0</v>
      </c>
      <c r="O64" s="398">
        <v>46010</v>
      </c>
      <c r="P64" s="402">
        <v>116167.87</v>
      </c>
      <c r="Q64" s="400">
        <v>145553.15</v>
      </c>
      <c r="R64" s="401">
        <v>25729.67</v>
      </c>
      <c r="S64" s="403">
        <v>30399.54</v>
      </c>
    </row>
    <row r="65" spans="1:19" ht="24" customHeight="1">
      <c r="A65" s="743" t="s">
        <v>59</v>
      </c>
      <c r="B65" s="475">
        <v>10283.19</v>
      </c>
      <c r="C65" s="475">
        <v>4600.6899999999996</v>
      </c>
      <c r="D65" s="476">
        <v>0</v>
      </c>
      <c r="E65" s="799">
        <v>0</v>
      </c>
      <c r="F65" s="1225">
        <v>0</v>
      </c>
      <c r="G65" s="799">
        <v>0</v>
      </c>
      <c r="H65" s="1226">
        <v>0</v>
      </c>
      <c r="O65" s="398">
        <v>46007</v>
      </c>
      <c r="P65" s="402">
        <v>116058.62</v>
      </c>
      <c r="Q65" s="400">
        <v>145536.03</v>
      </c>
      <c r="R65" s="401">
        <v>26172.959999999999</v>
      </c>
      <c r="S65" s="403">
        <v>30028.31</v>
      </c>
    </row>
    <row r="66" spans="1:19" ht="24" customHeight="1">
      <c r="A66" s="743" t="s">
        <v>807</v>
      </c>
      <c r="B66" s="744">
        <v>108490.87</v>
      </c>
      <c r="C66" s="744">
        <v>109072.12</v>
      </c>
      <c r="D66" s="477">
        <v>33504.86</v>
      </c>
      <c r="E66" s="799">
        <v>0</v>
      </c>
      <c r="F66" s="1225">
        <v>0</v>
      </c>
      <c r="G66" s="799">
        <v>0</v>
      </c>
      <c r="H66" s="1226">
        <v>0</v>
      </c>
      <c r="K66" s="35"/>
      <c r="L66" s="36"/>
      <c r="M66" s="34"/>
      <c r="N66" s="34"/>
      <c r="O66" s="398">
        <v>46005</v>
      </c>
      <c r="P66" s="402">
        <v>115826.26</v>
      </c>
      <c r="Q66" s="400">
        <v>145831.76999999999</v>
      </c>
      <c r="R66" s="401">
        <v>28186.86</v>
      </c>
      <c r="S66" s="403">
        <v>29072.89</v>
      </c>
    </row>
    <row r="67" spans="1:19" ht="24" customHeight="1">
      <c r="F67" s="403"/>
      <c r="L67" s="588"/>
      <c r="O67" s="398">
        <v>46003</v>
      </c>
      <c r="P67" s="402">
        <v>115906.73</v>
      </c>
      <c r="Q67" s="400">
        <v>146127.72</v>
      </c>
      <c r="R67" s="401">
        <v>28186.86</v>
      </c>
      <c r="S67" s="403">
        <v>29072.89</v>
      </c>
    </row>
    <row r="68" spans="1:19" ht="24" customHeight="1">
      <c r="F68" s="403"/>
      <c r="L68" s="588"/>
      <c r="O68" s="398">
        <v>46002</v>
      </c>
      <c r="P68" s="402">
        <v>116095.05</v>
      </c>
      <c r="Q68" s="400">
        <v>146356.75</v>
      </c>
      <c r="R68" s="401">
        <v>30334.62</v>
      </c>
      <c r="S68" s="403">
        <v>27770.55</v>
      </c>
    </row>
    <row r="69" spans="1:19" ht="24" customHeight="1">
      <c r="A69" s="704" t="s">
        <v>3747</v>
      </c>
      <c r="B69" s="403"/>
      <c r="C69" s="38"/>
      <c r="E69" s="35"/>
      <c r="F69" s="35"/>
      <c r="L69" s="588"/>
      <c r="O69" s="398">
        <v>46001</v>
      </c>
      <c r="P69" s="402">
        <v>116216.46</v>
      </c>
      <c r="Q69" s="400">
        <v>146814.82</v>
      </c>
      <c r="R69" s="401">
        <v>30334.62</v>
      </c>
      <c r="S69" s="403">
        <v>28304.27</v>
      </c>
    </row>
    <row r="70" spans="1:19" ht="24" customHeight="1">
      <c r="A70" s="745" t="s">
        <v>880</v>
      </c>
      <c r="B70" s="746" t="s">
        <v>2795</v>
      </c>
      <c r="C70" s="747" t="s">
        <v>3942</v>
      </c>
      <c r="D70" s="746" t="s">
        <v>2993</v>
      </c>
      <c r="E70" s="747" t="s">
        <v>3089</v>
      </c>
      <c r="F70" s="748" t="s">
        <v>3943</v>
      </c>
      <c r="H70" s="34"/>
      <c r="I70" s="588"/>
      <c r="J70" s="423"/>
      <c r="L70" s="588"/>
      <c r="O70" s="398">
        <v>45999</v>
      </c>
      <c r="P70" s="402">
        <v>116459.29</v>
      </c>
      <c r="Q70" s="400">
        <v>147165.49</v>
      </c>
      <c r="R70" s="401">
        <v>30334.62</v>
      </c>
      <c r="S70" s="403">
        <v>28304.27</v>
      </c>
    </row>
    <row r="71" spans="1:19" ht="24" customHeight="1">
      <c r="A71" s="749" t="s">
        <v>4033</v>
      </c>
      <c r="B71" s="750">
        <v>7025.77</v>
      </c>
      <c r="C71" s="714">
        <v>8172.4700000000012</v>
      </c>
      <c r="D71" s="751">
        <v>7813.1999999999989</v>
      </c>
      <c r="E71" s="752">
        <v>7269.33</v>
      </c>
      <c r="F71" s="753">
        <v>6848.5700000000015</v>
      </c>
      <c r="L71" s="588"/>
      <c r="O71" s="398">
        <v>45998</v>
      </c>
      <c r="P71" s="402">
        <v>116702.31</v>
      </c>
      <c r="Q71" s="400">
        <v>147193.57999999999</v>
      </c>
      <c r="R71" s="401">
        <v>30699.45</v>
      </c>
      <c r="S71" s="403">
        <v>28304.27</v>
      </c>
    </row>
    <row r="72" spans="1:19" ht="24" customHeight="1">
      <c r="A72" s="754" t="s">
        <v>4034</v>
      </c>
      <c r="B72" s="755">
        <v>7397.9800000000005</v>
      </c>
      <c r="C72" s="756">
        <v>4580.2700000000004</v>
      </c>
      <c r="D72" s="757">
        <v>9702.3599999999988</v>
      </c>
      <c r="E72" s="758">
        <v>7519.1100000000006</v>
      </c>
      <c r="F72" s="759">
        <v>3226.34</v>
      </c>
      <c r="O72" s="398">
        <v>45997</v>
      </c>
      <c r="P72" s="402">
        <v>116622.78</v>
      </c>
      <c r="Q72" s="400">
        <v>147221.67000000001</v>
      </c>
      <c r="R72" s="401">
        <v>31063.19</v>
      </c>
      <c r="S72" s="403">
        <v>30716.92</v>
      </c>
    </row>
    <row r="73" spans="1:19" ht="24" customHeight="1">
      <c r="A73" s="749" t="s">
        <v>4035</v>
      </c>
      <c r="B73" s="750">
        <v>9259.27</v>
      </c>
      <c r="C73" s="714">
        <v>7147.34</v>
      </c>
      <c r="D73" s="751">
        <v>8331.1099999999988</v>
      </c>
      <c r="E73" s="752">
        <v>7155.59</v>
      </c>
      <c r="F73" s="753">
        <v>10353.510000000002</v>
      </c>
      <c r="O73" s="398">
        <v>45996</v>
      </c>
      <c r="P73" s="402">
        <v>116543.25</v>
      </c>
      <c r="Q73" s="400">
        <v>147249.76999999999</v>
      </c>
      <c r="R73" s="401">
        <v>30835.63</v>
      </c>
      <c r="S73" s="403">
        <v>30216.78</v>
      </c>
    </row>
    <row r="74" spans="1:19" ht="24" customHeight="1">
      <c r="F74" s="403"/>
      <c r="O74" s="398">
        <v>45995</v>
      </c>
      <c r="P74" s="402">
        <v>116463.72</v>
      </c>
      <c r="Q74" s="400">
        <v>147416.48000000001</v>
      </c>
      <c r="R74" s="401">
        <v>30835.63</v>
      </c>
      <c r="S74" s="403">
        <v>29718.91</v>
      </c>
    </row>
    <row r="75" spans="1:19" ht="24" customHeight="1">
      <c r="F75" s="403"/>
      <c r="O75" s="398">
        <v>45994</v>
      </c>
      <c r="P75" s="402">
        <v>116522.8</v>
      </c>
      <c r="Q75" s="400">
        <v>147524.15</v>
      </c>
      <c r="R75" s="401">
        <v>31252.19</v>
      </c>
      <c r="S75" s="403">
        <v>30119.97</v>
      </c>
    </row>
    <row r="76" spans="1:19" ht="24" customHeight="1">
      <c r="A76" s="708" t="s">
        <v>1410</v>
      </c>
      <c r="B76" s="417"/>
      <c r="F76" s="403"/>
      <c r="O76" s="398">
        <v>45993</v>
      </c>
      <c r="P76" s="402">
        <v>116581.77</v>
      </c>
      <c r="Q76" s="400">
        <v>147620.38</v>
      </c>
      <c r="R76" s="401">
        <v>31252.19</v>
      </c>
      <c r="S76" s="403">
        <v>29754.28</v>
      </c>
    </row>
    <row r="77" spans="1:19" ht="24" customHeight="1">
      <c r="A77" s="421" t="s">
        <v>1411</v>
      </c>
      <c r="B77" s="418" t="s">
        <v>1412</v>
      </c>
      <c r="C77" s="404" t="s">
        <v>1413</v>
      </c>
      <c r="F77" s="403"/>
      <c r="O77" s="398">
        <v>45992</v>
      </c>
      <c r="P77" s="402">
        <v>116629.29</v>
      </c>
      <c r="Q77" s="400">
        <v>147716.59</v>
      </c>
      <c r="R77" s="401">
        <v>31480.61</v>
      </c>
      <c r="S77" s="403">
        <v>29754.28</v>
      </c>
    </row>
    <row r="78" spans="1:19" ht="24" customHeight="1">
      <c r="A78" s="474"/>
      <c r="B78" s="478"/>
      <c r="C78" s="435"/>
      <c r="F78" s="403"/>
      <c r="L78" s="35"/>
      <c r="O78" s="398">
        <v>45991</v>
      </c>
      <c r="P78" s="402">
        <v>116676.8</v>
      </c>
      <c r="Q78" s="400">
        <v>147913.1</v>
      </c>
      <c r="R78" s="401">
        <v>31480.61</v>
      </c>
      <c r="S78" s="403">
        <v>29754.28</v>
      </c>
    </row>
    <row r="79" spans="1:19" ht="24" customHeight="1">
      <c r="A79" s="474"/>
      <c r="B79" s="478"/>
      <c r="C79" s="435"/>
      <c r="F79" s="403"/>
      <c r="O79" s="398">
        <v>45989</v>
      </c>
      <c r="P79" s="402">
        <v>116775.89</v>
      </c>
      <c r="Q79" s="400">
        <v>148168.51</v>
      </c>
      <c r="R79" s="401">
        <v>32093.200000000001</v>
      </c>
      <c r="S79" s="403">
        <v>28024.62</v>
      </c>
    </row>
    <row r="80" spans="1:19" ht="24" customHeight="1">
      <c r="F80" s="403"/>
      <c r="O80" s="398">
        <v>45988</v>
      </c>
      <c r="P80" s="402">
        <v>116982.61</v>
      </c>
      <c r="Q80" s="400">
        <v>148027.85999999999</v>
      </c>
      <c r="R80" s="401">
        <v>32285.58</v>
      </c>
      <c r="S80" s="403">
        <v>27604.36</v>
      </c>
    </row>
    <row r="81" spans="6:19" ht="24" customHeight="1">
      <c r="F81" s="403"/>
      <c r="O81" s="398">
        <v>45987</v>
      </c>
      <c r="P81" s="402">
        <v>116793.23</v>
      </c>
      <c r="Q81" s="400">
        <v>148054.35</v>
      </c>
      <c r="R81" s="401">
        <v>32065.19</v>
      </c>
      <c r="S81" s="403">
        <v>29027.07</v>
      </c>
    </row>
    <row r="82" spans="6:19" ht="24" customHeight="1">
      <c r="F82" s="403"/>
      <c r="O82" s="792"/>
      <c r="P82" s="402"/>
      <c r="Q82" s="400"/>
      <c r="R82" s="401"/>
      <c r="S82" s="403"/>
    </row>
    <row r="83" spans="6:19" ht="24" customHeight="1">
      <c r="F83" s="403"/>
      <c r="M83" s="40"/>
      <c r="N83" s="423"/>
      <c r="O83" s="398">
        <v>45986</v>
      </c>
      <c r="P83" s="402">
        <v>116771.03</v>
      </c>
      <c r="Q83" s="400">
        <v>148054.35</v>
      </c>
      <c r="R83" s="401">
        <v>31025.43</v>
      </c>
      <c r="S83" s="403">
        <v>29027.07</v>
      </c>
    </row>
    <row r="84" spans="6:19" ht="24" customHeight="1">
      <c r="F84" s="403"/>
      <c r="M84" s="40"/>
      <c r="N84" s="423"/>
      <c r="O84" s="398">
        <v>45985</v>
      </c>
      <c r="P84" s="402">
        <v>116897.18</v>
      </c>
      <c r="Q84" s="400">
        <v>148404.04999999999</v>
      </c>
      <c r="R84" s="401">
        <v>31618.87</v>
      </c>
      <c r="S84" s="403">
        <v>29027</v>
      </c>
    </row>
    <row r="85" spans="6:19" ht="24" customHeight="1">
      <c r="F85" s="403"/>
      <c r="O85" s="398">
        <v>45984</v>
      </c>
      <c r="P85" s="402">
        <v>117023.33</v>
      </c>
      <c r="Q85" s="400">
        <v>148315.76999999999</v>
      </c>
      <c r="R85" s="401">
        <v>30327.81</v>
      </c>
      <c r="S85" s="403">
        <v>28450.959999999999</v>
      </c>
    </row>
    <row r="86" spans="6:19" ht="24" customHeight="1">
      <c r="F86" s="403"/>
      <c r="O86" s="398">
        <v>45983</v>
      </c>
      <c r="P86" s="402">
        <v>116941.7</v>
      </c>
      <c r="Q86" s="400">
        <v>148060.32999999999</v>
      </c>
      <c r="R86" s="401">
        <v>28935.42</v>
      </c>
      <c r="S86" s="403">
        <v>29513.78</v>
      </c>
    </row>
    <row r="87" spans="6:19" ht="24" customHeight="1">
      <c r="F87" s="403"/>
      <c r="O87" s="398">
        <v>45982</v>
      </c>
      <c r="P87" s="402">
        <v>116692.9</v>
      </c>
      <c r="Q87" s="400">
        <v>148241.46</v>
      </c>
      <c r="R87" s="401">
        <v>28226.91</v>
      </c>
      <c r="S87" s="403">
        <v>30182.44</v>
      </c>
    </row>
    <row r="88" spans="6:19" ht="24" customHeight="1">
      <c r="F88" s="403"/>
      <c r="O88" s="398">
        <v>45981</v>
      </c>
      <c r="P88" s="402">
        <v>116880.67</v>
      </c>
      <c r="Q88" s="400">
        <v>148539.56</v>
      </c>
      <c r="R88" s="401">
        <v>29383.97</v>
      </c>
      <c r="S88" s="403">
        <v>29926.84</v>
      </c>
    </row>
    <row r="89" spans="6:19" ht="24" customHeight="1">
      <c r="F89" s="403"/>
      <c r="L89" s="35"/>
      <c r="M89" s="40"/>
      <c r="N89" s="423"/>
      <c r="O89" s="398">
        <v>45980</v>
      </c>
      <c r="P89" s="402">
        <v>117185.43</v>
      </c>
      <c r="Q89" s="400">
        <v>148784.01999999999</v>
      </c>
      <c r="R89" s="401">
        <v>29354.79</v>
      </c>
      <c r="S89" s="403">
        <v>30201.53</v>
      </c>
    </row>
    <row r="90" spans="6:19" ht="24" customHeight="1">
      <c r="F90" s="403"/>
      <c r="M90" s="40"/>
      <c r="N90" s="423"/>
      <c r="O90" s="398">
        <v>45979</v>
      </c>
      <c r="P90" s="402">
        <v>117370.49</v>
      </c>
      <c r="Q90" s="400">
        <v>148952.41</v>
      </c>
      <c r="R90" s="401">
        <v>29354.79</v>
      </c>
      <c r="S90" s="403">
        <v>30201.53</v>
      </c>
    </row>
    <row r="91" spans="6:19" ht="24" customHeight="1">
      <c r="F91" s="403"/>
      <c r="M91" s="40"/>
      <c r="N91" s="38"/>
      <c r="O91" s="398">
        <v>45977</v>
      </c>
      <c r="P91" s="402">
        <v>117420.12</v>
      </c>
      <c r="Q91" s="400">
        <v>149104.03</v>
      </c>
      <c r="R91" s="401">
        <v>29068.49</v>
      </c>
      <c r="S91" s="403">
        <v>30142.01</v>
      </c>
    </row>
    <row r="92" spans="6:19" ht="24" customHeight="1">
      <c r="F92" s="403"/>
      <c r="M92" s="40"/>
      <c r="N92" s="38"/>
      <c r="O92" s="398">
        <v>45976</v>
      </c>
      <c r="P92" s="402">
        <v>117512.34</v>
      </c>
      <c r="Q92" s="400">
        <v>149283.57</v>
      </c>
      <c r="R92" s="401">
        <v>29558.33</v>
      </c>
      <c r="S92" s="403">
        <v>30142.01</v>
      </c>
    </row>
    <row r="93" spans="6:19" ht="24" customHeight="1">
      <c r="F93" s="403"/>
      <c r="M93" s="40"/>
      <c r="N93" s="38"/>
      <c r="O93" s="398">
        <v>45975</v>
      </c>
      <c r="P93" s="402">
        <v>117632.5</v>
      </c>
      <c r="Q93" s="400">
        <v>149296.18</v>
      </c>
      <c r="R93" s="401">
        <v>29710.92</v>
      </c>
      <c r="S93" s="403">
        <v>31059.45</v>
      </c>
    </row>
    <row r="94" spans="6:19" ht="24" customHeight="1">
      <c r="F94" s="403"/>
      <c r="M94" s="40"/>
      <c r="N94" s="38"/>
      <c r="O94" s="398">
        <v>45974</v>
      </c>
      <c r="P94" s="402">
        <v>117585.72</v>
      </c>
      <c r="Q94" s="400">
        <v>149379.29</v>
      </c>
      <c r="R94" s="401">
        <v>29710.92</v>
      </c>
      <c r="S94" s="403">
        <v>31560.3</v>
      </c>
    </row>
    <row r="95" spans="6:19" ht="24" customHeight="1">
      <c r="F95" s="403"/>
      <c r="G95" s="38"/>
      <c r="M95" s="40"/>
      <c r="N95" s="38"/>
      <c r="O95" s="398">
        <v>45973</v>
      </c>
      <c r="P95" s="402">
        <v>117609.45</v>
      </c>
      <c r="Q95" s="400">
        <v>149502.15</v>
      </c>
      <c r="R95" s="401">
        <v>27693.66</v>
      </c>
      <c r="S95" s="403">
        <v>31560.3</v>
      </c>
    </row>
    <row r="96" spans="6:19" ht="24" customHeight="1">
      <c r="F96" s="403"/>
      <c r="G96" s="38"/>
      <c r="M96" s="40"/>
      <c r="N96" s="38"/>
      <c r="O96" s="398">
        <v>45972</v>
      </c>
      <c r="P96" s="402">
        <v>117672.92</v>
      </c>
      <c r="Q96" s="400">
        <v>149688.95000000001</v>
      </c>
      <c r="R96" s="401">
        <v>27451.040000000001</v>
      </c>
      <c r="S96" s="403">
        <v>31560.3</v>
      </c>
    </row>
    <row r="97" spans="6:19" ht="24" customHeight="1">
      <c r="F97" s="403"/>
      <c r="G97" s="38"/>
      <c r="L97" s="35"/>
      <c r="M97" s="40"/>
      <c r="N97" s="38"/>
      <c r="O97" s="398">
        <v>45971</v>
      </c>
      <c r="P97" s="402">
        <v>117800.33</v>
      </c>
      <c r="Q97" s="400">
        <v>149896.23000000001</v>
      </c>
      <c r="R97" s="401">
        <v>26711.08</v>
      </c>
      <c r="S97" s="403">
        <v>30602.11</v>
      </c>
    </row>
    <row r="98" spans="6:19" ht="24" customHeight="1">
      <c r="F98" s="403"/>
      <c r="G98" s="38"/>
      <c r="L98" s="35"/>
      <c r="M98" s="40"/>
      <c r="N98" s="38"/>
      <c r="O98" s="398">
        <v>45970</v>
      </c>
      <c r="P98" s="402">
        <v>117948.22</v>
      </c>
      <c r="Q98" s="400">
        <v>150026.32</v>
      </c>
      <c r="R98" s="401">
        <v>27274.12</v>
      </c>
      <c r="S98" s="403">
        <v>30602.11</v>
      </c>
    </row>
    <row r="99" spans="6:19" ht="24" customHeight="1">
      <c r="F99" s="403"/>
      <c r="G99" s="38"/>
      <c r="L99" s="38"/>
      <c r="M99" s="38"/>
      <c r="N99" s="38"/>
      <c r="O99" s="398">
        <v>45968</v>
      </c>
      <c r="P99" s="402">
        <v>117959.54</v>
      </c>
      <c r="Q99" s="400">
        <v>150183.67999999999</v>
      </c>
      <c r="R99" s="401">
        <v>27076.560000000001</v>
      </c>
      <c r="S99" s="403">
        <v>30602.11</v>
      </c>
    </row>
    <row r="100" spans="6:19" ht="24" customHeight="1">
      <c r="F100" s="403"/>
      <c r="G100" s="38"/>
      <c r="N100" s="38"/>
      <c r="O100" s="398">
        <v>45966</v>
      </c>
      <c r="P100" s="402">
        <v>117998.13</v>
      </c>
      <c r="Q100" s="400">
        <v>150679.67000000001</v>
      </c>
      <c r="R100" s="401">
        <v>28303.75</v>
      </c>
      <c r="S100" s="403">
        <v>31224.77</v>
      </c>
    </row>
    <row r="101" spans="6:19">
      <c r="F101" s="403"/>
      <c r="G101" s="38"/>
      <c r="N101" s="38"/>
      <c r="O101" s="398">
        <v>45964</v>
      </c>
      <c r="P101" s="402">
        <v>118375.35</v>
      </c>
      <c r="Q101" s="400">
        <v>150904.19</v>
      </c>
      <c r="R101" s="401">
        <v>28303.75</v>
      </c>
      <c r="S101" s="403">
        <v>30222.61</v>
      </c>
    </row>
    <row r="102" spans="6:19">
      <c r="F102" s="403"/>
      <c r="G102" s="38"/>
      <c r="N102" s="38"/>
      <c r="O102" s="398">
        <v>45963</v>
      </c>
      <c r="P102" s="402">
        <v>118540.47</v>
      </c>
      <c r="Q102" s="400">
        <v>150969.07999999999</v>
      </c>
      <c r="R102" s="401">
        <v>27695.26</v>
      </c>
      <c r="S102" s="403">
        <v>31477.43</v>
      </c>
    </row>
    <row r="103" spans="6:19">
      <c r="F103" s="403"/>
      <c r="G103" s="38"/>
      <c r="N103" s="38"/>
      <c r="O103" s="398">
        <v>45961</v>
      </c>
      <c r="P103" s="402">
        <v>118486.59</v>
      </c>
      <c r="Q103" s="400">
        <v>151121.81</v>
      </c>
      <c r="R103" s="401">
        <v>28323.360000000001</v>
      </c>
      <c r="S103" s="403">
        <v>31477.43</v>
      </c>
    </row>
    <row r="104" spans="6:19">
      <c r="F104" s="403"/>
      <c r="G104" s="38"/>
      <c r="N104" s="38"/>
      <c r="O104" s="398">
        <v>45960</v>
      </c>
      <c r="P104" s="402">
        <v>118576.33</v>
      </c>
      <c r="Q104" s="400">
        <v>151339.26</v>
      </c>
      <c r="R104" s="401">
        <v>28077.93</v>
      </c>
      <c r="S104" s="403">
        <v>31477.43</v>
      </c>
    </row>
    <row r="105" spans="6:19">
      <c r="F105" s="403"/>
      <c r="G105" s="38"/>
      <c r="N105" s="38"/>
      <c r="O105" s="398">
        <v>45958</v>
      </c>
      <c r="P105" s="402">
        <v>118667.75</v>
      </c>
      <c r="Q105" s="400">
        <v>151324.09</v>
      </c>
      <c r="R105" s="401">
        <v>28775.19</v>
      </c>
      <c r="S105" s="403">
        <v>31401.29</v>
      </c>
    </row>
    <row r="106" spans="6:19">
      <c r="F106" s="403"/>
      <c r="G106" s="38"/>
      <c r="N106" s="38"/>
      <c r="O106" s="398">
        <v>45957</v>
      </c>
      <c r="P106" s="402">
        <v>118589.55</v>
      </c>
      <c r="Q106" s="400">
        <v>151373.97</v>
      </c>
      <c r="R106" s="401">
        <v>28775.19</v>
      </c>
      <c r="S106" s="403">
        <v>32780.839999999997</v>
      </c>
    </row>
    <row r="107" spans="6:19" ht="20.399999999999999">
      <c r="F107" s="403"/>
      <c r="G107" s="38"/>
      <c r="L107" s="38"/>
      <c r="M107" s="38"/>
      <c r="N107" s="38"/>
      <c r="O107" s="398">
        <v>45956</v>
      </c>
      <c r="P107" s="402">
        <v>118576.43</v>
      </c>
      <c r="Q107" s="400">
        <v>151423.85999999999</v>
      </c>
      <c r="R107" s="401">
        <v>30278.39</v>
      </c>
      <c r="S107" s="403">
        <v>32413.91</v>
      </c>
    </row>
    <row r="108" spans="6:19" ht="20.399999999999999">
      <c r="F108" s="403"/>
      <c r="G108" s="38"/>
      <c r="L108" s="38"/>
      <c r="M108" s="38"/>
      <c r="N108" s="38"/>
      <c r="O108" s="398">
        <v>45955</v>
      </c>
      <c r="P108" s="402">
        <v>118563.31</v>
      </c>
      <c r="Q108" s="400">
        <v>151324.25</v>
      </c>
      <c r="R108" s="401">
        <v>29788.55</v>
      </c>
      <c r="S108" s="403">
        <v>32413.91</v>
      </c>
    </row>
    <row r="109" spans="6:19" ht="20.399999999999999">
      <c r="F109" s="403"/>
      <c r="G109" s="38"/>
      <c r="L109" s="38"/>
      <c r="M109" s="38"/>
      <c r="N109" s="38"/>
      <c r="O109" s="398">
        <v>45954</v>
      </c>
      <c r="P109" s="402">
        <v>118400.69</v>
      </c>
      <c r="Q109" s="400">
        <v>151253.06</v>
      </c>
      <c r="R109" s="401">
        <v>30500.27</v>
      </c>
      <c r="S109" s="403">
        <v>33324.42</v>
      </c>
    </row>
    <row r="110" spans="6:19" ht="20.399999999999999">
      <c r="F110" s="403"/>
      <c r="G110" s="38"/>
      <c r="L110" s="38"/>
      <c r="M110" s="38"/>
      <c r="N110" s="38"/>
      <c r="O110" s="398">
        <v>45953</v>
      </c>
      <c r="P110" s="402">
        <v>118266.48</v>
      </c>
      <c r="Q110" s="400">
        <v>151587.91</v>
      </c>
      <c r="R110" s="401">
        <v>30500.27</v>
      </c>
      <c r="S110" s="403">
        <v>33703.370000000003</v>
      </c>
    </row>
    <row r="111" spans="6:19">
      <c r="F111" s="403"/>
      <c r="G111" s="38"/>
      <c r="L111" s="38"/>
      <c r="M111" s="38"/>
      <c r="N111" s="422"/>
      <c r="O111" s="398">
        <v>45952</v>
      </c>
      <c r="P111" s="402">
        <v>118538.33</v>
      </c>
      <c r="Q111" s="400">
        <v>151694.37</v>
      </c>
      <c r="R111" s="401">
        <v>29061.1</v>
      </c>
      <c r="S111" s="403">
        <v>33910.54</v>
      </c>
    </row>
    <row r="112" spans="6:19">
      <c r="F112" s="403"/>
      <c r="G112" s="38"/>
      <c r="L112" s="38"/>
      <c r="M112" s="38"/>
      <c r="N112" s="422"/>
      <c r="O112" s="398">
        <v>45951</v>
      </c>
      <c r="P112" s="402">
        <v>118581.77</v>
      </c>
      <c r="Q112" s="400">
        <v>151800.82</v>
      </c>
      <c r="R112" s="401">
        <v>29061.1</v>
      </c>
      <c r="S112" s="403">
        <v>32393.57</v>
      </c>
    </row>
    <row r="113" spans="6:19">
      <c r="F113" s="403"/>
      <c r="G113" s="38"/>
      <c r="L113" s="38"/>
      <c r="M113" s="38"/>
      <c r="N113" s="422"/>
      <c r="O113" s="398">
        <v>45950</v>
      </c>
      <c r="P113" s="402">
        <v>118625.2</v>
      </c>
      <c r="Q113" s="400">
        <v>151907.26</v>
      </c>
      <c r="R113" s="401">
        <v>29061.1</v>
      </c>
      <c r="S113" s="403">
        <v>31476.13</v>
      </c>
    </row>
    <row r="114" spans="6:19">
      <c r="F114" s="403"/>
      <c r="G114" s="38"/>
      <c r="L114" s="38"/>
      <c r="M114" s="38"/>
      <c r="N114" s="422"/>
      <c r="O114" s="398">
        <v>45949</v>
      </c>
      <c r="P114" s="402">
        <v>118668.64</v>
      </c>
      <c r="Q114" s="400">
        <v>152013.72</v>
      </c>
      <c r="R114" s="401">
        <v>29061.1</v>
      </c>
      <c r="S114" s="403">
        <v>30975.279999999999</v>
      </c>
    </row>
    <row r="115" spans="6:19">
      <c r="F115" s="403"/>
      <c r="G115" s="38"/>
      <c r="L115" s="38"/>
      <c r="M115" s="38"/>
      <c r="N115" s="422"/>
      <c r="O115" s="398">
        <v>45948</v>
      </c>
      <c r="P115" s="402">
        <v>118712.08</v>
      </c>
      <c r="Q115" s="400">
        <v>152287.97</v>
      </c>
      <c r="R115" s="401">
        <v>29291.55</v>
      </c>
      <c r="S115" s="403">
        <v>29051.8</v>
      </c>
    </row>
    <row r="116" spans="6:19">
      <c r="F116" s="403"/>
      <c r="G116" s="38"/>
      <c r="L116" s="38"/>
      <c r="M116" s="38"/>
      <c r="N116" s="422"/>
      <c r="O116" s="398">
        <v>45947</v>
      </c>
      <c r="P116" s="402">
        <v>118923.33</v>
      </c>
      <c r="Q116" s="400">
        <v>152309.53</v>
      </c>
      <c r="R116" s="401">
        <v>30466.21</v>
      </c>
      <c r="S116" s="403">
        <v>29051.8</v>
      </c>
    </row>
    <row r="117" spans="6:19">
      <c r="F117" s="403"/>
      <c r="G117" s="38"/>
      <c r="L117" s="38"/>
      <c r="M117" s="38"/>
      <c r="N117" s="422"/>
      <c r="O117" s="398">
        <v>45946</v>
      </c>
      <c r="P117" s="402">
        <v>118881.86</v>
      </c>
      <c r="Q117" s="400">
        <v>152331.06</v>
      </c>
      <c r="R117" s="401">
        <v>30466.21</v>
      </c>
      <c r="S117" s="403">
        <v>31844.45</v>
      </c>
    </row>
    <row r="118" spans="6:19">
      <c r="F118" s="403"/>
      <c r="G118" s="38"/>
      <c r="H118" s="34"/>
      <c r="I118" s="35"/>
      <c r="J118" s="40"/>
      <c r="K118" s="38"/>
      <c r="L118" s="38"/>
      <c r="M118" s="38"/>
      <c r="N118" s="422"/>
      <c r="O118" s="398">
        <v>45945</v>
      </c>
      <c r="P118" s="402">
        <v>118840.4</v>
      </c>
      <c r="Q118" s="400">
        <v>152413.60999999999</v>
      </c>
      <c r="R118" s="401">
        <v>30466.21</v>
      </c>
      <c r="S118" s="403">
        <v>31844.45</v>
      </c>
    </row>
    <row r="119" spans="6:19">
      <c r="F119" s="403"/>
      <c r="G119" s="38"/>
      <c r="H119" s="34"/>
      <c r="I119" s="35"/>
      <c r="J119" s="40"/>
      <c r="K119" s="38"/>
      <c r="L119" s="38"/>
      <c r="M119" s="38"/>
      <c r="N119" s="422"/>
      <c r="O119" s="398">
        <v>45944</v>
      </c>
      <c r="P119" s="402">
        <v>118859.93</v>
      </c>
      <c r="Q119" s="400">
        <v>152253.71</v>
      </c>
      <c r="R119" s="401">
        <v>32065.040000000001</v>
      </c>
      <c r="S119" s="403">
        <v>31844.45</v>
      </c>
    </row>
    <row r="120" spans="6:19">
      <c r="F120" s="403"/>
      <c r="G120" s="38"/>
      <c r="H120" s="34"/>
      <c r="I120" s="35"/>
      <c r="J120" s="40"/>
      <c r="K120" s="38"/>
      <c r="L120" s="38"/>
      <c r="M120" s="38"/>
      <c r="N120" s="422"/>
      <c r="O120" s="398">
        <v>45942</v>
      </c>
      <c r="P120" s="402">
        <v>118574.01</v>
      </c>
      <c r="Q120" s="400">
        <v>152266.74</v>
      </c>
      <c r="R120" s="401">
        <v>32250.12</v>
      </c>
      <c r="S120" s="403">
        <v>33172.93</v>
      </c>
    </row>
    <row r="121" spans="6:19">
      <c r="F121" s="403"/>
      <c r="G121" s="38"/>
      <c r="H121" s="34"/>
      <c r="I121" s="35"/>
      <c r="J121" s="40"/>
      <c r="K121" s="38"/>
      <c r="L121" s="38"/>
      <c r="M121" s="38"/>
      <c r="N121" s="422"/>
      <c r="O121" s="398">
        <v>45941</v>
      </c>
      <c r="P121" s="402">
        <v>118524.03</v>
      </c>
      <c r="Q121" s="400">
        <v>152296.46</v>
      </c>
      <c r="R121" s="401">
        <v>32250.12</v>
      </c>
      <c r="S121" s="403">
        <v>33172.93</v>
      </c>
    </row>
    <row r="122" spans="6:19">
      <c r="F122" s="403"/>
      <c r="G122" s="38"/>
      <c r="H122" s="34"/>
      <c r="I122" s="35"/>
      <c r="J122" s="40"/>
      <c r="K122" s="38"/>
      <c r="L122" s="38"/>
      <c r="M122" s="38"/>
      <c r="N122" s="422"/>
      <c r="O122" s="398">
        <v>45940</v>
      </c>
      <c r="P122" s="402">
        <v>118490.74</v>
      </c>
      <c r="Q122" s="400">
        <v>152341.5</v>
      </c>
      <c r="R122" s="401">
        <v>32824.949999999997</v>
      </c>
      <c r="S122" s="403">
        <v>33684.53</v>
      </c>
    </row>
    <row r="123" spans="6:19">
      <c r="F123" s="403"/>
      <c r="G123" s="38"/>
      <c r="H123" s="34"/>
      <c r="I123" s="35"/>
      <c r="J123" s="40"/>
      <c r="K123" s="38"/>
      <c r="L123" s="38"/>
      <c r="M123" s="38"/>
      <c r="N123" s="422"/>
      <c r="O123" s="398">
        <v>45939</v>
      </c>
      <c r="P123" s="402">
        <v>118456.37</v>
      </c>
      <c r="Q123" s="400">
        <v>152156.9</v>
      </c>
      <c r="R123" s="401">
        <v>33671.89</v>
      </c>
      <c r="S123" s="403">
        <v>33684.53</v>
      </c>
    </row>
    <row r="124" spans="6:19">
      <c r="F124" s="403"/>
      <c r="G124" s="38"/>
      <c r="H124" s="34"/>
      <c r="I124" s="35"/>
      <c r="J124" s="40"/>
      <c r="K124" s="38"/>
      <c r="L124" s="38"/>
      <c r="M124" s="38"/>
      <c r="N124" s="422"/>
      <c r="O124" s="398">
        <v>45938</v>
      </c>
      <c r="P124" s="402">
        <v>118192.38</v>
      </c>
      <c r="Q124" s="400">
        <v>152131.24</v>
      </c>
      <c r="R124" s="401">
        <v>33671.89</v>
      </c>
      <c r="S124" s="403">
        <v>33994.42</v>
      </c>
    </row>
    <row r="125" spans="6:19">
      <c r="F125" s="403"/>
      <c r="G125" s="38"/>
      <c r="H125" s="34"/>
      <c r="I125" s="35"/>
      <c r="J125" s="40"/>
      <c r="K125" s="38"/>
      <c r="L125" s="38"/>
      <c r="M125" s="38"/>
      <c r="N125" s="422"/>
      <c r="O125" s="398">
        <v>45937</v>
      </c>
      <c r="P125" s="402">
        <v>118087.31</v>
      </c>
      <c r="Q125" s="400">
        <v>152105.54999999999</v>
      </c>
      <c r="R125" s="401">
        <v>33245.18</v>
      </c>
      <c r="S125" s="403">
        <v>33994.42</v>
      </c>
    </row>
    <row r="126" spans="6:19">
      <c r="F126" s="403"/>
      <c r="G126" s="38"/>
      <c r="H126" s="34"/>
      <c r="I126" s="35"/>
      <c r="J126" s="40"/>
      <c r="K126" s="38"/>
      <c r="L126" s="38"/>
      <c r="M126" s="38"/>
      <c r="N126" s="422"/>
      <c r="O126" s="398">
        <v>45936</v>
      </c>
      <c r="P126" s="402">
        <v>117982.23</v>
      </c>
      <c r="Q126" s="400">
        <v>152357.75</v>
      </c>
      <c r="R126" s="401">
        <v>32152.68</v>
      </c>
      <c r="S126" s="403">
        <v>33405.230000000003</v>
      </c>
    </row>
    <row r="127" spans="6:19">
      <c r="F127" s="403"/>
      <c r="G127" s="38"/>
      <c r="H127" s="34"/>
      <c r="I127" s="35"/>
      <c r="J127" s="40"/>
      <c r="K127" s="38"/>
      <c r="L127" s="38"/>
      <c r="M127" s="38"/>
      <c r="N127" s="422"/>
      <c r="O127" s="398">
        <v>45935</v>
      </c>
      <c r="P127" s="402">
        <v>118155.03</v>
      </c>
      <c r="Q127" s="400">
        <v>152380.5</v>
      </c>
      <c r="R127" s="401">
        <v>34479.760000000002</v>
      </c>
      <c r="S127" s="403">
        <v>33405.230000000003</v>
      </c>
    </row>
    <row r="128" spans="6:19">
      <c r="F128" s="403"/>
      <c r="G128" s="38"/>
      <c r="H128" s="34"/>
      <c r="I128" s="35"/>
      <c r="J128" s="40"/>
      <c r="K128" s="38"/>
      <c r="L128" s="38"/>
      <c r="M128" s="38"/>
      <c r="N128" s="423"/>
      <c r="O128" s="398">
        <v>45934</v>
      </c>
      <c r="P128" s="402">
        <v>118098.38</v>
      </c>
      <c r="Q128" s="400">
        <v>152403.26</v>
      </c>
      <c r="R128" s="401">
        <v>34344.51</v>
      </c>
      <c r="S128" s="403">
        <v>32560.89</v>
      </c>
    </row>
    <row r="129" spans="6:19">
      <c r="F129" s="403"/>
      <c r="G129" s="38"/>
      <c r="H129" s="34"/>
      <c r="I129" s="35"/>
      <c r="J129" s="40"/>
      <c r="K129" s="38"/>
      <c r="M129" s="34"/>
      <c r="N129" s="423"/>
      <c r="O129" s="398">
        <v>45933</v>
      </c>
      <c r="P129" s="402">
        <v>118041.73</v>
      </c>
      <c r="Q129" s="400">
        <v>152426</v>
      </c>
      <c r="R129" s="401">
        <v>34344.51</v>
      </c>
      <c r="S129" s="403">
        <v>32560.89</v>
      </c>
    </row>
    <row r="130" spans="6:19">
      <c r="F130" s="403"/>
      <c r="G130" s="38"/>
      <c r="H130" s="34"/>
      <c r="I130" s="35"/>
      <c r="J130" s="40"/>
      <c r="K130" s="38"/>
      <c r="M130" s="34"/>
      <c r="N130" s="423"/>
      <c r="O130" s="398">
        <v>45932</v>
      </c>
      <c r="P130" s="402">
        <v>117985.09</v>
      </c>
      <c r="Q130" s="400">
        <v>152392.32999999999</v>
      </c>
      <c r="R130" s="401">
        <v>33993.699999999997</v>
      </c>
      <c r="S130" s="403">
        <v>32560.89</v>
      </c>
    </row>
    <row r="131" spans="6:19">
      <c r="F131" s="403"/>
      <c r="G131" s="38"/>
      <c r="H131" s="34"/>
      <c r="I131" s="35"/>
      <c r="J131" s="40"/>
      <c r="M131" s="34"/>
      <c r="N131" s="423"/>
      <c r="O131" s="398">
        <v>45931</v>
      </c>
      <c r="P131" s="402">
        <v>117872.01</v>
      </c>
      <c r="Q131" s="400">
        <v>152311.03</v>
      </c>
      <c r="R131" s="401">
        <v>34687.019999999997</v>
      </c>
      <c r="S131" s="403">
        <v>32560.89</v>
      </c>
    </row>
    <row r="132" spans="6:19">
      <c r="F132" s="403"/>
      <c r="G132" s="38"/>
      <c r="H132" s="34"/>
      <c r="I132" s="35"/>
      <c r="J132" s="40"/>
      <c r="M132" s="34"/>
      <c r="N132" s="423"/>
      <c r="O132" s="398">
        <v>45930</v>
      </c>
      <c r="P132" s="402">
        <v>117656.02</v>
      </c>
      <c r="Q132" s="400">
        <v>152388.76</v>
      </c>
      <c r="R132" s="401">
        <v>34687.019999999997</v>
      </c>
      <c r="S132" s="403">
        <v>33673.26</v>
      </c>
    </row>
    <row r="133" spans="6:19">
      <c r="F133" s="403"/>
      <c r="G133" s="38"/>
      <c r="H133" s="34"/>
      <c r="I133" s="35"/>
      <c r="J133" s="40"/>
      <c r="M133" s="34"/>
      <c r="N133" s="423"/>
      <c r="O133" s="398">
        <v>45929</v>
      </c>
      <c r="P133" s="402">
        <v>117658.21</v>
      </c>
      <c r="Q133" s="400">
        <v>152547.01</v>
      </c>
      <c r="R133" s="401">
        <v>34687.019999999997</v>
      </c>
      <c r="S133" s="403">
        <v>35732.660000000003</v>
      </c>
    </row>
    <row r="134" spans="6:19">
      <c r="F134" s="403"/>
      <c r="G134" s="38"/>
      <c r="H134" s="34"/>
      <c r="I134" s="35"/>
      <c r="J134" s="40"/>
      <c r="M134" s="34"/>
      <c r="N134" s="423"/>
      <c r="O134" s="398">
        <v>45928</v>
      </c>
      <c r="P134" s="402">
        <v>117740.91</v>
      </c>
      <c r="Q134" s="400">
        <v>152694.28</v>
      </c>
      <c r="R134" s="401">
        <v>33329.65</v>
      </c>
      <c r="S134" s="403">
        <v>35732.660000000003</v>
      </c>
    </row>
    <row r="135" spans="6:19">
      <c r="F135" s="403"/>
      <c r="G135" s="38"/>
      <c r="H135" s="34"/>
      <c r="I135" s="35"/>
      <c r="J135" s="40"/>
      <c r="M135" s="34"/>
      <c r="N135" s="423"/>
      <c r="O135" s="398">
        <v>45927</v>
      </c>
      <c r="P135" s="402">
        <v>117812.64</v>
      </c>
      <c r="Q135" s="400">
        <v>152764.10999999999</v>
      </c>
      <c r="R135" s="401">
        <v>33329.65</v>
      </c>
      <c r="S135" s="403">
        <v>36003.65</v>
      </c>
    </row>
    <row r="136" spans="6:19">
      <c r="F136" s="403"/>
      <c r="G136" s="38"/>
      <c r="H136" s="34"/>
      <c r="I136" s="35"/>
      <c r="J136" s="36"/>
      <c r="M136" s="34"/>
      <c r="N136" s="423"/>
      <c r="O136" s="398">
        <v>45926</v>
      </c>
      <c r="P136" s="402">
        <v>117806.93</v>
      </c>
      <c r="Q136" s="400">
        <v>152833.95000000001</v>
      </c>
      <c r="R136" s="401">
        <v>35752.769999999997</v>
      </c>
      <c r="S136" s="403">
        <v>36813.35</v>
      </c>
    </row>
    <row r="137" spans="6:19">
      <c r="F137" s="403"/>
      <c r="G137" s="38"/>
      <c r="H137" s="34"/>
      <c r="I137" s="35"/>
      <c r="J137" s="36"/>
      <c r="M137" s="34"/>
      <c r="N137" s="423"/>
      <c r="O137" s="398">
        <v>45925</v>
      </c>
      <c r="P137" s="402">
        <v>117801.21</v>
      </c>
      <c r="Q137" s="400">
        <v>152903.76999999999</v>
      </c>
      <c r="R137" s="401">
        <v>35752.769999999997</v>
      </c>
      <c r="S137" s="403">
        <v>36813.35</v>
      </c>
    </row>
    <row r="138" spans="6:19">
      <c r="F138" s="403"/>
      <c r="H138" s="34"/>
      <c r="I138" s="35"/>
      <c r="J138" s="36"/>
      <c r="M138" s="34"/>
      <c r="N138" s="423"/>
      <c r="O138" s="398">
        <v>45924</v>
      </c>
      <c r="P138" s="402">
        <v>117795.5</v>
      </c>
      <c r="Q138" s="400">
        <v>152859.46</v>
      </c>
      <c r="R138" s="401">
        <v>36272.879999999997</v>
      </c>
      <c r="S138" s="403">
        <v>36813.35</v>
      </c>
    </row>
    <row r="139" spans="6:19">
      <c r="F139" s="403"/>
      <c r="H139" s="34"/>
      <c r="I139" s="35"/>
      <c r="J139" s="36"/>
      <c r="M139" s="34"/>
      <c r="N139" s="423"/>
      <c r="O139" s="398">
        <v>45923</v>
      </c>
      <c r="P139" s="402">
        <v>117675.65</v>
      </c>
      <c r="Q139" s="400">
        <v>152816.18</v>
      </c>
      <c r="R139" s="401">
        <v>35713.49</v>
      </c>
      <c r="S139" s="403">
        <v>37666.79</v>
      </c>
    </row>
    <row r="140" spans="6:19">
      <c r="F140" s="403"/>
      <c r="H140" s="34"/>
      <c r="I140" s="35"/>
      <c r="J140" s="36"/>
      <c r="M140" s="34"/>
      <c r="N140" s="423"/>
      <c r="O140" s="398">
        <v>45922</v>
      </c>
      <c r="P140" s="402">
        <v>117556.82</v>
      </c>
      <c r="Q140" s="400">
        <v>152772.89000000001</v>
      </c>
      <c r="R140" s="401">
        <v>35526.99</v>
      </c>
      <c r="S140" s="403">
        <v>37550.160000000003</v>
      </c>
    </row>
    <row r="141" spans="6:19">
      <c r="F141" s="403"/>
      <c r="H141" s="34"/>
      <c r="I141" s="35"/>
      <c r="J141" s="36"/>
      <c r="M141" s="34"/>
      <c r="N141" s="423"/>
      <c r="O141" s="398">
        <v>45921</v>
      </c>
      <c r="P141" s="402">
        <v>117437.99</v>
      </c>
      <c r="Q141" s="400">
        <v>152740.13</v>
      </c>
      <c r="R141" s="401">
        <v>35293.65</v>
      </c>
      <c r="S141" s="403">
        <v>37550.160000000003</v>
      </c>
    </row>
    <row r="142" spans="6:19">
      <c r="F142" s="403"/>
      <c r="H142" s="34"/>
      <c r="I142" s="35"/>
      <c r="J142" s="36"/>
      <c r="M142" s="34"/>
      <c r="N142" s="423"/>
      <c r="O142" s="398">
        <v>45920</v>
      </c>
      <c r="P142" s="402">
        <v>117329.68</v>
      </c>
      <c r="Q142" s="400">
        <v>152763.79</v>
      </c>
      <c r="R142" s="401">
        <v>35693.61</v>
      </c>
      <c r="S142" s="403">
        <v>37549.599999999999</v>
      </c>
    </row>
    <row r="143" spans="6:19">
      <c r="F143" s="403"/>
      <c r="H143" s="34"/>
      <c r="I143" s="35"/>
      <c r="J143" s="36"/>
      <c r="M143" s="34"/>
      <c r="N143" s="423"/>
      <c r="O143" s="398">
        <v>45919</v>
      </c>
      <c r="P143" s="402">
        <v>117277.81</v>
      </c>
      <c r="Q143" s="400">
        <v>152767.07</v>
      </c>
      <c r="R143" s="401">
        <v>35693.61</v>
      </c>
      <c r="S143" s="403">
        <v>37926.25</v>
      </c>
    </row>
    <row r="144" spans="6:19">
      <c r="F144" s="403"/>
      <c r="H144" s="34"/>
      <c r="I144" s="35"/>
      <c r="J144" s="36"/>
      <c r="M144" s="34"/>
      <c r="N144" s="423"/>
      <c r="O144" s="398">
        <v>45918</v>
      </c>
      <c r="P144" s="402">
        <v>117205.54</v>
      </c>
      <c r="Q144" s="400">
        <v>152770.32999999999</v>
      </c>
      <c r="R144" s="401">
        <v>39364.75</v>
      </c>
      <c r="S144" s="403">
        <v>36390.28</v>
      </c>
    </row>
    <row r="145" spans="6:19">
      <c r="F145" s="403"/>
      <c r="H145" s="34"/>
      <c r="I145" s="35"/>
      <c r="J145" s="36"/>
      <c r="M145" s="34"/>
      <c r="N145" s="423"/>
      <c r="O145" s="398">
        <v>45917</v>
      </c>
      <c r="P145" s="402">
        <v>117133.27</v>
      </c>
      <c r="Q145" s="400">
        <v>152952.88</v>
      </c>
      <c r="R145" s="401">
        <v>38075.919999999998</v>
      </c>
      <c r="S145" s="403">
        <v>36390.28</v>
      </c>
    </row>
    <row r="146" spans="6:19">
      <c r="F146" s="403"/>
      <c r="H146" s="34"/>
      <c r="I146" s="35"/>
      <c r="J146" s="36"/>
      <c r="M146" s="34"/>
      <c r="N146" s="423"/>
      <c r="O146" s="398">
        <v>45915</v>
      </c>
      <c r="P146" s="402">
        <v>117164.72</v>
      </c>
      <c r="Q146" s="400">
        <v>153138.63</v>
      </c>
      <c r="R146" s="401">
        <v>39700.959999999999</v>
      </c>
      <c r="S146" s="403">
        <v>36409.08</v>
      </c>
    </row>
    <row r="147" spans="6:19">
      <c r="F147" s="403"/>
      <c r="H147" s="34"/>
      <c r="I147" s="35"/>
      <c r="J147" s="36"/>
      <c r="M147" s="34"/>
      <c r="N147" s="423"/>
      <c r="O147" s="398">
        <v>45914</v>
      </c>
      <c r="P147" s="402">
        <v>117274.94</v>
      </c>
      <c r="Q147" s="400">
        <v>153138.63</v>
      </c>
      <c r="R147" s="401">
        <v>40671.53</v>
      </c>
      <c r="S147" s="403">
        <v>36477.730000000003</v>
      </c>
    </row>
    <row r="148" spans="6:19">
      <c r="F148" s="403"/>
      <c r="H148" s="34"/>
      <c r="I148" s="35"/>
      <c r="J148" s="36"/>
      <c r="M148" s="34"/>
      <c r="N148" s="423"/>
      <c r="O148" s="398">
        <v>45913</v>
      </c>
      <c r="P148" s="402">
        <v>117312.83</v>
      </c>
      <c r="Q148" s="400">
        <v>153365.51</v>
      </c>
      <c r="R148" s="401">
        <v>40860.03</v>
      </c>
      <c r="S148" s="403">
        <v>36477.730000000003</v>
      </c>
    </row>
    <row r="149" spans="6:19">
      <c r="F149" s="403"/>
      <c r="H149" s="34"/>
      <c r="I149" s="35"/>
      <c r="J149" s="36"/>
      <c r="M149" s="34"/>
      <c r="N149" s="423"/>
      <c r="O149" s="398">
        <v>45912</v>
      </c>
      <c r="P149" s="402">
        <v>117350.73</v>
      </c>
      <c r="Q149" s="400">
        <v>153653.54</v>
      </c>
      <c r="R149" s="401">
        <v>40671.53</v>
      </c>
      <c r="S149" s="403">
        <v>32264.19</v>
      </c>
    </row>
    <row r="150" spans="6:19">
      <c r="F150" s="403"/>
      <c r="H150" s="34"/>
      <c r="I150" s="35"/>
      <c r="J150" s="36"/>
      <c r="M150" s="34"/>
      <c r="N150" s="423"/>
      <c r="O150" s="398">
        <v>45911</v>
      </c>
      <c r="P150" s="402">
        <v>117563.22</v>
      </c>
      <c r="Q150" s="400">
        <v>153634.12</v>
      </c>
      <c r="R150" s="401">
        <v>41369.93</v>
      </c>
      <c r="S150" s="403">
        <v>32264.19</v>
      </c>
    </row>
    <row r="151" spans="6:19">
      <c r="F151" s="403"/>
      <c r="H151" s="34"/>
      <c r="I151" s="35"/>
      <c r="J151" s="36"/>
      <c r="M151" s="34"/>
      <c r="N151" s="423"/>
      <c r="O151" s="398">
        <v>45910</v>
      </c>
      <c r="P151" s="402">
        <v>117468.26</v>
      </c>
      <c r="Q151" s="400">
        <v>153637.21</v>
      </c>
      <c r="R151" s="401">
        <v>40447.32</v>
      </c>
      <c r="S151" s="403">
        <v>33688.32</v>
      </c>
    </row>
    <row r="152" spans="6:19">
      <c r="F152" s="403"/>
      <c r="H152" s="34"/>
      <c r="I152" s="35"/>
      <c r="J152" s="36"/>
      <c r="M152" s="34"/>
      <c r="N152" s="423"/>
      <c r="O152" s="398">
        <v>45909</v>
      </c>
      <c r="P152" s="402">
        <v>117443.21</v>
      </c>
      <c r="Q152" s="400">
        <v>151235.57</v>
      </c>
      <c r="R152" s="401">
        <v>43816.76</v>
      </c>
      <c r="S152" s="403">
        <v>34405.06</v>
      </c>
    </row>
    <row r="153" spans="6:19">
      <c r="F153" s="403"/>
      <c r="H153" s="34"/>
      <c r="I153" s="35"/>
      <c r="J153" s="36"/>
      <c r="M153" s="34"/>
      <c r="N153" s="423"/>
      <c r="O153" s="398">
        <v>45908</v>
      </c>
      <c r="P153" s="402">
        <v>117418.17</v>
      </c>
      <c r="Q153" s="400">
        <v>153672.89000000001</v>
      </c>
      <c r="R153" s="401">
        <v>43816.76</v>
      </c>
      <c r="S153" s="403">
        <v>32598.04</v>
      </c>
    </row>
    <row r="154" spans="6:19">
      <c r="F154" s="403"/>
      <c r="H154" s="34"/>
      <c r="I154" s="35"/>
      <c r="J154" s="36"/>
      <c r="M154" s="34"/>
      <c r="N154" s="423"/>
      <c r="O154" s="398">
        <v>45907</v>
      </c>
      <c r="P154" s="402">
        <v>117422.64</v>
      </c>
      <c r="Q154" s="400">
        <v>153496.22</v>
      </c>
      <c r="R154" s="401">
        <v>43816.76</v>
      </c>
      <c r="S154" s="403">
        <v>32598.04</v>
      </c>
    </row>
    <row r="155" spans="6:19">
      <c r="F155" s="403"/>
      <c r="H155" s="34"/>
      <c r="I155" s="35"/>
      <c r="J155" s="36"/>
      <c r="M155" s="34"/>
      <c r="N155" s="423"/>
      <c r="O155" s="398">
        <v>45906</v>
      </c>
      <c r="P155" s="402">
        <v>117217.84</v>
      </c>
      <c r="Q155" s="400">
        <v>153522.93</v>
      </c>
      <c r="R155" s="401">
        <v>43816.76</v>
      </c>
      <c r="S155" s="403">
        <v>33345.339999999997</v>
      </c>
    </row>
    <row r="156" spans="6:19">
      <c r="F156" s="403"/>
      <c r="H156" s="34"/>
      <c r="I156" s="35"/>
      <c r="J156" s="36"/>
      <c r="M156" s="34"/>
      <c r="N156" s="423"/>
      <c r="O156" s="398">
        <v>45905</v>
      </c>
      <c r="P156" s="402">
        <v>117216.42</v>
      </c>
      <c r="Q156" s="400">
        <v>153522.93</v>
      </c>
      <c r="R156" s="401">
        <v>43816.76</v>
      </c>
      <c r="S156" s="403">
        <v>33345.339999999997</v>
      </c>
    </row>
    <row r="157" spans="6:19">
      <c r="F157" s="403"/>
      <c r="H157" s="34"/>
      <c r="I157" s="35"/>
      <c r="J157" s="36"/>
      <c r="M157" s="34"/>
      <c r="N157" s="423"/>
      <c r="O157" s="398">
        <v>45904</v>
      </c>
      <c r="P157" s="402">
        <v>117197.92</v>
      </c>
      <c r="Q157" s="400">
        <v>153532.54999999999</v>
      </c>
      <c r="R157" s="401">
        <v>43358.32</v>
      </c>
      <c r="S157" s="403">
        <v>32834.300000000003</v>
      </c>
    </row>
    <row r="158" spans="6:19">
      <c r="F158" s="403"/>
      <c r="H158" s="34"/>
      <c r="I158" s="35"/>
      <c r="J158" s="36"/>
      <c r="M158" s="34"/>
      <c r="N158" s="423"/>
      <c r="O158" s="398">
        <v>45903</v>
      </c>
      <c r="P158" s="402">
        <v>117179.41</v>
      </c>
      <c r="Q158" s="400">
        <v>153542.18</v>
      </c>
      <c r="R158" s="401">
        <v>39741.33</v>
      </c>
      <c r="S158" s="403">
        <v>32834.300000000003</v>
      </c>
    </row>
    <row r="159" spans="6:19">
      <c r="F159" s="403"/>
      <c r="H159" s="34"/>
      <c r="I159" s="35"/>
      <c r="J159" s="36"/>
      <c r="M159" s="34"/>
      <c r="N159" s="423"/>
      <c r="O159" s="398">
        <v>45902</v>
      </c>
      <c r="P159" s="402">
        <v>116994.03</v>
      </c>
      <c r="Q159" s="400">
        <v>153384.93</v>
      </c>
      <c r="R159" s="401">
        <v>40745.050000000003</v>
      </c>
      <c r="S159" s="403">
        <v>33595.769999999997</v>
      </c>
    </row>
    <row r="160" spans="6:19">
      <c r="F160" s="403"/>
      <c r="H160" s="34"/>
      <c r="I160" s="35"/>
      <c r="J160" s="36"/>
      <c r="M160" s="34"/>
      <c r="N160" s="423"/>
      <c r="O160" s="398">
        <v>45901</v>
      </c>
      <c r="P160" s="402">
        <v>116954.89</v>
      </c>
      <c r="Q160" s="400">
        <v>153373.92000000001</v>
      </c>
      <c r="R160" s="401">
        <v>40745.050000000003</v>
      </c>
      <c r="S160" s="403">
        <v>33595.769999999997</v>
      </c>
    </row>
    <row r="161" spans="6:19">
      <c r="F161" s="403"/>
      <c r="H161" s="34"/>
      <c r="I161" s="35"/>
      <c r="J161" s="36"/>
      <c r="M161" s="34"/>
      <c r="N161" s="423"/>
      <c r="O161" s="398">
        <v>45899</v>
      </c>
      <c r="P161" s="402">
        <v>116971.86</v>
      </c>
      <c r="Q161" s="400">
        <v>153447.14000000001</v>
      </c>
      <c r="R161" s="401">
        <v>42312.66</v>
      </c>
      <c r="S161" s="403">
        <v>32857.519999999997</v>
      </c>
    </row>
    <row r="162" spans="6:19">
      <c r="F162" s="403"/>
      <c r="H162" s="34"/>
      <c r="I162" s="35"/>
      <c r="J162" s="36"/>
      <c r="M162" s="34"/>
      <c r="N162" s="423"/>
      <c r="O162" s="398">
        <v>45898</v>
      </c>
      <c r="P162" s="402">
        <v>116914.76</v>
      </c>
      <c r="Q162" s="400">
        <v>153326.26999999999</v>
      </c>
      <c r="R162" s="401">
        <v>42312.66</v>
      </c>
      <c r="S162" s="403">
        <v>33296.25</v>
      </c>
    </row>
    <row r="163" spans="6:19">
      <c r="F163" s="403"/>
      <c r="H163" s="34"/>
      <c r="I163" s="35"/>
      <c r="J163" s="36"/>
      <c r="M163" s="34"/>
      <c r="N163" s="423"/>
      <c r="O163" s="398">
        <v>45897</v>
      </c>
      <c r="P163" s="402">
        <v>116794.74</v>
      </c>
      <c r="Q163" s="400">
        <v>153326.26999999999</v>
      </c>
      <c r="R163" s="401">
        <v>43804.5</v>
      </c>
      <c r="S163" s="403">
        <v>33807.279999999999</v>
      </c>
    </row>
    <row r="164" spans="6:19">
      <c r="F164" s="403"/>
      <c r="H164" s="34"/>
      <c r="I164" s="35"/>
      <c r="J164" s="36"/>
      <c r="M164" s="34"/>
      <c r="N164" s="423"/>
      <c r="O164" s="398">
        <v>45896</v>
      </c>
      <c r="P164" s="402">
        <v>116902.15</v>
      </c>
      <c r="Q164" s="400">
        <v>153461.82</v>
      </c>
      <c r="R164" s="401">
        <v>43804.5</v>
      </c>
      <c r="S164" s="403">
        <v>33807.279999999999</v>
      </c>
    </row>
    <row r="165" spans="6:19">
      <c r="F165" s="403"/>
      <c r="H165" s="34"/>
      <c r="I165" s="35"/>
      <c r="J165" s="36"/>
      <c r="M165" s="34"/>
      <c r="N165" s="423"/>
      <c r="O165" s="398">
        <v>45895</v>
      </c>
      <c r="P165" s="402">
        <v>116777.75</v>
      </c>
      <c r="Q165" s="400">
        <v>153269.26999999999</v>
      </c>
      <c r="R165" s="401">
        <v>43804.5</v>
      </c>
      <c r="S165" s="403">
        <v>33807.279999999999</v>
      </c>
    </row>
    <row r="166" spans="6:19">
      <c r="F166" s="403"/>
      <c r="H166" s="34"/>
      <c r="I166" s="35"/>
      <c r="J166" s="36"/>
      <c r="M166" s="34"/>
      <c r="N166" s="423"/>
      <c r="O166" s="398">
        <v>45894</v>
      </c>
      <c r="P166" s="402">
        <v>116653.35</v>
      </c>
      <c r="Q166" s="400">
        <v>153030.82999999999</v>
      </c>
      <c r="R166" s="401">
        <v>43804.5</v>
      </c>
      <c r="S166" s="403">
        <v>33807.279999999999</v>
      </c>
    </row>
    <row r="167" spans="6:19">
      <c r="F167" s="403"/>
      <c r="H167" s="34"/>
      <c r="I167" s="35"/>
      <c r="J167" s="36"/>
      <c r="M167" s="34"/>
      <c r="N167" s="423"/>
      <c r="O167" s="398">
        <v>45893</v>
      </c>
      <c r="P167" s="402">
        <v>116386.77</v>
      </c>
      <c r="Q167" s="400">
        <v>152934.16</v>
      </c>
      <c r="R167" s="401">
        <v>43804.5</v>
      </c>
      <c r="S167" s="403">
        <v>34007.99</v>
      </c>
    </row>
    <row r="168" spans="6:19">
      <c r="F168" s="403"/>
      <c r="H168" s="34"/>
      <c r="I168" s="35"/>
      <c r="J168" s="36"/>
      <c r="M168" s="34"/>
      <c r="N168" s="423"/>
      <c r="O168" s="398">
        <v>45892</v>
      </c>
      <c r="P168" s="402">
        <v>116261.99</v>
      </c>
      <c r="Q168" s="400">
        <v>152934.16</v>
      </c>
      <c r="R168" s="401">
        <v>43804.5</v>
      </c>
      <c r="S168" s="403">
        <v>34007.99</v>
      </c>
    </row>
    <row r="169" spans="6:19">
      <c r="F169" s="403"/>
      <c r="H169" s="34"/>
      <c r="I169" s="35"/>
      <c r="J169" s="36"/>
      <c r="M169" s="34"/>
      <c r="N169" s="423"/>
      <c r="O169" s="398">
        <v>45890</v>
      </c>
      <c r="P169" s="402">
        <v>116574.37</v>
      </c>
      <c r="Q169" s="400">
        <v>153302.81</v>
      </c>
      <c r="R169" s="401">
        <v>43488.480000000003</v>
      </c>
      <c r="S169" s="403">
        <v>34380.79</v>
      </c>
    </row>
    <row r="170" spans="6:19">
      <c r="F170" s="403"/>
      <c r="H170" s="34"/>
      <c r="I170" s="35"/>
      <c r="J170" s="36"/>
      <c r="M170" s="34"/>
      <c r="N170" s="423"/>
      <c r="O170" s="398">
        <v>45889</v>
      </c>
      <c r="P170" s="402">
        <v>116444.2</v>
      </c>
      <c r="Q170" s="400">
        <v>153200.76999999999</v>
      </c>
      <c r="R170" s="401">
        <v>44879.360000000001</v>
      </c>
      <c r="S170" s="403">
        <v>34806.21</v>
      </c>
    </row>
    <row r="171" spans="6:19">
      <c r="F171" s="403"/>
      <c r="H171" s="34"/>
      <c r="I171" s="35"/>
      <c r="J171" s="36"/>
      <c r="M171" s="34"/>
      <c r="N171" s="423"/>
      <c r="O171" s="398">
        <v>45888</v>
      </c>
      <c r="P171" s="402">
        <v>116314.03</v>
      </c>
      <c r="Q171" s="400">
        <v>153098.73000000001</v>
      </c>
      <c r="R171" s="401">
        <v>44879.360000000001</v>
      </c>
      <c r="S171" s="403">
        <v>34806.21</v>
      </c>
    </row>
    <row r="172" spans="6:19">
      <c r="F172" s="403"/>
      <c r="H172" s="34"/>
      <c r="I172" s="35"/>
      <c r="J172" s="36"/>
      <c r="M172" s="34"/>
      <c r="N172" s="423"/>
      <c r="O172" s="398">
        <v>45887</v>
      </c>
      <c r="P172" s="402">
        <v>116183.86</v>
      </c>
      <c r="Q172" s="400">
        <v>152996.69</v>
      </c>
      <c r="R172" s="401">
        <v>45733.22</v>
      </c>
      <c r="S172" s="403">
        <v>33933.69</v>
      </c>
    </row>
    <row r="173" spans="6:19">
      <c r="F173" s="403"/>
      <c r="H173" s="34"/>
      <c r="I173" s="35"/>
      <c r="J173" s="36"/>
      <c r="M173" s="34"/>
      <c r="N173" s="423"/>
      <c r="O173" s="398">
        <v>45886</v>
      </c>
      <c r="P173" s="402">
        <v>116324.23</v>
      </c>
      <c r="Q173" s="400">
        <v>153165.19</v>
      </c>
      <c r="R173" s="401">
        <v>44672.59</v>
      </c>
      <c r="S173" s="403">
        <v>33642.17</v>
      </c>
    </row>
    <row r="174" spans="6:19">
      <c r="F174" s="403"/>
      <c r="H174" s="34"/>
      <c r="I174" s="35"/>
      <c r="J174" s="36"/>
      <c r="M174" s="34"/>
      <c r="N174" s="423"/>
      <c r="O174" s="398">
        <v>45885</v>
      </c>
      <c r="P174" s="402">
        <v>116483.52</v>
      </c>
      <c r="Q174" s="400">
        <v>153352.6</v>
      </c>
      <c r="R174" s="401">
        <v>45305.39</v>
      </c>
      <c r="S174" s="403">
        <v>33642.17</v>
      </c>
    </row>
    <row r="175" spans="6:19">
      <c r="F175" s="403"/>
      <c r="H175" s="34"/>
      <c r="I175" s="35"/>
      <c r="J175" s="36"/>
      <c r="M175" s="34"/>
      <c r="N175" s="423"/>
      <c r="O175" s="398">
        <v>45884</v>
      </c>
      <c r="P175" s="402">
        <v>116664.38</v>
      </c>
      <c r="Q175" s="400">
        <v>153223.56</v>
      </c>
      <c r="R175" s="401">
        <v>44504.91</v>
      </c>
      <c r="S175" s="403">
        <v>31286.37</v>
      </c>
    </row>
    <row r="176" spans="6:19">
      <c r="F176" s="403"/>
      <c r="H176" s="34"/>
      <c r="I176" s="35"/>
      <c r="J176" s="36"/>
      <c r="M176" s="34"/>
      <c r="N176" s="423"/>
      <c r="O176" s="398">
        <v>45883</v>
      </c>
      <c r="P176" s="402">
        <v>116984.53</v>
      </c>
      <c r="Q176" s="400">
        <v>153233.81</v>
      </c>
      <c r="R176" s="401">
        <v>43937.42</v>
      </c>
      <c r="S176" s="403">
        <v>31286.37</v>
      </c>
    </row>
    <row r="177" spans="6:19">
      <c r="F177" s="403"/>
      <c r="H177" s="34"/>
      <c r="I177" s="35"/>
      <c r="J177" s="36"/>
      <c r="M177" s="34"/>
      <c r="N177" s="423"/>
      <c r="O177" s="398">
        <v>45882</v>
      </c>
      <c r="P177" s="402">
        <v>117180.24</v>
      </c>
      <c r="Q177" s="400">
        <v>153119.60999999999</v>
      </c>
      <c r="R177" s="401">
        <v>44573.9</v>
      </c>
      <c r="S177" s="403">
        <v>31452.959999999999</v>
      </c>
    </row>
    <row r="178" spans="6:19">
      <c r="F178" s="403"/>
      <c r="H178" s="34"/>
      <c r="I178" s="35"/>
      <c r="J178" s="36"/>
      <c r="M178" s="34"/>
      <c r="N178" s="423"/>
      <c r="O178" s="398">
        <v>45881</v>
      </c>
      <c r="P178" s="402">
        <v>117180.24</v>
      </c>
      <c r="Q178" s="400">
        <v>152899.29999999999</v>
      </c>
      <c r="R178" s="401">
        <v>44573.9</v>
      </c>
      <c r="S178" s="403">
        <v>32676.58</v>
      </c>
    </row>
    <row r="179" spans="6:19">
      <c r="F179" s="403"/>
      <c r="H179" s="34"/>
      <c r="I179" s="35"/>
      <c r="J179" s="36"/>
      <c r="M179" s="34"/>
      <c r="N179" s="423"/>
      <c r="O179" s="398">
        <v>45880</v>
      </c>
      <c r="P179" s="402">
        <v>116953.35</v>
      </c>
      <c r="Q179" s="400">
        <v>152452.1</v>
      </c>
      <c r="R179" s="401">
        <v>45026.3</v>
      </c>
      <c r="S179" s="403">
        <v>31659.65</v>
      </c>
    </row>
    <row r="180" spans="6:19">
      <c r="F180" s="403"/>
      <c r="H180" s="34"/>
      <c r="I180" s="35"/>
      <c r="J180" s="36"/>
      <c r="M180" s="34"/>
      <c r="N180" s="423"/>
      <c r="O180" s="398">
        <v>45879</v>
      </c>
      <c r="P180" s="402">
        <v>117192.12</v>
      </c>
      <c r="Q180" s="400">
        <v>153025.29999999999</v>
      </c>
      <c r="R180" s="401">
        <v>45026.3</v>
      </c>
      <c r="S180" s="403">
        <v>31659.65</v>
      </c>
    </row>
    <row r="181" spans="6:19">
      <c r="F181" s="403"/>
      <c r="H181" s="34"/>
      <c r="I181" s="35"/>
      <c r="J181" s="36"/>
      <c r="M181" s="34"/>
      <c r="N181" s="423"/>
      <c r="O181" s="398">
        <v>45878</v>
      </c>
      <c r="P181" s="402">
        <v>117430.89</v>
      </c>
      <c r="Q181" s="400">
        <v>153598.51</v>
      </c>
      <c r="R181" s="401">
        <v>45673.48</v>
      </c>
      <c r="S181" s="403">
        <v>31659.65</v>
      </c>
    </row>
    <row r="182" spans="6:19">
      <c r="F182" s="403"/>
      <c r="H182" s="34"/>
      <c r="I182" s="35"/>
      <c r="J182" s="36"/>
      <c r="M182" s="34"/>
      <c r="N182" s="423"/>
      <c r="O182" s="398">
        <v>45877</v>
      </c>
      <c r="P182" s="402">
        <v>117669.6</v>
      </c>
      <c r="Q182" s="400">
        <v>154509.69</v>
      </c>
      <c r="R182" s="401">
        <v>45644.62</v>
      </c>
      <c r="S182" s="403">
        <v>31659.65</v>
      </c>
    </row>
    <row r="183" spans="6:19">
      <c r="F183" s="403"/>
      <c r="H183" s="34"/>
      <c r="I183" s="35"/>
      <c r="J183" s="36"/>
      <c r="M183" s="34"/>
      <c r="N183" s="423"/>
      <c r="O183" s="398">
        <v>45876</v>
      </c>
      <c r="P183" s="402">
        <v>118012.26</v>
      </c>
      <c r="Q183" s="400">
        <v>155524.81</v>
      </c>
      <c r="R183" s="401">
        <v>45052.34</v>
      </c>
      <c r="S183" s="403">
        <v>32374.85</v>
      </c>
    </row>
    <row r="184" spans="6:19">
      <c r="F184" s="403"/>
      <c r="H184" s="34"/>
      <c r="I184" s="35"/>
      <c r="J184" s="36"/>
      <c r="M184" s="34"/>
      <c r="N184" s="423"/>
      <c r="O184" s="398">
        <v>45875</v>
      </c>
      <c r="P184" s="402">
        <v>118354.92</v>
      </c>
      <c r="Q184" s="400">
        <v>156539.95000000001</v>
      </c>
      <c r="R184" s="401">
        <v>44948.08</v>
      </c>
      <c r="S184" s="403">
        <v>31949.43</v>
      </c>
    </row>
    <row r="185" spans="6:19">
      <c r="F185" s="403"/>
      <c r="H185" s="34"/>
      <c r="I185" s="35"/>
      <c r="J185" s="36"/>
      <c r="M185" s="34"/>
      <c r="N185" s="423"/>
      <c r="O185" s="398">
        <v>45874</v>
      </c>
      <c r="P185" s="402">
        <v>118674.04</v>
      </c>
      <c r="Q185" s="400">
        <v>156976.79</v>
      </c>
      <c r="R185" s="401">
        <v>45214.400000000001</v>
      </c>
      <c r="S185" s="403">
        <v>31949.43</v>
      </c>
    </row>
    <row r="186" spans="6:19">
      <c r="F186" s="403"/>
      <c r="H186" s="34"/>
      <c r="I186" s="35"/>
      <c r="J186" s="36"/>
      <c r="M186" s="34"/>
      <c r="N186" s="423"/>
      <c r="O186" s="398">
        <v>45873</v>
      </c>
      <c r="P186" s="402">
        <v>118841.01</v>
      </c>
      <c r="Q186" s="400">
        <v>157320.65</v>
      </c>
      <c r="R186" s="401">
        <v>45214.400000000001</v>
      </c>
      <c r="S186" s="403">
        <v>32286.639999999999</v>
      </c>
    </row>
    <row r="187" spans="6:19">
      <c r="F187" s="403"/>
      <c r="H187" s="34"/>
      <c r="I187" s="35"/>
      <c r="J187" s="36"/>
      <c r="M187" s="34"/>
      <c r="N187" s="423"/>
      <c r="O187" s="398">
        <v>45872</v>
      </c>
      <c r="P187" s="402">
        <v>118542.33</v>
      </c>
      <c r="Q187" s="400">
        <v>157198.85</v>
      </c>
      <c r="R187" s="401">
        <v>44511.23</v>
      </c>
      <c r="S187" s="403">
        <v>35546.22</v>
      </c>
    </row>
    <row r="188" spans="6:19">
      <c r="F188" s="403"/>
      <c r="H188" s="34"/>
      <c r="I188" s="35"/>
      <c r="J188" s="36"/>
      <c r="M188" s="34"/>
      <c r="N188" s="423"/>
      <c r="O188" s="398">
        <v>45871</v>
      </c>
      <c r="P188" s="402">
        <v>118798.59</v>
      </c>
      <c r="Q188" s="400">
        <v>158271.54</v>
      </c>
      <c r="R188" s="401">
        <v>44511.23</v>
      </c>
      <c r="S188" s="403">
        <v>35546.22</v>
      </c>
    </row>
    <row r="189" spans="6:19">
      <c r="F189" s="403"/>
      <c r="H189" s="34"/>
      <c r="I189" s="35"/>
      <c r="J189" s="36"/>
      <c r="M189" s="34"/>
      <c r="N189" s="423"/>
      <c r="O189" s="398">
        <v>45870</v>
      </c>
      <c r="P189" s="402">
        <v>119198.05</v>
      </c>
      <c r="Q189" s="400">
        <v>159487.45000000001</v>
      </c>
      <c r="R189" s="401">
        <v>45513.69</v>
      </c>
      <c r="S189" s="403">
        <v>35546.22</v>
      </c>
    </row>
    <row r="190" spans="6:19">
      <c r="F190" s="403"/>
      <c r="H190" s="34"/>
      <c r="I190" s="35"/>
      <c r="J190" s="36"/>
      <c r="M190" s="34"/>
      <c r="N190" s="423"/>
      <c r="O190" s="398">
        <v>45869</v>
      </c>
      <c r="P190" s="402">
        <v>119553.3</v>
      </c>
      <c r="Q190" s="400">
        <v>160659.14000000001</v>
      </c>
      <c r="R190" s="401">
        <v>46944.06</v>
      </c>
      <c r="S190" s="403">
        <v>36068.620000000003</v>
      </c>
    </row>
    <row r="191" spans="6:19">
      <c r="F191" s="403"/>
      <c r="H191" s="34"/>
      <c r="I191" s="35"/>
      <c r="J191" s="36"/>
      <c r="M191" s="34"/>
      <c r="N191" s="423"/>
      <c r="O191" s="398">
        <v>45868</v>
      </c>
      <c r="P191" s="402">
        <v>119908.56</v>
      </c>
      <c r="Q191" s="400">
        <v>161830.85999999999</v>
      </c>
      <c r="R191" s="401">
        <v>46232.78</v>
      </c>
      <c r="S191" s="403">
        <v>36068.620000000003</v>
      </c>
    </row>
    <row r="192" spans="6:19">
      <c r="F192" s="403"/>
      <c r="H192" s="34"/>
      <c r="I192" s="35"/>
      <c r="J192" s="36"/>
      <c r="M192" s="34"/>
      <c r="N192" s="423"/>
      <c r="O192" s="398">
        <v>45867</v>
      </c>
      <c r="P192" s="402">
        <v>120220.84</v>
      </c>
      <c r="Q192" s="400">
        <v>162959.57999999999</v>
      </c>
      <c r="R192" s="401">
        <v>46610.52</v>
      </c>
      <c r="S192" s="403">
        <v>36068.620000000003</v>
      </c>
    </row>
    <row r="193" spans="6:19">
      <c r="F193" s="403"/>
      <c r="H193" s="34"/>
      <c r="I193" s="35"/>
      <c r="J193" s="36"/>
      <c r="M193" s="34"/>
      <c r="N193" s="423"/>
      <c r="O193" s="398">
        <v>45866</v>
      </c>
      <c r="P193" s="402">
        <v>120583.09</v>
      </c>
      <c r="Q193" s="400">
        <v>164138.26999999999</v>
      </c>
      <c r="R193" s="401">
        <v>46610.52</v>
      </c>
      <c r="S193" s="403">
        <v>36569.81</v>
      </c>
    </row>
    <row r="194" spans="6:19">
      <c r="F194" s="403"/>
      <c r="H194" s="34"/>
      <c r="I194" s="35"/>
      <c r="J194" s="36"/>
      <c r="M194" s="34"/>
      <c r="N194" s="423"/>
      <c r="O194" s="398">
        <v>45865</v>
      </c>
      <c r="P194" s="402">
        <v>120978.58</v>
      </c>
      <c r="Q194" s="400">
        <v>165350.20000000001</v>
      </c>
      <c r="R194" s="401">
        <v>44391.07</v>
      </c>
      <c r="S194" s="403">
        <v>36569.81</v>
      </c>
    </row>
    <row r="195" spans="6:19">
      <c r="F195" s="403"/>
      <c r="H195" s="34"/>
      <c r="I195" s="35"/>
      <c r="J195" s="36"/>
      <c r="M195" s="34"/>
      <c r="N195" s="423"/>
      <c r="O195" s="398">
        <v>45864</v>
      </c>
      <c r="P195" s="402">
        <v>121411.69</v>
      </c>
      <c r="Q195" s="400">
        <v>166942.06</v>
      </c>
      <c r="R195" s="401">
        <v>43058.07</v>
      </c>
      <c r="S195" s="403">
        <v>36569.81</v>
      </c>
    </row>
    <row r="196" spans="6:19">
      <c r="F196" s="403"/>
      <c r="H196" s="34"/>
      <c r="I196" s="35"/>
      <c r="J196" s="36"/>
      <c r="M196" s="34"/>
      <c r="N196" s="423"/>
      <c r="O196" s="398">
        <v>45863</v>
      </c>
      <c r="P196" s="402">
        <v>121397.68</v>
      </c>
      <c r="Q196" s="400">
        <v>168086.79</v>
      </c>
      <c r="R196" s="401">
        <v>43347.360000000001</v>
      </c>
      <c r="S196" s="403">
        <v>41138.019999999997</v>
      </c>
    </row>
    <row r="197" spans="6:19">
      <c r="F197" s="403"/>
      <c r="H197" s="34"/>
      <c r="I197" s="35"/>
      <c r="J197" s="36"/>
      <c r="M197" s="34"/>
      <c r="N197" s="423"/>
      <c r="O197" s="398">
        <v>45862</v>
      </c>
      <c r="P197" s="402">
        <v>121383.67</v>
      </c>
      <c r="Q197" s="400">
        <v>168190.64</v>
      </c>
      <c r="R197" s="401">
        <v>43898.16</v>
      </c>
      <c r="S197" s="403">
        <v>41138.019999999997</v>
      </c>
    </row>
    <row r="198" spans="6:19">
      <c r="F198" s="403"/>
      <c r="H198" s="34"/>
      <c r="I198" s="35"/>
      <c r="J198" s="36"/>
      <c r="M198" s="34"/>
      <c r="N198" s="423"/>
      <c r="O198" s="398">
        <v>45861</v>
      </c>
      <c r="P198" s="402">
        <v>121369.66</v>
      </c>
      <c r="Q198" s="400">
        <v>168294.49</v>
      </c>
      <c r="R198" s="401">
        <v>44869.2</v>
      </c>
      <c r="S198" s="403">
        <v>41138.019999999997</v>
      </c>
    </row>
    <row r="199" spans="6:19">
      <c r="F199" s="403"/>
      <c r="H199" s="34"/>
      <c r="I199" s="35"/>
      <c r="J199" s="36"/>
      <c r="M199" s="34"/>
      <c r="N199" s="423"/>
      <c r="O199" s="398">
        <v>45859</v>
      </c>
      <c r="P199" s="402">
        <v>121021.44</v>
      </c>
      <c r="Q199" s="400">
        <v>168182</v>
      </c>
      <c r="R199" s="401">
        <v>43474.5</v>
      </c>
      <c r="S199" s="403">
        <v>40666.04</v>
      </c>
    </row>
    <row r="200" spans="6:19">
      <c r="F200" s="403"/>
      <c r="H200" s="34"/>
      <c r="I200" s="35"/>
      <c r="J200" s="36"/>
      <c r="M200" s="34"/>
      <c r="N200" s="423"/>
      <c r="O200" s="398">
        <v>45858</v>
      </c>
      <c r="P200" s="402">
        <v>120654.57</v>
      </c>
      <c r="Q200" s="400">
        <v>167932.98</v>
      </c>
      <c r="R200" s="401">
        <v>40683.800000000003</v>
      </c>
      <c r="S200" s="403">
        <v>39243.33</v>
      </c>
    </row>
    <row r="201" spans="6:19">
      <c r="F201" s="403"/>
      <c r="H201" s="34"/>
      <c r="I201" s="35"/>
      <c r="J201" s="36"/>
      <c r="M201" s="34"/>
      <c r="N201" s="423"/>
      <c r="O201" s="398">
        <v>45857</v>
      </c>
      <c r="P201" s="402">
        <v>120627.42</v>
      </c>
      <c r="Q201" s="400">
        <v>168023.71</v>
      </c>
      <c r="R201" s="401">
        <v>40683.800000000003</v>
      </c>
      <c r="S201" s="403">
        <v>39243.33</v>
      </c>
    </row>
    <row r="202" spans="6:19">
      <c r="F202" s="403"/>
      <c r="H202" s="34"/>
      <c r="I202" s="35"/>
      <c r="J202" s="36"/>
      <c r="M202" s="34"/>
      <c r="N202" s="423"/>
      <c r="O202" s="398">
        <v>45856</v>
      </c>
      <c r="P202" s="402">
        <v>120962.83</v>
      </c>
      <c r="Q202" s="400">
        <v>168476.98</v>
      </c>
      <c r="R202" s="401">
        <v>42878.7</v>
      </c>
      <c r="S202" s="403">
        <v>38333.39</v>
      </c>
    </row>
    <row r="203" spans="6:19">
      <c r="F203" s="403"/>
      <c r="H203" s="34"/>
      <c r="I203" s="35"/>
      <c r="J203" s="36"/>
      <c r="M203" s="34"/>
      <c r="N203" s="423"/>
      <c r="O203" s="398">
        <v>45855</v>
      </c>
      <c r="P203" s="402">
        <v>120951.12</v>
      </c>
      <c r="Q203" s="400">
        <v>168583.13</v>
      </c>
      <c r="R203" s="401">
        <v>43449</v>
      </c>
      <c r="S203" s="403">
        <v>38909.769999999997</v>
      </c>
    </row>
    <row r="204" spans="6:19">
      <c r="F204" s="403"/>
      <c r="H204" s="34"/>
      <c r="I204" s="35"/>
      <c r="J204" s="36"/>
      <c r="M204" s="34"/>
      <c r="N204" s="423"/>
      <c r="O204" s="398">
        <v>45854</v>
      </c>
      <c r="P204" s="402">
        <v>121112.17</v>
      </c>
      <c r="Q204" s="400">
        <v>168862.04</v>
      </c>
      <c r="R204" s="401">
        <v>43688.2</v>
      </c>
      <c r="S204" s="403">
        <v>38909.769999999997</v>
      </c>
    </row>
    <row r="205" spans="6:19">
      <c r="F205" s="403"/>
      <c r="H205" s="34"/>
      <c r="I205" s="35"/>
      <c r="J205" s="36"/>
      <c r="M205" s="34"/>
      <c r="N205" s="423"/>
      <c r="O205" s="398">
        <v>45853</v>
      </c>
      <c r="P205" s="402">
        <v>121273.22</v>
      </c>
      <c r="Q205" s="400">
        <v>169140.95</v>
      </c>
      <c r="R205" s="401">
        <v>43632.68</v>
      </c>
      <c r="S205" s="403">
        <v>38471.040000000001</v>
      </c>
    </row>
    <row r="206" spans="6:19">
      <c r="F206" s="403"/>
      <c r="H206" s="34"/>
      <c r="I206" s="35"/>
      <c r="J206" s="36"/>
      <c r="M206" s="34"/>
      <c r="N206" s="423"/>
      <c r="O206" s="398">
        <v>45852</v>
      </c>
      <c r="P206" s="402">
        <v>121434.27</v>
      </c>
      <c r="Q206" s="400">
        <v>169419.87</v>
      </c>
      <c r="R206" s="401">
        <v>42430.74</v>
      </c>
      <c r="S206" s="403">
        <v>38471.040000000001</v>
      </c>
    </row>
    <row r="207" spans="6:19">
      <c r="F207" s="403"/>
      <c r="H207" s="34"/>
      <c r="I207" s="35"/>
      <c r="J207" s="36"/>
      <c r="M207" s="34"/>
      <c r="N207" s="423"/>
      <c r="O207" s="398">
        <v>45851</v>
      </c>
      <c r="P207" s="402">
        <v>121571.33</v>
      </c>
      <c r="Q207" s="400">
        <v>169674.79</v>
      </c>
      <c r="R207" s="401">
        <v>40448.85</v>
      </c>
      <c r="S207" s="403">
        <v>38257.870000000003</v>
      </c>
    </row>
    <row r="208" spans="6:19">
      <c r="F208" s="403"/>
      <c r="H208" s="34"/>
      <c r="I208" s="35"/>
      <c r="J208" s="36"/>
      <c r="M208" s="34"/>
      <c r="N208" s="423"/>
      <c r="O208" s="398">
        <v>45850</v>
      </c>
      <c r="P208" s="402">
        <v>121368.66</v>
      </c>
      <c r="Q208" s="400">
        <v>169589.99</v>
      </c>
      <c r="R208" s="401">
        <v>42078.21</v>
      </c>
      <c r="S208" s="403">
        <v>40635.97</v>
      </c>
    </row>
    <row r="209" spans="6:19">
      <c r="F209" s="403"/>
      <c r="H209" s="34"/>
      <c r="I209" s="35"/>
      <c r="J209" s="36"/>
      <c r="M209" s="34"/>
      <c r="N209" s="423"/>
      <c r="O209" s="398">
        <v>45849</v>
      </c>
      <c r="P209" s="402">
        <v>121378.5</v>
      </c>
      <c r="Q209" s="400">
        <v>169717.7</v>
      </c>
      <c r="R209" s="401">
        <v>42773.73</v>
      </c>
      <c r="S209" s="403">
        <v>40635.97</v>
      </c>
    </row>
    <row r="210" spans="6:19">
      <c r="F210" s="403"/>
      <c r="H210" s="34"/>
      <c r="I210" s="35"/>
      <c r="J210" s="36"/>
      <c r="M210" s="34"/>
      <c r="N210" s="423"/>
      <c r="O210" s="398">
        <v>45848</v>
      </c>
      <c r="P210" s="402">
        <v>121180.79</v>
      </c>
      <c r="Q210" s="400">
        <v>169637.84</v>
      </c>
      <c r="R210" s="401">
        <v>39433.43</v>
      </c>
      <c r="S210" s="403">
        <v>41258.629999999997</v>
      </c>
    </row>
    <row r="211" spans="6:19">
      <c r="F211" s="403"/>
      <c r="H211" s="34"/>
      <c r="I211" s="35"/>
      <c r="J211" s="36"/>
      <c r="M211" s="34"/>
      <c r="N211" s="423"/>
      <c r="O211" s="398">
        <v>45847</v>
      </c>
      <c r="P211" s="402">
        <v>120983.08</v>
      </c>
      <c r="Q211" s="400">
        <v>169468.4</v>
      </c>
      <c r="R211" s="401">
        <v>40606.29</v>
      </c>
      <c r="S211" s="403">
        <v>40448.93</v>
      </c>
    </row>
    <row r="212" spans="6:19">
      <c r="F212" s="403"/>
      <c r="H212" s="34"/>
      <c r="I212" s="35"/>
      <c r="J212" s="36"/>
      <c r="M212" s="34"/>
      <c r="N212" s="423"/>
      <c r="O212" s="398">
        <v>45846</v>
      </c>
      <c r="P212" s="402">
        <v>121008.23</v>
      </c>
      <c r="Q212" s="400">
        <v>169521.81</v>
      </c>
      <c r="R212" s="401">
        <v>40606.29</v>
      </c>
      <c r="S212" s="403">
        <v>39732.19</v>
      </c>
    </row>
    <row r="213" spans="6:19">
      <c r="F213" s="403"/>
      <c r="H213" s="34"/>
      <c r="I213" s="35"/>
      <c r="J213" s="36"/>
      <c r="M213" s="34"/>
      <c r="N213" s="423"/>
      <c r="O213" s="398">
        <v>45845</v>
      </c>
      <c r="P213" s="402">
        <v>121033.39</v>
      </c>
      <c r="Q213" s="400">
        <v>169487.96</v>
      </c>
      <c r="R213" s="401">
        <v>39440.949999999997</v>
      </c>
      <c r="S213" s="403">
        <v>39732.19</v>
      </c>
    </row>
    <row r="214" spans="6:19">
      <c r="F214" s="403"/>
      <c r="H214" s="34"/>
      <c r="I214" s="35"/>
      <c r="J214" s="36"/>
      <c r="M214" s="34"/>
      <c r="N214" s="423"/>
      <c r="O214" s="398">
        <v>45844</v>
      </c>
      <c r="P214" s="402">
        <v>121010.46</v>
      </c>
      <c r="Q214" s="400">
        <v>169406.01</v>
      </c>
      <c r="R214" s="401">
        <v>40335.22</v>
      </c>
      <c r="S214" s="403">
        <v>38116.879999999997</v>
      </c>
    </row>
    <row r="215" spans="6:19">
      <c r="F215" s="403"/>
      <c r="H215" s="34"/>
      <c r="I215" s="35"/>
      <c r="J215" s="36"/>
      <c r="M215" s="34"/>
      <c r="N215" s="423"/>
      <c r="O215" s="398">
        <v>45843</v>
      </c>
      <c r="P215" s="402">
        <v>121071.43</v>
      </c>
      <c r="Q215" s="400">
        <v>169407.96</v>
      </c>
      <c r="R215" s="401">
        <v>38169.89</v>
      </c>
      <c r="S215" s="403">
        <v>40044.129999999997</v>
      </c>
    </row>
    <row r="216" spans="6:19">
      <c r="F216" s="403"/>
      <c r="H216" s="34"/>
      <c r="I216" s="35"/>
      <c r="J216" s="36"/>
      <c r="M216" s="34"/>
      <c r="N216" s="423"/>
      <c r="O216" s="398">
        <v>45842</v>
      </c>
      <c r="P216" s="402">
        <v>121132.4</v>
      </c>
      <c r="Q216" s="400">
        <v>169409.93</v>
      </c>
      <c r="R216" s="401">
        <v>39176.769999999997</v>
      </c>
      <c r="S216" s="403">
        <v>40044.129999999997</v>
      </c>
    </row>
    <row r="217" spans="6:19">
      <c r="F217" s="403"/>
      <c r="H217" s="34"/>
      <c r="I217" s="35"/>
      <c r="J217" s="36"/>
      <c r="M217" s="34"/>
      <c r="N217" s="423"/>
      <c r="O217" s="398">
        <v>45841</v>
      </c>
      <c r="P217" s="402">
        <v>121240.08</v>
      </c>
      <c r="Q217" s="400">
        <v>169458.58</v>
      </c>
      <c r="R217" s="401">
        <v>39176.769999999997</v>
      </c>
      <c r="S217" s="403">
        <v>39467.75</v>
      </c>
    </row>
    <row r="218" spans="6:19">
      <c r="F218" s="403"/>
      <c r="H218" s="34"/>
      <c r="I218" s="35"/>
      <c r="J218" s="36"/>
      <c r="M218" s="34"/>
      <c r="N218" s="423"/>
      <c r="O218" s="398">
        <v>45840</v>
      </c>
      <c r="P218" s="402">
        <v>121109.55</v>
      </c>
      <c r="Q218" s="400">
        <v>169328.04</v>
      </c>
      <c r="R218" s="401">
        <v>37208.839999999997</v>
      </c>
      <c r="S218" s="403">
        <v>40182.370000000003</v>
      </c>
    </row>
    <row r="219" spans="6:19">
      <c r="F219" s="403"/>
      <c r="H219" s="34"/>
      <c r="I219" s="35"/>
      <c r="J219" s="36"/>
      <c r="M219" s="34"/>
      <c r="N219" s="423"/>
      <c r="O219" s="398">
        <v>45839</v>
      </c>
      <c r="P219" s="402">
        <v>121156.39</v>
      </c>
      <c r="Q219" s="400">
        <v>169374.89</v>
      </c>
      <c r="R219" s="401">
        <v>37898.65</v>
      </c>
      <c r="S219" s="403">
        <v>40182.370000000003</v>
      </c>
    </row>
    <row r="220" spans="6:19">
      <c r="F220" s="403"/>
      <c r="H220" s="34"/>
      <c r="I220" s="35"/>
      <c r="J220" s="36"/>
      <c r="M220" s="34"/>
      <c r="N220" s="423"/>
      <c r="O220" s="398">
        <v>45838</v>
      </c>
      <c r="P220" s="402">
        <v>121203.24</v>
      </c>
      <c r="Q220" s="400">
        <v>169489.22</v>
      </c>
      <c r="R220" s="401">
        <v>38605.599999999999</v>
      </c>
      <c r="S220" s="403">
        <v>40182.370000000003</v>
      </c>
    </row>
    <row r="221" spans="6:19">
      <c r="F221" s="403"/>
      <c r="H221" s="34"/>
      <c r="I221" s="35"/>
      <c r="J221" s="36"/>
      <c r="M221" s="34"/>
      <c r="N221" s="423"/>
      <c r="O221" s="398">
        <v>45837</v>
      </c>
      <c r="P221" s="402">
        <v>121426.83</v>
      </c>
      <c r="Q221" s="400">
        <v>169728.52</v>
      </c>
      <c r="R221" s="401">
        <v>39340.480000000003</v>
      </c>
      <c r="S221" s="403">
        <v>40182.370000000003</v>
      </c>
    </row>
    <row r="222" spans="6:19">
      <c r="F222" s="403"/>
      <c r="H222" s="34"/>
      <c r="I222" s="35"/>
      <c r="J222" s="36"/>
      <c r="M222" s="34"/>
      <c r="N222" s="423"/>
      <c r="O222" s="398">
        <v>45835</v>
      </c>
      <c r="P222" s="402">
        <v>121312.7</v>
      </c>
      <c r="Q222" s="400">
        <v>169645.83</v>
      </c>
      <c r="R222" s="401">
        <v>39340.480000000003</v>
      </c>
      <c r="S222" s="403">
        <v>38410.15</v>
      </c>
    </row>
    <row r="223" spans="6:19">
      <c r="F223" s="403"/>
      <c r="H223" s="34"/>
      <c r="I223" s="35"/>
      <c r="J223" s="36"/>
      <c r="M223" s="34"/>
      <c r="N223" s="423"/>
      <c r="O223" s="398">
        <v>45834</v>
      </c>
      <c r="P223" s="402">
        <v>121265.83</v>
      </c>
      <c r="Q223" s="400">
        <v>169614.68</v>
      </c>
      <c r="R223" s="401">
        <v>39340.480000000003</v>
      </c>
      <c r="S223" s="403">
        <v>38410.15</v>
      </c>
    </row>
    <row r="224" spans="6:19">
      <c r="F224" s="403"/>
      <c r="H224" s="34"/>
      <c r="I224" s="35"/>
      <c r="J224" s="36"/>
      <c r="M224" s="34"/>
      <c r="N224" s="423"/>
      <c r="O224" s="398">
        <v>45833</v>
      </c>
      <c r="P224" s="402">
        <v>121311.52</v>
      </c>
      <c r="Q224" s="400">
        <v>169676.09</v>
      </c>
      <c r="R224" s="401">
        <v>38704</v>
      </c>
      <c r="S224" s="403">
        <v>38893.410000000003</v>
      </c>
    </row>
    <row r="225" spans="6:19">
      <c r="F225" s="403"/>
      <c r="H225" s="34"/>
      <c r="I225" s="35"/>
      <c r="J225" s="36"/>
      <c r="M225" s="34"/>
      <c r="N225" s="423"/>
      <c r="O225" s="398">
        <v>45832</v>
      </c>
      <c r="P225" s="402">
        <v>121302.49</v>
      </c>
      <c r="Q225" s="400">
        <v>169763.56</v>
      </c>
      <c r="R225" s="401">
        <v>39023.230000000003</v>
      </c>
      <c r="S225" s="403">
        <v>37818.61</v>
      </c>
    </row>
    <row r="226" spans="6:19">
      <c r="F226" s="403"/>
      <c r="H226" s="34"/>
      <c r="I226" s="35"/>
      <c r="J226" s="36"/>
      <c r="M226" s="34"/>
      <c r="N226" s="423"/>
      <c r="O226" s="398">
        <v>45831</v>
      </c>
      <c r="P226" s="402">
        <v>121293.47</v>
      </c>
      <c r="Q226" s="400">
        <v>169851.02</v>
      </c>
      <c r="R226" s="401">
        <v>39023.230000000003</v>
      </c>
      <c r="S226" s="403">
        <v>37818.61</v>
      </c>
    </row>
    <row r="227" spans="6:19">
      <c r="F227" s="403"/>
      <c r="H227" s="34"/>
      <c r="I227" s="35"/>
      <c r="J227" s="36"/>
      <c r="M227" s="34"/>
      <c r="N227" s="423"/>
      <c r="O227" s="398">
        <v>45830</v>
      </c>
      <c r="P227" s="402">
        <v>121065.93</v>
      </c>
      <c r="Q227" s="400">
        <v>169719.97</v>
      </c>
      <c r="R227" s="401">
        <v>40396.449999999997</v>
      </c>
      <c r="S227" s="403">
        <v>38216.269999999997</v>
      </c>
    </row>
    <row r="228" spans="6:19">
      <c r="F228" s="403"/>
      <c r="H228" s="34"/>
      <c r="I228" s="35"/>
      <c r="J228" s="36"/>
      <c r="M228" s="34"/>
      <c r="N228" s="423"/>
      <c r="O228" s="398">
        <v>45829</v>
      </c>
      <c r="P228" s="402">
        <v>121043.87</v>
      </c>
      <c r="Q228" s="400">
        <v>169794.39</v>
      </c>
      <c r="R228" s="401">
        <v>40714.370000000003</v>
      </c>
      <c r="S228" s="403">
        <v>38216.269999999997</v>
      </c>
    </row>
    <row r="229" spans="6:19">
      <c r="F229" s="403"/>
      <c r="H229" s="34"/>
      <c r="I229" s="35"/>
      <c r="J229" s="36"/>
      <c r="M229" s="34"/>
      <c r="N229" s="423"/>
      <c r="O229" s="398">
        <v>45828</v>
      </c>
      <c r="P229" s="402">
        <v>121010.29</v>
      </c>
      <c r="Q229" s="400">
        <v>169857.3</v>
      </c>
      <c r="R229" s="401">
        <v>40714.370000000003</v>
      </c>
      <c r="S229" s="403">
        <v>37868</v>
      </c>
    </row>
    <row r="230" spans="6:19">
      <c r="F230" s="403"/>
      <c r="H230" s="34"/>
      <c r="I230" s="35"/>
      <c r="J230" s="36"/>
      <c r="M230" s="34"/>
      <c r="N230" s="423"/>
      <c r="O230" s="398">
        <v>45827</v>
      </c>
      <c r="P230" s="402">
        <v>120976.7</v>
      </c>
      <c r="Q230" s="400">
        <v>169920.21</v>
      </c>
      <c r="R230" s="401">
        <v>41560.42</v>
      </c>
      <c r="S230" s="403">
        <v>37868</v>
      </c>
    </row>
    <row r="231" spans="6:19">
      <c r="F231" s="403"/>
      <c r="H231" s="34"/>
      <c r="I231" s="35"/>
      <c r="J231" s="36"/>
      <c r="M231" s="34"/>
      <c r="N231" s="423"/>
      <c r="O231" s="398">
        <v>45826</v>
      </c>
      <c r="P231" s="402">
        <v>120990.67</v>
      </c>
      <c r="Q231" s="400">
        <v>170030.67</v>
      </c>
      <c r="R231" s="401">
        <v>40136.71</v>
      </c>
      <c r="S231" s="403">
        <v>38252.21</v>
      </c>
    </row>
    <row r="232" spans="6:19">
      <c r="F232" s="403"/>
      <c r="H232" s="34"/>
      <c r="I232" s="35"/>
      <c r="J232" s="36"/>
      <c r="M232" s="34"/>
      <c r="N232" s="423"/>
      <c r="O232" s="398">
        <v>45825</v>
      </c>
      <c r="P232" s="402">
        <v>121016.34</v>
      </c>
      <c r="Q232" s="400">
        <v>170152.82</v>
      </c>
      <c r="R232" s="401">
        <v>40648.15</v>
      </c>
      <c r="S232" s="403">
        <v>38252.21</v>
      </c>
    </row>
    <row r="233" spans="6:19">
      <c r="F233" s="403"/>
      <c r="H233" s="34"/>
      <c r="I233" s="35"/>
      <c r="J233" s="36"/>
      <c r="M233" s="34"/>
      <c r="N233" s="423"/>
      <c r="O233" s="398">
        <v>45824</v>
      </c>
      <c r="P233" s="402">
        <v>121009.82</v>
      </c>
      <c r="Q233" s="400">
        <v>170242.79</v>
      </c>
      <c r="R233" s="401">
        <v>40648.15</v>
      </c>
      <c r="S233" s="403">
        <v>38758.61</v>
      </c>
    </row>
    <row r="234" spans="6:19">
      <c r="F234" s="403"/>
      <c r="H234" s="34"/>
      <c r="I234" s="35"/>
      <c r="J234" s="36"/>
      <c r="M234" s="34"/>
      <c r="N234" s="423"/>
      <c r="O234" s="398">
        <v>45823</v>
      </c>
      <c r="P234" s="402">
        <v>121000</v>
      </c>
      <c r="Q234" s="400">
        <v>170329.47</v>
      </c>
      <c r="R234" s="401">
        <v>40358.86</v>
      </c>
      <c r="S234" s="403">
        <v>39322.26</v>
      </c>
    </row>
    <row r="235" spans="6:19">
      <c r="F235" s="403"/>
      <c r="H235" s="34"/>
      <c r="I235" s="35"/>
      <c r="J235" s="36"/>
      <c r="M235" s="34"/>
      <c r="N235" s="423"/>
      <c r="O235" s="398">
        <v>45822</v>
      </c>
      <c r="P235" s="402">
        <v>120990.18</v>
      </c>
      <c r="Q235" s="400">
        <v>170416.14</v>
      </c>
      <c r="R235" s="401">
        <v>44843.54</v>
      </c>
      <c r="S235" s="403">
        <v>39322.26</v>
      </c>
    </row>
    <row r="236" spans="6:19">
      <c r="F236" s="403"/>
      <c r="H236" s="34"/>
      <c r="I236" s="35"/>
      <c r="J236" s="36"/>
      <c r="M236" s="34"/>
      <c r="N236" s="423"/>
      <c r="O236" s="398">
        <v>45821</v>
      </c>
      <c r="P236" s="402">
        <v>121407.41</v>
      </c>
      <c r="Q236" s="400">
        <v>170929.85</v>
      </c>
      <c r="R236" s="401">
        <v>44843.54</v>
      </c>
      <c r="S236" s="403">
        <v>39353.4</v>
      </c>
    </row>
    <row r="237" spans="6:19">
      <c r="F237" s="403"/>
      <c r="H237" s="34"/>
      <c r="I237" s="35"/>
      <c r="J237" s="36"/>
      <c r="M237" s="34"/>
      <c r="N237" s="423"/>
      <c r="O237" s="398">
        <v>45820</v>
      </c>
      <c r="P237" s="402">
        <v>121392.8</v>
      </c>
      <c r="Q237" s="400">
        <v>171011.74</v>
      </c>
      <c r="R237" s="401">
        <v>44843.54</v>
      </c>
      <c r="S237" s="403">
        <v>39353.4</v>
      </c>
    </row>
    <row r="238" spans="6:19">
      <c r="F238" s="403"/>
      <c r="H238" s="34"/>
      <c r="I238" s="35"/>
      <c r="J238" s="36"/>
      <c r="M238" s="34"/>
      <c r="N238" s="423"/>
      <c r="O238" s="398">
        <v>45819</v>
      </c>
      <c r="P238" s="402">
        <v>121193.60000000001</v>
      </c>
      <c r="Q238" s="400">
        <v>170909.03</v>
      </c>
      <c r="R238" s="401">
        <v>44843.54</v>
      </c>
      <c r="S238" s="403">
        <v>40091.74</v>
      </c>
    </row>
    <row r="239" spans="6:19">
      <c r="F239" s="403"/>
      <c r="H239" s="34"/>
      <c r="I239" s="35"/>
      <c r="J239" s="36"/>
      <c r="M239" s="34"/>
      <c r="N239" s="423"/>
      <c r="O239" s="398">
        <v>45818</v>
      </c>
      <c r="P239" s="402">
        <v>120994.4</v>
      </c>
      <c r="Q239" s="400">
        <v>170806.32</v>
      </c>
      <c r="R239" s="401">
        <v>46139.06</v>
      </c>
      <c r="S239" s="403">
        <v>40091.74</v>
      </c>
    </row>
    <row r="240" spans="6:19">
      <c r="F240" s="403"/>
      <c r="H240" s="34"/>
      <c r="I240" s="35"/>
      <c r="J240" s="36"/>
      <c r="M240" s="34"/>
      <c r="N240" s="423"/>
      <c r="O240" s="398">
        <v>45817</v>
      </c>
      <c r="P240" s="402">
        <v>121144.69</v>
      </c>
      <c r="Q240" s="400">
        <v>171053.1</v>
      </c>
      <c r="R240" s="401">
        <v>42481.18</v>
      </c>
      <c r="S240" s="403">
        <v>40091.74</v>
      </c>
    </row>
    <row r="241" spans="6:19">
      <c r="F241" s="403"/>
      <c r="H241" s="34"/>
      <c r="I241" s="35"/>
      <c r="J241" s="36"/>
      <c r="M241" s="34"/>
      <c r="N241" s="423"/>
      <c r="O241" s="398">
        <v>45814</v>
      </c>
      <c r="P241" s="402">
        <v>121094.52</v>
      </c>
      <c r="Q241" s="400">
        <v>171292.41</v>
      </c>
      <c r="R241" s="401">
        <v>42481.18</v>
      </c>
      <c r="S241" s="403">
        <v>40657.42</v>
      </c>
    </row>
    <row r="242" spans="6:19">
      <c r="F242" s="403"/>
      <c r="H242" s="34"/>
      <c r="I242" s="35"/>
      <c r="J242" s="36"/>
      <c r="M242" s="34"/>
      <c r="N242" s="423"/>
      <c r="O242" s="398">
        <v>45813</v>
      </c>
      <c r="P242" s="402">
        <v>121009.49</v>
      </c>
      <c r="Q242" s="400">
        <v>171303.87</v>
      </c>
      <c r="R242" s="401">
        <v>42028.78</v>
      </c>
      <c r="S242" s="403">
        <v>41409.64</v>
      </c>
    </row>
    <row r="243" spans="6:19">
      <c r="F243" s="403"/>
      <c r="H243" s="34"/>
      <c r="I243" s="35"/>
      <c r="J243" s="36"/>
      <c r="M243" s="34"/>
      <c r="N243" s="423"/>
      <c r="O243" s="398">
        <v>45812</v>
      </c>
      <c r="P243" s="402">
        <v>121017.97</v>
      </c>
      <c r="Q243" s="400">
        <v>171408.85</v>
      </c>
      <c r="R243" s="401">
        <v>42028.78</v>
      </c>
      <c r="S243" s="403">
        <v>41409.64</v>
      </c>
    </row>
    <row r="244" spans="6:19">
      <c r="F244" s="403"/>
      <c r="H244" s="34"/>
      <c r="I244" s="35"/>
      <c r="J244" s="36"/>
      <c r="M244" s="34"/>
      <c r="N244" s="423"/>
      <c r="O244" s="398">
        <v>45811</v>
      </c>
      <c r="P244" s="402">
        <v>121037.21</v>
      </c>
      <c r="Q244" s="400">
        <v>171524.56</v>
      </c>
      <c r="R244" s="401">
        <v>42028.78</v>
      </c>
      <c r="S244" s="403">
        <v>40970.050000000003</v>
      </c>
    </row>
    <row r="245" spans="6:19">
      <c r="F245" s="403"/>
      <c r="H245" s="34"/>
      <c r="I245" s="35"/>
      <c r="J245" s="36"/>
      <c r="M245" s="34"/>
      <c r="N245" s="423"/>
      <c r="O245" s="398">
        <v>45810</v>
      </c>
      <c r="P245" s="402">
        <v>121056.44</v>
      </c>
      <c r="Q245" s="400">
        <v>171640.29</v>
      </c>
      <c r="R245" s="401">
        <v>42674.7</v>
      </c>
      <c r="S245" s="403">
        <v>40970.050000000003</v>
      </c>
    </row>
    <row r="246" spans="6:19">
      <c r="F246" s="403"/>
      <c r="H246" s="34"/>
      <c r="I246" s="35"/>
      <c r="J246" s="36"/>
      <c r="M246" s="34"/>
      <c r="N246" s="423"/>
      <c r="O246" s="398">
        <v>45809</v>
      </c>
      <c r="P246" s="402">
        <v>121046.15</v>
      </c>
      <c r="Q246" s="400">
        <v>171726.49</v>
      </c>
      <c r="R246" s="401">
        <v>46596.17</v>
      </c>
      <c r="S246" s="403">
        <v>40195.269999999997</v>
      </c>
    </row>
    <row r="247" spans="6:19">
      <c r="F247" s="403"/>
      <c r="H247" s="34"/>
      <c r="I247" s="35"/>
      <c r="J247" s="36"/>
      <c r="M247" s="34"/>
      <c r="N247" s="423"/>
      <c r="O247" s="398">
        <v>45803</v>
      </c>
      <c r="P247" s="402">
        <v>120759.11</v>
      </c>
      <c r="Q247" s="400">
        <v>171942.85</v>
      </c>
      <c r="R247" s="401">
        <v>46520.73</v>
      </c>
      <c r="S247" s="403">
        <v>43280.01</v>
      </c>
    </row>
    <row r="248" spans="6:19">
      <c r="F248" s="403"/>
      <c r="H248" s="34"/>
      <c r="I248" s="35"/>
      <c r="J248" s="36"/>
      <c r="M248" s="34"/>
      <c r="N248" s="423"/>
      <c r="O248" s="398">
        <v>45801</v>
      </c>
      <c r="P248" s="402">
        <v>120904.46</v>
      </c>
      <c r="Q248" s="400">
        <v>172170.98</v>
      </c>
      <c r="R248" s="401">
        <v>46520.73</v>
      </c>
      <c r="S248" s="403">
        <v>43919.14</v>
      </c>
    </row>
    <row r="249" spans="6:19">
      <c r="F249" s="403"/>
      <c r="H249" s="34"/>
      <c r="I249" s="35"/>
      <c r="J249" s="36"/>
      <c r="M249" s="34"/>
      <c r="N249" s="423"/>
      <c r="O249" s="398">
        <v>45800</v>
      </c>
      <c r="P249" s="402">
        <v>121022.85</v>
      </c>
      <c r="Q249" s="400">
        <v>172290.36</v>
      </c>
      <c r="R249" s="401">
        <v>47384.31</v>
      </c>
      <c r="S249" s="403">
        <v>43919.14</v>
      </c>
    </row>
    <row r="250" spans="6:19">
      <c r="F250" s="403"/>
      <c r="H250" s="34"/>
      <c r="I250" s="35"/>
      <c r="J250" s="36"/>
      <c r="M250" s="34"/>
      <c r="N250" s="423"/>
      <c r="O250" s="398">
        <v>45799</v>
      </c>
      <c r="P250" s="402">
        <v>121192.78</v>
      </c>
      <c r="Q250" s="400">
        <v>172461.29</v>
      </c>
      <c r="R250" s="401">
        <v>47384.31</v>
      </c>
      <c r="S250" s="403">
        <v>43886.76</v>
      </c>
    </row>
    <row r="251" spans="6:19">
      <c r="F251" s="403"/>
      <c r="H251" s="34"/>
      <c r="I251" s="35"/>
      <c r="J251" s="36"/>
      <c r="M251" s="34"/>
      <c r="N251" s="423"/>
      <c r="O251" s="398">
        <v>45798</v>
      </c>
      <c r="P251" s="402">
        <v>121146.08</v>
      </c>
      <c r="Q251" s="400">
        <v>172415.61</v>
      </c>
      <c r="R251" s="401">
        <v>47843.67</v>
      </c>
      <c r="S251" s="403">
        <v>44753.26</v>
      </c>
    </row>
    <row r="252" spans="6:19">
      <c r="F252" s="403"/>
      <c r="H252" s="34"/>
      <c r="I252" s="35"/>
      <c r="J252" s="36"/>
      <c r="M252" s="34"/>
      <c r="N252" s="423"/>
      <c r="O252" s="398">
        <v>45797</v>
      </c>
      <c r="P252" s="402">
        <v>121088.31</v>
      </c>
      <c r="Q252" s="400">
        <v>172358.83</v>
      </c>
      <c r="R252" s="401">
        <v>47957.760000000002</v>
      </c>
      <c r="S252" s="403">
        <v>44753.26</v>
      </c>
    </row>
    <row r="253" spans="6:19">
      <c r="F253" s="403"/>
      <c r="H253" s="34"/>
      <c r="I253" s="35"/>
      <c r="J253" s="36"/>
      <c r="M253" s="34"/>
      <c r="N253" s="423"/>
      <c r="O253" s="398">
        <v>45793</v>
      </c>
      <c r="P253" s="402">
        <v>121001.65</v>
      </c>
      <c r="Q253" s="400">
        <v>172342.97</v>
      </c>
      <c r="R253" s="401">
        <v>50109.48</v>
      </c>
      <c r="S253" s="403">
        <v>45223.74</v>
      </c>
    </row>
    <row r="254" spans="6:19">
      <c r="F254" s="403"/>
      <c r="H254" s="34"/>
      <c r="I254" s="35"/>
      <c r="J254" s="36"/>
      <c r="M254" s="34"/>
      <c r="N254" s="423"/>
      <c r="O254" s="398">
        <v>45790</v>
      </c>
      <c r="P254" s="402">
        <v>121047.91</v>
      </c>
      <c r="Q254" s="400">
        <v>172592.58</v>
      </c>
      <c r="R254" s="401">
        <v>49352.04</v>
      </c>
      <c r="S254" s="403">
        <v>46001.96</v>
      </c>
    </row>
    <row r="255" spans="6:19">
      <c r="F255" s="403"/>
      <c r="H255" s="34"/>
      <c r="I255" s="35"/>
      <c r="J255" s="36"/>
      <c r="M255" s="34"/>
      <c r="N255" s="423"/>
      <c r="O255" s="398">
        <v>45789</v>
      </c>
      <c r="P255" s="402">
        <v>120961.77</v>
      </c>
      <c r="Q255" s="400">
        <v>172574.22</v>
      </c>
      <c r="R255" s="401">
        <v>49995.08</v>
      </c>
      <c r="S255" s="403">
        <v>46001.96</v>
      </c>
    </row>
    <row r="256" spans="6:19">
      <c r="F256" s="403"/>
      <c r="H256" s="34"/>
      <c r="I256" s="35"/>
      <c r="J256" s="36"/>
      <c r="M256" s="34"/>
      <c r="N256" s="423"/>
      <c r="O256" s="398">
        <v>45786</v>
      </c>
      <c r="P256" s="402">
        <v>121121.53</v>
      </c>
      <c r="Q256" s="400">
        <v>172937.33</v>
      </c>
      <c r="R256" s="401">
        <v>50470.44</v>
      </c>
      <c r="S256" s="403">
        <v>46992.36</v>
      </c>
    </row>
    <row r="257" spans="6:19">
      <c r="F257" s="403"/>
      <c r="H257" s="34"/>
      <c r="I257" s="35"/>
      <c r="J257" s="36"/>
      <c r="M257" s="34"/>
      <c r="N257" s="423"/>
      <c r="O257" s="398">
        <v>45783</v>
      </c>
      <c r="P257" s="402">
        <v>121363.54</v>
      </c>
      <c r="Q257" s="400">
        <v>173382.68</v>
      </c>
      <c r="R257" s="401">
        <v>51809</v>
      </c>
      <c r="S257" s="403">
        <v>47501.919999999998</v>
      </c>
    </row>
    <row r="258" spans="6:19">
      <c r="F258" s="403"/>
      <c r="H258" s="34"/>
      <c r="I258" s="35"/>
      <c r="J258" s="36"/>
      <c r="M258" s="34"/>
      <c r="N258" s="423"/>
      <c r="O258" s="398">
        <v>45781</v>
      </c>
      <c r="P258" s="402">
        <v>121902.03</v>
      </c>
      <c r="Q258" s="400">
        <v>174056.73</v>
      </c>
      <c r="R258" s="401">
        <v>51100.2</v>
      </c>
      <c r="S258" s="403">
        <v>46896.87</v>
      </c>
    </row>
    <row r="259" spans="6:19">
      <c r="F259" s="403"/>
      <c r="H259" s="34"/>
      <c r="I259" s="35"/>
      <c r="J259" s="36"/>
      <c r="M259" s="34"/>
      <c r="N259" s="423"/>
      <c r="O259" s="398">
        <v>45779</v>
      </c>
      <c r="P259" s="402">
        <v>121923.8</v>
      </c>
      <c r="Q259" s="400">
        <v>174214.06</v>
      </c>
      <c r="R259" s="401">
        <v>51100.2</v>
      </c>
      <c r="S259" s="403">
        <v>46674.76</v>
      </c>
    </row>
    <row r="260" spans="6:19">
      <c r="F260" s="403"/>
      <c r="H260" s="34"/>
      <c r="I260" s="35"/>
      <c r="J260" s="36"/>
      <c r="M260" s="34"/>
      <c r="N260" s="423"/>
      <c r="O260" s="398">
        <v>45778</v>
      </c>
      <c r="P260" s="402">
        <v>121820.71</v>
      </c>
      <c r="Q260" s="400">
        <v>174178.75</v>
      </c>
      <c r="R260" s="401">
        <v>51673.88</v>
      </c>
      <c r="S260" s="403">
        <v>47466.5</v>
      </c>
    </row>
    <row r="261" spans="6:19">
      <c r="F261" s="403"/>
      <c r="H261" s="34"/>
      <c r="I261" s="35"/>
      <c r="J261" s="36"/>
      <c r="M261" s="34"/>
      <c r="N261" s="423"/>
      <c r="O261" s="398">
        <v>45774</v>
      </c>
      <c r="P261" s="402">
        <v>121997.2</v>
      </c>
      <c r="Q261" s="400">
        <v>174649.86</v>
      </c>
      <c r="R261" s="401">
        <v>51561.96</v>
      </c>
      <c r="S261" s="403">
        <v>48107.25</v>
      </c>
    </row>
    <row r="262" spans="6:19">
      <c r="F262" s="403"/>
      <c r="H262" s="34"/>
      <c r="I262" s="35"/>
      <c r="J262" s="36"/>
      <c r="M262" s="34"/>
      <c r="N262" s="423"/>
      <c r="O262" s="398">
        <v>45773</v>
      </c>
      <c r="P262" s="402">
        <v>122041.29</v>
      </c>
      <c r="Q262" s="400">
        <v>174767.6</v>
      </c>
      <c r="R262" s="401">
        <v>50676.86</v>
      </c>
      <c r="S262" s="403">
        <v>48107.25</v>
      </c>
    </row>
    <row r="263" spans="6:19">
      <c r="F263" s="403"/>
      <c r="H263" s="34"/>
      <c r="I263" s="35"/>
      <c r="J263" s="36"/>
      <c r="M263" s="34"/>
      <c r="N263" s="423"/>
      <c r="O263" s="398">
        <v>45771</v>
      </c>
      <c r="P263" s="402">
        <v>122129.45</v>
      </c>
      <c r="Q263" s="400">
        <v>175003.06</v>
      </c>
      <c r="R263" s="401">
        <v>52143.93</v>
      </c>
      <c r="S263" s="403">
        <v>48107.25</v>
      </c>
    </row>
    <row r="264" spans="6:19">
      <c r="F264" s="403"/>
      <c r="H264" s="34"/>
      <c r="I264" s="35"/>
      <c r="J264" s="36"/>
      <c r="M264" s="34"/>
      <c r="N264" s="423"/>
      <c r="O264" s="398">
        <v>45769</v>
      </c>
      <c r="P264" s="402">
        <v>122079.65</v>
      </c>
      <c r="Q264" s="400">
        <v>175100.56</v>
      </c>
      <c r="R264" s="401">
        <v>52373.69</v>
      </c>
      <c r="S264" s="403">
        <v>49890.02</v>
      </c>
    </row>
    <row r="265" spans="6:19">
      <c r="F265" s="403"/>
      <c r="H265" s="34"/>
      <c r="I265" s="35"/>
      <c r="J265" s="36"/>
      <c r="M265" s="34"/>
      <c r="N265" s="423"/>
      <c r="O265" s="398">
        <v>45768</v>
      </c>
      <c r="P265" s="402">
        <v>122370.16</v>
      </c>
      <c r="Q265" s="400">
        <v>175464.73</v>
      </c>
      <c r="R265" s="401">
        <v>52373.69</v>
      </c>
      <c r="S265" s="403">
        <v>50026.05</v>
      </c>
    </row>
    <row r="266" spans="6:19">
      <c r="F266" s="403"/>
      <c r="H266" s="34"/>
      <c r="I266" s="35"/>
      <c r="J266" s="36"/>
      <c r="M266" s="34"/>
      <c r="N266" s="423"/>
      <c r="O266" s="398">
        <v>45767</v>
      </c>
      <c r="P266" s="402">
        <v>122371.18</v>
      </c>
      <c r="Q266" s="400">
        <v>175539.4</v>
      </c>
      <c r="R266" s="401">
        <v>54213.120000000003</v>
      </c>
      <c r="S266" s="403">
        <v>49674.09</v>
      </c>
    </row>
    <row r="267" spans="6:19">
      <c r="F267" s="403"/>
      <c r="H267" s="34"/>
      <c r="I267" s="35"/>
      <c r="J267" s="36"/>
      <c r="M267" s="34"/>
      <c r="N267" s="423"/>
      <c r="O267" s="398">
        <v>45763</v>
      </c>
      <c r="P267" s="402">
        <v>122608.91</v>
      </c>
      <c r="Q267" s="400">
        <v>176071.73</v>
      </c>
      <c r="R267" s="401">
        <v>55651.61</v>
      </c>
      <c r="S267" s="403">
        <v>50280.45</v>
      </c>
    </row>
    <row r="268" spans="6:19">
      <c r="F268" s="403"/>
      <c r="H268" s="34"/>
      <c r="I268" s="35"/>
      <c r="J268" s="36"/>
      <c r="M268" s="34"/>
      <c r="N268" s="423"/>
      <c r="O268" s="398">
        <v>45762</v>
      </c>
      <c r="P268" s="402">
        <v>122610.15</v>
      </c>
      <c r="Q268" s="400">
        <v>176146.64</v>
      </c>
      <c r="R268" s="401">
        <v>56323.51</v>
      </c>
      <c r="S268" s="403">
        <v>50280.45</v>
      </c>
    </row>
    <row r="269" spans="6:19">
      <c r="F269" s="403"/>
      <c r="H269" s="34"/>
      <c r="I269" s="35"/>
      <c r="J269" s="36"/>
      <c r="M269" s="34"/>
      <c r="N269" s="423"/>
      <c r="O269" s="398">
        <v>45758</v>
      </c>
      <c r="P269" s="402">
        <v>122691.89</v>
      </c>
      <c r="Q269" s="400">
        <v>176522.99</v>
      </c>
      <c r="R269" s="401">
        <v>55989.61</v>
      </c>
      <c r="S269" s="403">
        <v>49559.040000000001</v>
      </c>
    </row>
    <row r="270" spans="6:19">
      <c r="F270" s="403"/>
      <c r="H270" s="34"/>
      <c r="I270" s="35"/>
      <c r="J270" s="36"/>
      <c r="M270" s="34"/>
      <c r="N270" s="423"/>
      <c r="O270" s="398">
        <v>45757</v>
      </c>
      <c r="P270" s="402">
        <v>122718.73</v>
      </c>
      <c r="Q270" s="400">
        <v>176623.47</v>
      </c>
      <c r="R270" s="401">
        <v>55989.61</v>
      </c>
      <c r="S270" s="403">
        <v>49559.040000000001</v>
      </c>
    </row>
    <row r="271" spans="6:19">
      <c r="F271" s="46"/>
      <c r="H271" s="34"/>
      <c r="I271" s="35"/>
      <c r="J271" s="36"/>
      <c r="M271" s="34"/>
      <c r="N271" s="423"/>
      <c r="O271" s="398">
        <v>45756</v>
      </c>
      <c r="P271" s="402">
        <v>122806.41</v>
      </c>
      <c r="Q271" s="400">
        <v>176784.81</v>
      </c>
      <c r="R271" s="401">
        <v>57535.78</v>
      </c>
      <c r="S271" s="403">
        <v>49559.040000000001</v>
      </c>
    </row>
    <row r="272" spans="6:19">
      <c r="F272" s="46"/>
      <c r="H272" s="34"/>
      <c r="I272" s="35"/>
      <c r="J272" s="36"/>
      <c r="M272" s="34"/>
      <c r="N272" s="423"/>
      <c r="O272" s="398">
        <v>45755</v>
      </c>
      <c r="P272" s="402">
        <v>123003.93</v>
      </c>
      <c r="Q272" s="400">
        <v>177055.98</v>
      </c>
      <c r="R272" s="401">
        <v>57768.42</v>
      </c>
      <c r="S272" s="403">
        <v>50575.01</v>
      </c>
    </row>
    <row r="273" spans="6:19">
      <c r="F273" s="46"/>
      <c r="H273" s="34"/>
      <c r="I273" s="35"/>
      <c r="J273" s="36"/>
      <c r="M273" s="34"/>
      <c r="N273" s="423"/>
      <c r="O273" s="398">
        <v>45754</v>
      </c>
      <c r="P273" s="402">
        <v>122931.12</v>
      </c>
      <c r="Q273" s="400">
        <v>177056.81</v>
      </c>
      <c r="R273" s="401">
        <v>56692.42</v>
      </c>
      <c r="S273" s="403">
        <v>52369.79</v>
      </c>
    </row>
    <row r="274" spans="6:19">
      <c r="F274" s="46"/>
      <c r="H274" s="34"/>
      <c r="I274" s="35"/>
      <c r="J274" s="36"/>
      <c r="M274" s="34"/>
      <c r="N274" s="423"/>
      <c r="O274" s="398">
        <v>45753</v>
      </c>
      <c r="P274" s="402">
        <v>122964.47</v>
      </c>
      <c r="Q274" s="400">
        <v>177163.82</v>
      </c>
      <c r="R274" s="401">
        <v>55996.9</v>
      </c>
      <c r="S274" s="403">
        <v>51617.56</v>
      </c>
    </row>
    <row r="275" spans="6:19">
      <c r="F275" s="46"/>
      <c r="H275" s="34"/>
      <c r="I275" s="35"/>
      <c r="J275" s="36"/>
      <c r="M275" s="34"/>
      <c r="N275" s="423"/>
      <c r="O275" s="398">
        <v>45752</v>
      </c>
      <c r="P275" s="402">
        <v>123040.89</v>
      </c>
      <c r="Q275" s="400">
        <v>177313.89</v>
      </c>
      <c r="R275" s="401">
        <v>55996.9</v>
      </c>
      <c r="S275" s="403">
        <v>51996.71</v>
      </c>
    </row>
    <row r="276" spans="6:19">
      <c r="F276" s="46"/>
      <c r="H276" s="34"/>
      <c r="I276" s="35"/>
      <c r="J276" s="36"/>
      <c r="M276" s="34"/>
      <c r="N276" s="423"/>
      <c r="O276" s="398">
        <v>45751</v>
      </c>
      <c r="P276" s="402">
        <v>123117.3</v>
      </c>
      <c r="Q276" s="400">
        <v>177463.96</v>
      </c>
      <c r="R276" s="401">
        <v>57580.3</v>
      </c>
      <c r="S276" s="403">
        <v>51742.49</v>
      </c>
    </row>
    <row r="277" spans="6:19">
      <c r="F277" s="46"/>
      <c r="H277" s="34"/>
      <c r="I277" s="35"/>
      <c r="J277" s="36"/>
      <c r="M277" s="34"/>
      <c r="N277" s="423"/>
      <c r="O277" s="398">
        <v>45750</v>
      </c>
      <c r="P277" s="402">
        <v>123361.52</v>
      </c>
      <c r="Q277" s="400">
        <v>177781.83</v>
      </c>
      <c r="R277" s="401">
        <v>59380.68</v>
      </c>
      <c r="S277" s="403">
        <v>51577.93</v>
      </c>
    </row>
    <row r="278" spans="6:19">
      <c r="F278" s="46"/>
      <c r="H278" s="34"/>
      <c r="I278" s="35"/>
      <c r="J278" s="36"/>
      <c r="M278" s="34"/>
      <c r="N278" s="423"/>
      <c r="O278" s="398">
        <v>45745</v>
      </c>
      <c r="P278" s="402">
        <v>124540.25</v>
      </c>
      <c r="Q278" s="400">
        <v>179066.79</v>
      </c>
      <c r="R278" s="401">
        <v>58154.05</v>
      </c>
      <c r="S278" s="403">
        <v>51825.08</v>
      </c>
    </row>
    <row r="279" spans="6:19">
      <c r="F279" s="46"/>
      <c r="H279" s="34"/>
      <c r="I279" s="35"/>
      <c r="J279" s="36"/>
      <c r="M279" s="34"/>
      <c r="N279" s="423"/>
      <c r="O279" s="398">
        <v>45744</v>
      </c>
      <c r="P279" s="402">
        <v>124771.46</v>
      </c>
      <c r="Q279" s="400">
        <v>179306.14</v>
      </c>
      <c r="R279" s="401">
        <v>58418.27</v>
      </c>
      <c r="S279" s="403">
        <v>51825.08</v>
      </c>
    </row>
    <row r="280" spans="6:19">
      <c r="F280" s="46"/>
      <c r="H280" s="34"/>
      <c r="I280" s="35"/>
      <c r="J280" s="36"/>
      <c r="M280" s="34"/>
      <c r="N280" s="423"/>
      <c r="O280" s="398">
        <v>45743</v>
      </c>
      <c r="P280" s="402">
        <v>124965.3</v>
      </c>
      <c r="Q280" s="400">
        <v>179508.13</v>
      </c>
      <c r="R280" s="401">
        <v>58418.27</v>
      </c>
      <c r="S280" s="403">
        <v>52604.44</v>
      </c>
    </row>
    <row r="281" spans="6:19">
      <c r="F281" s="46"/>
      <c r="H281" s="34"/>
      <c r="I281" s="35"/>
      <c r="J281" s="36"/>
      <c r="M281" s="34"/>
      <c r="N281" s="423"/>
      <c r="O281" s="398">
        <v>45742</v>
      </c>
      <c r="P281" s="402">
        <v>125021.05</v>
      </c>
      <c r="Q281" s="400">
        <v>179572.02</v>
      </c>
      <c r="R281" s="401">
        <v>58418.27</v>
      </c>
      <c r="S281" s="403">
        <v>52604.44</v>
      </c>
    </row>
    <row r="282" spans="6:19">
      <c r="F282" s="46"/>
      <c r="H282" s="34"/>
      <c r="I282" s="35"/>
      <c r="J282" s="36"/>
      <c r="M282" s="34"/>
      <c r="N282" s="423"/>
      <c r="O282" s="398">
        <v>45741</v>
      </c>
      <c r="P282" s="402">
        <v>125231.83</v>
      </c>
      <c r="Q282" s="400">
        <v>179790.94</v>
      </c>
      <c r="R282" s="401">
        <v>59215.35</v>
      </c>
      <c r="S282" s="403">
        <v>53944.05</v>
      </c>
    </row>
    <row r="283" spans="6:19">
      <c r="F283" s="46"/>
      <c r="H283" s="34"/>
      <c r="I283" s="35"/>
      <c r="J283" s="36"/>
      <c r="M283" s="34"/>
      <c r="N283" s="423"/>
      <c r="O283" s="398">
        <v>45740</v>
      </c>
      <c r="P283" s="402">
        <v>125442.61</v>
      </c>
      <c r="Q283" s="400">
        <v>180009.87</v>
      </c>
      <c r="R283" s="401">
        <v>60889.51</v>
      </c>
      <c r="S283" s="403">
        <v>53090.61</v>
      </c>
    </row>
    <row r="284" spans="6:19">
      <c r="F284" s="46"/>
      <c r="H284" s="34"/>
      <c r="I284" s="35"/>
      <c r="J284" s="36"/>
      <c r="M284" s="34"/>
      <c r="N284" s="423"/>
      <c r="O284" s="398">
        <v>45739</v>
      </c>
      <c r="P284" s="402">
        <v>125549.55</v>
      </c>
      <c r="Q284" s="400">
        <v>180124.95</v>
      </c>
      <c r="R284" s="401">
        <v>60889.51</v>
      </c>
      <c r="S284" s="403">
        <v>52051.51</v>
      </c>
    </row>
    <row r="285" spans="6:19">
      <c r="F285" s="46"/>
      <c r="H285" s="34"/>
      <c r="I285" s="35"/>
      <c r="J285" s="36"/>
      <c r="M285" s="34"/>
      <c r="N285" s="423"/>
      <c r="O285" s="398">
        <v>45738</v>
      </c>
      <c r="P285" s="402">
        <v>125656.48</v>
      </c>
      <c r="Q285" s="400">
        <v>180240.03</v>
      </c>
      <c r="R285" s="401">
        <v>60889.51</v>
      </c>
      <c r="S285" s="403">
        <v>52051.51</v>
      </c>
    </row>
    <row r="286" spans="6:19">
      <c r="F286" s="46"/>
      <c r="H286" s="34"/>
      <c r="I286" s="35"/>
      <c r="J286" s="36"/>
      <c r="M286" s="34"/>
      <c r="N286" s="423"/>
      <c r="O286" s="398">
        <v>45737</v>
      </c>
      <c r="P286" s="402">
        <v>125763.42</v>
      </c>
      <c r="Q286" s="400">
        <v>180355.11</v>
      </c>
      <c r="R286" s="401">
        <v>60889.51</v>
      </c>
      <c r="S286" s="403">
        <v>52051.51</v>
      </c>
    </row>
    <row r="287" spans="6:19">
      <c r="F287" s="46"/>
      <c r="H287" s="34"/>
      <c r="I287" s="35"/>
      <c r="J287" s="36"/>
      <c r="M287" s="34"/>
      <c r="N287" s="423"/>
      <c r="O287" s="398">
        <v>45736</v>
      </c>
      <c r="P287" s="402">
        <v>125789.68</v>
      </c>
      <c r="Q287" s="400">
        <v>180389.51</v>
      </c>
      <c r="R287" s="401">
        <v>61496.47</v>
      </c>
      <c r="S287" s="403">
        <v>51642.78</v>
      </c>
    </row>
    <row r="288" spans="6:19">
      <c r="F288" s="46"/>
      <c r="H288" s="34"/>
      <c r="I288" s="35"/>
      <c r="J288" s="36"/>
      <c r="M288" s="34"/>
      <c r="N288" s="423"/>
      <c r="O288" s="398">
        <v>45735</v>
      </c>
      <c r="P288" s="402">
        <v>125954.03</v>
      </c>
      <c r="Q288" s="400">
        <v>180562.01</v>
      </c>
      <c r="R288" s="401">
        <v>62463.1</v>
      </c>
      <c r="S288" s="403">
        <v>51642.78</v>
      </c>
    </row>
    <row r="289" spans="6:19">
      <c r="F289" s="46"/>
      <c r="H289" s="34"/>
      <c r="I289" s="35"/>
      <c r="J289" s="36"/>
      <c r="M289" s="34"/>
      <c r="N289" s="423"/>
      <c r="O289" s="398">
        <v>45734</v>
      </c>
      <c r="P289" s="402">
        <v>125987.22</v>
      </c>
      <c r="Q289" s="400">
        <v>180603.34</v>
      </c>
      <c r="R289" s="401">
        <v>62463.1</v>
      </c>
      <c r="S289" s="403">
        <v>51642.78</v>
      </c>
    </row>
    <row r="290" spans="6:19">
      <c r="F290" s="46"/>
      <c r="H290" s="34"/>
      <c r="I290" s="35"/>
      <c r="J290" s="36"/>
      <c r="M290" s="34"/>
      <c r="N290" s="423"/>
      <c r="O290" s="398">
        <v>45733</v>
      </c>
      <c r="P290" s="402">
        <v>126020.42</v>
      </c>
      <c r="Q290" s="400">
        <v>180644.68</v>
      </c>
      <c r="R290" s="401">
        <v>62844.49</v>
      </c>
      <c r="S290" s="403">
        <v>51642.78</v>
      </c>
    </row>
    <row r="291" spans="6:19">
      <c r="F291" s="46"/>
      <c r="H291" s="34"/>
      <c r="I291" s="35"/>
      <c r="J291" s="36"/>
      <c r="M291" s="34"/>
      <c r="N291" s="423"/>
      <c r="O291" s="398">
        <v>45732</v>
      </c>
      <c r="P291" s="402">
        <v>126053.61</v>
      </c>
      <c r="Q291" s="400">
        <v>180686.02</v>
      </c>
      <c r="R291" s="401">
        <v>62844.49</v>
      </c>
      <c r="S291" s="403">
        <v>51642.78</v>
      </c>
    </row>
    <row r="292" spans="6:19">
      <c r="F292" s="46"/>
      <c r="H292" s="34"/>
      <c r="I292" s="35"/>
      <c r="J292" s="36"/>
      <c r="M292" s="34"/>
      <c r="N292" s="423"/>
      <c r="O292" s="398">
        <v>45731</v>
      </c>
      <c r="P292" s="402">
        <v>126007.91</v>
      </c>
      <c r="Q292" s="400">
        <v>180648.46</v>
      </c>
      <c r="R292" s="401">
        <v>62844.49</v>
      </c>
      <c r="S292" s="403">
        <v>53514.78</v>
      </c>
    </row>
    <row r="293" spans="6:19">
      <c r="F293" s="46"/>
      <c r="H293" s="34"/>
      <c r="I293" s="35"/>
      <c r="J293" s="36"/>
      <c r="M293" s="34"/>
      <c r="N293" s="423"/>
      <c r="O293" s="398">
        <v>45730</v>
      </c>
      <c r="P293" s="402">
        <v>125962.21</v>
      </c>
      <c r="Q293" s="400">
        <v>180610.91</v>
      </c>
      <c r="R293" s="401">
        <v>62844.49</v>
      </c>
      <c r="S293" s="403">
        <v>53514.78</v>
      </c>
    </row>
    <row r="294" spans="6:19">
      <c r="F294" s="46"/>
      <c r="H294" s="34"/>
      <c r="I294" s="35"/>
      <c r="J294" s="36"/>
      <c r="M294" s="34"/>
      <c r="N294" s="423"/>
      <c r="O294" s="398">
        <v>45729</v>
      </c>
      <c r="P294" s="402">
        <v>126057.13</v>
      </c>
      <c r="Q294" s="400">
        <v>180713.97</v>
      </c>
      <c r="R294" s="401">
        <v>64789.120000000003</v>
      </c>
      <c r="S294" s="403">
        <v>53504.9</v>
      </c>
    </row>
    <row r="295" spans="6:19">
      <c r="F295" s="46"/>
      <c r="H295" s="34"/>
      <c r="I295" s="35"/>
      <c r="J295" s="36"/>
      <c r="M295" s="34"/>
      <c r="N295" s="423"/>
      <c r="O295" s="398">
        <v>45728</v>
      </c>
      <c r="P295" s="402">
        <v>126043.74</v>
      </c>
      <c r="Q295" s="400">
        <v>180708.72</v>
      </c>
      <c r="R295" s="401">
        <v>64261.5</v>
      </c>
      <c r="S295" s="403">
        <v>53829.82</v>
      </c>
    </row>
    <row r="296" spans="6:19">
      <c r="F296" s="46"/>
      <c r="H296" s="34"/>
      <c r="I296" s="35"/>
      <c r="J296" s="36"/>
      <c r="M296" s="34"/>
      <c r="N296" s="423"/>
      <c r="O296" s="398">
        <v>45727</v>
      </c>
      <c r="P296" s="402">
        <v>125921.69</v>
      </c>
      <c r="Q296" s="400">
        <v>180594.82</v>
      </c>
      <c r="R296" s="401">
        <v>64261.5</v>
      </c>
      <c r="S296" s="403">
        <v>53829.82</v>
      </c>
    </row>
    <row r="297" spans="6:19">
      <c r="F297" s="46"/>
      <c r="H297" s="34"/>
      <c r="I297" s="35"/>
      <c r="J297" s="36"/>
      <c r="M297" s="34"/>
      <c r="N297" s="423"/>
      <c r="O297" s="398">
        <v>45726</v>
      </c>
      <c r="P297" s="402">
        <v>125742.39</v>
      </c>
      <c r="Q297" s="400">
        <v>180423.66</v>
      </c>
      <c r="R297" s="401">
        <v>64071.66</v>
      </c>
      <c r="S297" s="403">
        <v>53829.82</v>
      </c>
    </row>
    <row r="298" spans="6:19">
      <c r="F298" s="46"/>
      <c r="H298" s="34"/>
      <c r="I298" s="35"/>
      <c r="J298" s="36"/>
      <c r="M298" s="34"/>
      <c r="N298" s="423"/>
      <c r="O298" s="398">
        <v>45725</v>
      </c>
      <c r="P298" s="402">
        <v>125799.4</v>
      </c>
      <c r="Q298" s="400">
        <v>180488.82</v>
      </c>
      <c r="R298" s="401">
        <v>64553.18</v>
      </c>
      <c r="S298" s="403">
        <v>54283.78</v>
      </c>
    </row>
    <row r="299" spans="6:19">
      <c r="F299" s="46"/>
      <c r="H299" s="34"/>
      <c r="I299" s="35"/>
      <c r="J299" s="36"/>
      <c r="M299" s="34"/>
      <c r="N299" s="423"/>
      <c r="O299" s="398">
        <v>45724</v>
      </c>
      <c r="P299" s="402">
        <v>125798.36</v>
      </c>
      <c r="Q299" s="400">
        <v>180443.64</v>
      </c>
      <c r="R299" s="401">
        <v>65577.2</v>
      </c>
      <c r="S299" s="403">
        <v>54283.78</v>
      </c>
    </row>
    <row r="300" spans="6:19">
      <c r="F300" s="46"/>
      <c r="H300" s="34"/>
      <c r="I300" s="35"/>
      <c r="J300" s="36"/>
      <c r="M300" s="34"/>
      <c r="N300" s="423"/>
      <c r="O300" s="398">
        <v>45723</v>
      </c>
      <c r="P300" s="402">
        <v>125846.92</v>
      </c>
      <c r="Q300" s="400">
        <v>180493.32</v>
      </c>
      <c r="R300" s="401">
        <v>66502.58</v>
      </c>
      <c r="S300" s="403">
        <v>54283.78</v>
      </c>
    </row>
    <row r="301" spans="6:19">
      <c r="F301" s="46"/>
      <c r="H301" s="34"/>
      <c r="I301" s="35"/>
      <c r="J301" s="36"/>
      <c r="M301" s="34"/>
      <c r="N301" s="423"/>
      <c r="O301" s="398">
        <v>45722</v>
      </c>
      <c r="P301" s="402">
        <v>125783.65</v>
      </c>
      <c r="Q301" s="400">
        <v>180431.19</v>
      </c>
      <c r="R301" s="401">
        <v>65920.800000000003</v>
      </c>
      <c r="S301" s="403">
        <v>55051.62</v>
      </c>
    </row>
    <row r="302" spans="6:19">
      <c r="F302" s="46"/>
      <c r="H302" s="34"/>
      <c r="I302" s="35"/>
      <c r="J302" s="36"/>
      <c r="M302" s="34"/>
      <c r="N302" s="423"/>
      <c r="O302" s="398">
        <v>45721</v>
      </c>
      <c r="P302" s="402">
        <v>125792.06</v>
      </c>
      <c r="Q302" s="400">
        <v>180440.73</v>
      </c>
      <c r="R302" s="401">
        <v>65920.800000000003</v>
      </c>
      <c r="S302" s="403">
        <v>54357.51</v>
      </c>
    </row>
    <row r="303" spans="6:19">
      <c r="F303" s="46"/>
      <c r="H303" s="34"/>
      <c r="I303" s="35"/>
      <c r="J303" s="36"/>
      <c r="M303" s="34"/>
      <c r="N303" s="423"/>
      <c r="O303" s="398">
        <v>45720</v>
      </c>
      <c r="P303" s="402">
        <v>125800.47</v>
      </c>
      <c r="Q303" s="400">
        <v>180450.25</v>
      </c>
      <c r="R303" s="401">
        <v>65623.28</v>
      </c>
      <c r="S303" s="403">
        <v>54357.51</v>
      </c>
    </row>
    <row r="304" spans="6:19">
      <c r="F304" s="46"/>
      <c r="H304" s="34"/>
      <c r="I304" s="35"/>
      <c r="J304" s="36"/>
      <c r="M304" s="34"/>
      <c r="N304" s="423"/>
      <c r="O304" s="398">
        <v>45719</v>
      </c>
      <c r="P304" s="402">
        <v>125848.88</v>
      </c>
      <c r="Q304" s="400">
        <v>180499.81</v>
      </c>
      <c r="R304" s="401">
        <v>66027.81</v>
      </c>
      <c r="S304" s="403">
        <v>53773.9</v>
      </c>
    </row>
    <row r="305" spans="6:19">
      <c r="F305" s="46"/>
      <c r="H305" s="34"/>
      <c r="I305" s="35"/>
      <c r="J305" s="36"/>
      <c r="M305" s="34"/>
      <c r="N305" s="423"/>
      <c r="O305" s="398">
        <v>45718</v>
      </c>
      <c r="P305" s="402">
        <v>125927.7</v>
      </c>
      <c r="Q305" s="400">
        <v>180579.76</v>
      </c>
      <c r="R305" s="401">
        <v>65784.75</v>
      </c>
      <c r="S305" s="403">
        <v>53773.9</v>
      </c>
    </row>
    <row r="306" spans="6:19">
      <c r="F306" s="46"/>
      <c r="H306" s="34"/>
      <c r="I306" s="35"/>
      <c r="J306" s="36"/>
      <c r="M306" s="34"/>
      <c r="N306" s="423"/>
      <c r="O306" s="398">
        <v>45717</v>
      </c>
      <c r="P306" s="402">
        <v>126006.53</v>
      </c>
      <c r="Q306" s="400">
        <v>180659.72</v>
      </c>
      <c r="R306" s="401">
        <v>64457.72</v>
      </c>
      <c r="S306" s="403">
        <v>53319.94</v>
      </c>
    </row>
    <row r="307" spans="6:19">
      <c r="F307" s="46"/>
      <c r="H307" s="34"/>
      <c r="I307" s="35"/>
      <c r="J307" s="36"/>
      <c r="M307" s="34"/>
      <c r="N307" s="423"/>
      <c r="O307" s="398">
        <v>45716</v>
      </c>
      <c r="P307" s="402">
        <v>126327.38</v>
      </c>
      <c r="Q307" s="400">
        <v>181093.73</v>
      </c>
      <c r="R307" s="401">
        <v>63545.25</v>
      </c>
      <c r="S307" s="403">
        <v>53802.43</v>
      </c>
    </row>
    <row r="308" spans="6:19">
      <c r="F308" s="46"/>
      <c r="H308" s="34"/>
      <c r="I308" s="35"/>
      <c r="J308" s="36"/>
      <c r="M308" s="34"/>
      <c r="N308" s="423"/>
      <c r="O308" s="398">
        <v>45715</v>
      </c>
      <c r="P308" s="402">
        <v>126258.89</v>
      </c>
      <c r="Q308" s="400">
        <v>181085.01</v>
      </c>
      <c r="R308" s="401">
        <v>63889.41</v>
      </c>
      <c r="S308" s="403">
        <v>53746.22</v>
      </c>
    </row>
    <row r="309" spans="6:19">
      <c r="F309" s="46"/>
      <c r="H309" s="34"/>
      <c r="I309" s="35"/>
      <c r="J309" s="36"/>
      <c r="M309" s="34"/>
      <c r="N309" s="423"/>
      <c r="O309" s="398">
        <v>45711</v>
      </c>
      <c r="P309" s="402">
        <v>126606.63</v>
      </c>
      <c r="Q309" s="400">
        <v>181671.79</v>
      </c>
      <c r="R309" s="401">
        <v>66389.8</v>
      </c>
      <c r="S309" s="403">
        <v>54194.69</v>
      </c>
    </row>
    <row r="310" spans="6:19">
      <c r="F310" s="46"/>
      <c r="H310" s="34"/>
      <c r="I310" s="35"/>
      <c r="J310" s="36"/>
      <c r="M310" s="34"/>
      <c r="N310" s="423"/>
      <c r="O310" s="398">
        <v>45710</v>
      </c>
      <c r="P310" s="402">
        <v>126725.38</v>
      </c>
      <c r="Q310" s="400">
        <v>181850.3</v>
      </c>
      <c r="R310" s="401">
        <v>65465.64</v>
      </c>
      <c r="S310" s="403">
        <v>53131.040000000001</v>
      </c>
    </row>
    <row r="311" spans="6:19">
      <c r="F311" s="46"/>
      <c r="H311" s="34"/>
      <c r="I311" s="35"/>
      <c r="J311" s="36"/>
      <c r="M311" s="34"/>
      <c r="N311" s="423"/>
      <c r="O311" s="398">
        <v>45709</v>
      </c>
      <c r="P311" s="402">
        <v>126794.02</v>
      </c>
      <c r="Q311" s="400">
        <v>181978.7</v>
      </c>
      <c r="R311" s="401">
        <v>66462.259999999995</v>
      </c>
      <c r="S311" s="403">
        <v>53573.24</v>
      </c>
    </row>
    <row r="312" spans="6:19">
      <c r="F312" s="46"/>
      <c r="H312" s="34"/>
      <c r="I312" s="35"/>
      <c r="J312" s="36"/>
      <c r="M312" s="34"/>
      <c r="N312" s="423"/>
      <c r="O312" s="398">
        <v>45708</v>
      </c>
      <c r="P312" s="402">
        <v>126862.67</v>
      </c>
      <c r="Q312" s="400">
        <v>182178.1</v>
      </c>
      <c r="R312" s="401">
        <v>65570.34</v>
      </c>
      <c r="S312" s="403">
        <v>52615.11</v>
      </c>
    </row>
    <row r="313" spans="6:19">
      <c r="F313" s="46"/>
      <c r="H313" s="34"/>
      <c r="I313" s="35"/>
      <c r="J313" s="36"/>
      <c r="M313" s="34"/>
      <c r="N313" s="423"/>
      <c r="O313" s="398">
        <v>45707</v>
      </c>
      <c r="P313" s="402">
        <v>126691.26</v>
      </c>
      <c r="Q313" s="400">
        <v>182066.02</v>
      </c>
      <c r="R313" s="401">
        <v>66691.12</v>
      </c>
      <c r="S313" s="403">
        <v>53486.69</v>
      </c>
    </row>
    <row r="314" spans="6:19">
      <c r="F314" s="46"/>
      <c r="H314" s="34"/>
      <c r="I314" s="35"/>
      <c r="J314" s="36"/>
      <c r="M314" s="34"/>
      <c r="N314" s="423"/>
      <c r="O314" s="398">
        <v>45706</v>
      </c>
      <c r="P314" s="402">
        <v>126649.78</v>
      </c>
      <c r="Q314" s="400">
        <v>182083.87</v>
      </c>
      <c r="R314" s="401">
        <v>66433.19</v>
      </c>
      <c r="S314" s="403">
        <v>53486.69</v>
      </c>
    </row>
    <row r="315" spans="6:19">
      <c r="F315" s="46"/>
      <c r="H315" s="34"/>
      <c r="I315" s="35"/>
      <c r="J315" s="36"/>
      <c r="M315" s="34"/>
      <c r="N315" s="423"/>
      <c r="O315" s="398">
        <v>45705</v>
      </c>
      <c r="P315" s="402">
        <v>126608.3</v>
      </c>
      <c r="Q315" s="400">
        <v>182101.72</v>
      </c>
      <c r="R315" s="401">
        <v>64798.06</v>
      </c>
      <c r="S315" s="403">
        <v>53486.69</v>
      </c>
    </row>
    <row r="316" spans="6:19">
      <c r="F316" s="46"/>
      <c r="H316" s="34"/>
      <c r="I316" s="35"/>
      <c r="J316" s="36"/>
      <c r="M316" s="34"/>
      <c r="N316" s="423"/>
      <c r="O316" s="398">
        <v>45704</v>
      </c>
      <c r="P316" s="402">
        <v>126442.29</v>
      </c>
      <c r="Q316" s="400">
        <v>181995.04</v>
      </c>
      <c r="R316" s="401">
        <v>61116.56</v>
      </c>
      <c r="S316" s="403">
        <v>54109.35</v>
      </c>
    </row>
    <row r="317" spans="6:19">
      <c r="F317" s="46"/>
      <c r="H317" s="34"/>
      <c r="I317" s="35"/>
      <c r="J317" s="36"/>
      <c r="M317" s="34"/>
      <c r="N317" s="423"/>
      <c r="O317" s="398">
        <v>45703</v>
      </c>
      <c r="P317" s="402">
        <v>126246.18</v>
      </c>
      <c r="Q317" s="400">
        <v>181858.25</v>
      </c>
      <c r="R317" s="401">
        <v>62699.59</v>
      </c>
      <c r="S317" s="403">
        <v>54052.28</v>
      </c>
    </row>
    <row r="318" spans="6:19">
      <c r="F318" s="46"/>
      <c r="H318" s="34"/>
      <c r="I318" s="35"/>
      <c r="J318" s="36"/>
      <c r="M318" s="34"/>
      <c r="N318" s="423"/>
      <c r="O318" s="398">
        <v>45702</v>
      </c>
      <c r="P318" s="402">
        <v>126050.07</v>
      </c>
      <c r="Q318" s="400">
        <v>181721.47</v>
      </c>
      <c r="R318" s="401">
        <v>61529.13</v>
      </c>
      <c r="S318" s="403">
        <v>54052.28</v>
      </c>
    </row>
    <row r="319" spans="6:19">
      <c r="F319" s="46"/>
      <c r="H319" s="34"/>
      <c r="I319" s="35"/>
      <c r="J319" s="36"/>
      <c r="M319" s="34"/>
      <c r="N319" s="423"/>
      <c r="O319" s="398">
        <v>45701</v>
      </c>
      <c r="P319" s="402">
        <v>125853.97</v>
      </c>
      <c r="Q319" s="400">
        <v>181584.69</v>
      </c>
      <c r="R319" s="401">
        <v>61529.13</v>
      </c>
      <c r="S319" s="403">
        <v>54052.28</v>
      </c>
    </row>
    <row r="320" spans="6:19">
      <c r="F320" s="46"/>
      <c r="H320" s="34"/>
      <c r="I320" s="35"/>
      <c r="J320" s="36"/>
      <c r="M320" s="34"/>
      <c r="N320" s="423"/>
      <c r="O320" s="398">
        <v>45700</v>
      </c>
      <c r="P320" s="402">
        <v>125754.12</v>
      </c>
      <c r="Q320" s="400">
        <v>181544.16</v>
      </c>
      <c r="R320" s="401">
        <v>61306.58</v>
      </c>
      <c r="S320" s="403">
        <v>53462.84</v>
      </c>
    </row>
    <row r="321" spans="6:19">
      <c r="F321" s="46"/>
      <c r="H321" s="34"/>
      <c r="I321" s="35"/>
      <c r="J321" s="36"/>
      <c r="M321" s="34"/>
      <c r="N321" s="423"/>
      <c r="O321" s="398">
        <v>45698</v>
      </c>
      <c r="P321" s="402">
        <v>125681.04</v>
      </c>
      <c r="Q321" s="400">
        <v>181589.76000000001</v>
      </c>
      <c r="R321" s="401">
        <v>60795.14</v>
      </c>
      <c r="S321" s="403">
        <v>52171.78</v>
      </c>
    </row>
    <row r="322" spans="6:19">
      <c r="F322" s="46"/>
      <c r="H322" s="34"/>
      <c r="I322" s="35"/>
      <c r="J322" s="36"/>
      <c r="M322" s="34"/>
      <c r="N322" s="423"/>
      <c r="O322" s="398">
        <v>45697</v>
      </c>
      <c r="P322" s="402">
        <v>125693.35</v>
      </c>
      <c r="Q322" s="400">
        <v>181661.38</v>
      </c>
      <c r="R322" s="401">
        <v>60123.95</v>
      </c>
      <c r="S322" s="403">
        <v>49228.25</v>
      </c>
    </row>
    <row r="323" spans="6:19">
      <c r="F323" s="46"/>
      <c r="H323" s="34"/>
      <c r="I323" s="35"/>
      <c r="J323" s="36"/>
      <c r="M323" s="34"/>
      <c r="N323" s="423"/>
      <c r="O323" s="398">
        <v>45696</v>
      </c>
      <c r="P323" s="402">
        <v>125586.38</v>
      </c>
      <c r="Q323" s="400">
        <v>181613.75</v>
      </c>
      <c r="R323" s="401">
        <v>58028.23</v>
      </c>
      <c r="S323" s="403">
        <v>50086.11</v>
      </c>
    </row>
    <row r="324" spans="6:19">
      <c r="F324" s="46"/>
      <c r="H324" s="34"/>
      <c r="I324" s="35"/>
      <c r="J324" s="36"/>
      <c r="M324" s="34"/>
      <c r="N324" s="423"/>
      <c r="O324" s="398">
        <v>45694</v>
      </c>
      <c r="P324" s="402">
        <v>125465.67</v>
      </c>
      <c r="Q324" s="400">
        <v>181611.69</v>
      </c>
      <c r="R324" s="401">
        <v>57306.23</v>
      </c>
      <c r="S324" s="403">
        <v>46803.09</v>
      </c>
    </row>
    <row r="325" spans="6:19">
      <c r="F325" s="46"/>
      <c r="H325" s="34"/>
      <c r="I325" s="35"/>
      <c r="J325" s="36"/>
      <c r="M325" s="34"/>
      <c r="N325" s="423"/>
      <c r="O325" s="398">
        <v>45693</v>
      </c>
      <c r="P325" s="402">
        <v>125597.66</v>
      </c>
      <c r="Q325" s="400">
        <v>181803</v>
      </c>
      <c r="R325" s="401">
        <v>59229.71</v>
      </c>
      <c r="S325" s="403">
        <v>46803.09</v>
      </c>
    </row>
    <row r="326" spans="6:19">
      <c r="F326" s="46"/>
      <c r="H326" s="34"/>
      <c r="I326" s="35"/>
      <c r="J326" s="36"/>
      <c r="M326" s="34"/>
      <c r="N326" s="423"/>
      <c r="O326" s="398">
        <v>45692</v>
      </c>
      <c r="P326" s="402">
        <v>125678.14</v>
      </c>
      <c r="Q326" s="400">
        <v>181942.8</v>
      </c>
      <c r="R326" s="401">
        <v>60656.29</v>
      </c>
      <c r="S326" s="403">
        <v>46803.09</v>
      </c>
    </row>
    <row r="327" spans="6:19">
      <c r="F327" s="46"/>
      <c r="H327" s="34"/>
      <c r="I327" s="35"/>
      <c r="J327" s="36"/>
      <c r="M327" s="34"/>
      <c r="N327" s="423"/>
      <c r="O327" s="398">
        <v>45687</v>
      </c>
      <c r="P327" s="402">
        <v>125640.23</v>
      </c>
      <c r="Q327" s="400">
        <v>181689.73</v>
      </c>
      <c r="R327" s="401">
        <v>60656.29</v>
      </c>
      <c r="S327" s="403">
        <v>45415.58</v>
      </c>
    </row>
    <row r="328" spans="6:19">
      <c r="F328" s="46"/>
      <c r="H328" s="34"/>
      <c r="I328" s="35"/>
      <c r="J328" s="36"/>
      <c r="M328" s="34"/>
      <c r="N328" s="423"/>
      <c r="O328" s="398">
        <v>45686</v>
      </c>
      <c r="P328" s="402">
        <v>125576.98</v>
      </c>
      <c r="Q328" s="400">
        <v>181559.73</v>
      </c>
      <c r="R328" s="401">
        <v>60656.29</v>
      </c>
      <c r="S328" s="403">
        <v>44390.93</v>
      </c>
    </row>
    <row r="329" spans="6:19">
      <c r="F329" s="46"/>
      <c r="H329" s="34"/>
      <c r="I329" s="35"/>
      <c r="J329" s="36"/>
      <c r="M329" s="34"/>
      <c r="N329" s="423"/>
      <c r="O329" s="398">
        <v>45685</v>
      </c>
      <c r="P329" s="402">
        <v>125629.53</v>
      </c>
      <c r="Q329" s="400">
        <v>181613.05</v>
      </c>
      <c r="R329" s="401">
        <v>61271.29</v>
      </c>
      <c r="S329" s="403">
        <v>43819.73</v>
      </c>
    </row>
    <row r="330" spans="6:19">
      <c r="F330" s="46"/>
      <c r="H330" s="34"/>
      <c r="I330" s="35"/>
      <c r="J330" s="36"/>
      <c r="M330" s="34"/>
      <c r="N330" s="423"/>
      <c r="O330" s="398">
        <v>45684</v>
      </c>
      <c r="P330" s="402">
        <v>125543.21</v>
      </c>
      <c r="Q330" s="400">
        <v>181527.48</v>
      </c>
      <c r="R330" s="401">
        <v>60495.63</v>
      </c>
      <c r="S330" s="403">
        <v>44130.05</v>
      </c>
    </row>
    <row r="331" spans="6:19">
      <c r="F331" s="46"/>
      <c r="H331" s="34"/>
      <c r="I331" s="35"/>
      <c r="J331" s="36"/>
      <c r="M331" s="34"/>
      <c r="N331" s="423"/>
      <c r="O331" s="398">
        <v>45683</v>
      </c>
      <c r="P331" s="402">
        <v>125576.8</v>
      </c>
      <c r="Q331" s="400">
        <v>181561.84</v>
      </c>
      <c r="R331" s="401">
        <v>58830.04</v>
      </c>
      <c r="S331" s="403">
        <v>44130.05</v>
      </c>
    </row>
    <row r="332" spans="6:19">
      <c r="F332" s="46"/>
      <c r="H332" s="34"/>
      <c r="I332" s="35"/>
      <c r="J332" s="36"/>
      <c r="M332" s="34"/>
      <c r="N332" s="423"/>
      <c r="O332" s="398">
        <v>45682</v>
      </c>
      <c r="P332" s="402">
        <v>125610.39</v>
      </c>
      <c r="Q332" s="400">
        <v>181596.18</v>
      </c>
      <c r="R332" s="401">
        <v>58128.86</v>
      </c>
      <c r="S332" s="403">
        <v>44130.05</v>
      </c>
    </row>
    <row r="333" spans="6:19">
      <c r="F333" s="46"/>
      <c r="H333" s="34"/>
      <c r="I333" s="35"/>
      <c r="J333" s="36"/>
      <c r="M333" s="34"/>
      <c r="N333" s="423"/>
      <c r="O333" s="398">
        <v>45681</v>
      </c>
      <c r="P333" s="402">
        <v>125643.97</v>
      </c>
      <c r="Q333" s="400">
        <v>181630.54</v>
      </c>
      <c r="R333" s="401">
        <v>58003.76</v>
      </c>
      <c r="S333" s="403">
        <v>44130.05</v>
      </c>
    </row>
    <row r="334" spans="6:19">
      <c r="F334" s="46"/>
      <c r="H334" s="34"/>
      <c r="I334" s="35"/>
      <c r="J334" s="36"/>
      <c r="M334" s="34"/>
      <c r="N334" s="423"/>
      <c r="O334" s="398">
        <v>45680</v>
      </c>
      <c r="P334" s="402">
        <v>125643.48</v>
      </c>
      <c r="Q334" s="400">
        <v>181630.81</v>
      </c>
      <c r="R334" s="401">
        <v>57955.66</v>
      </c>
      <c r="S334" s="403">
        <v>43572.95</v>
      </c>
    </row>
    <row r="335" spans="6:19">
      <c r="F335" s="46"/>
      <c r="H335" s="34"/>
      <c r="I335" s="35"/>
      <c r="J335" s="36"/>
      <c r="M335" s="34"/>
      <c r="N335" s="423"/>
      <c r="O335" s="398">
        <v>45679</v>
      </c>
      <c r="P335" s="402">
        <v>125613.26</v>
      </c>
      <c r="Q335" s="400">
        <v>181601.36</v>
      </c>
      <c r="R335" s="401">
        <v>56194.84</v>
      </c>
      <c r="S335" s="403">
        <v>43331.27</v>
      </c>
    </row>
    <row r="336" spans="6:19">
      <c r="F336" s="46"/>
      <c r="H336" s="34"/>
      <c r="I336" s="35"/>
      <c r="J336" s="36"/>
      <c r="M336" s="34"/>
      <c r="N336" s="423"/>
      <c r="O336" s="398">
        <v>45678</v>
      </c>
      <c r="P336" s="402">
        <v>125683.77</v>
      </c>
      <c r="Q336" s="400">
        <v>181672.63</v>
      </c>
      <c r="R336" s="401">
        <v>55931.89</v>
      </c>
      <c r="S336" s="403">
        <v>43582.16</v>
      </c>
    </row>
    <row r="337" spans="6:19">
      <c r="F337" s="46"/>
      <c r="H337" s="34"/>
      <c r="I337" s="35"/>
      <c r="J337" s="36"/>
      <c r="M337" s="34"/>
      <c r="N337" s="423"/>
      <c r="O337" s="398">
        <v>45677</v>
      </c>
      <c r="P337" s="402">
        <v>125901.6</v>
      </c>
      <c r="Q337" s="400">
        <v>181891.23</v>
      </c>
      <c r="R337" s="401">
        <v>53035.3</v>
      </c>
      <c r="S337" s="403">
        <v>43582.16</v>
      </c>
    </row>
    <row r="338" spans="6:19">
      <c r="F338" s="46"/>
      <c r="H338" s="34"/>
      <c r="I338" s="35"/>
      <c r="J338" s="36"/>
      <c r="M338" s="34"/>
      <c r="N338" s="423"/>
      <c r="O338" s="398">
        <v>45676</v>
      </c>
      <c r="P338" s="402">
        <v>125999.53</v>
      </c>
      <c r="Q338" s="400">
        <v>181989.93</v>
      </c>
      <c r="R338" s="401">
        <v>53806.93</v>
      </c>
      <c r="S338" s="403">
        <v>44421.52</v>
      </c>
    </row>
    <row r="339" spans="6:19">
      <c r="F339" s="46"/>
      <c r="H339" s="34"/>
      <c r="I339" s="35"/>
      <c r="J339" s="36"/>
      <c r="M339" s="34"/>
      <c r="N339" s="423"/>
      <c r="O339" s="398">
        <v>45675</v>
      </c>
      <c r="P339" s="402">
        <v>125982.27</v>
      </c>
      <c r="Q339" s="400">
        <v>181973.42</v>
      </c>
      <c r="R339" s="401">
        <v>51280.47</v>
      </c>
      <c r="S339" s="403">
        <v>45213.26</v>
      </c>
    </row>
    <row r="340" spans="6:19">
      <c r="F340" s="46"/>
      <c r="H340" s="34"/>
      <c r="I340" s="35"/>
      <c r="J340" s="36"/>
      <c r="M340" s="34"/>
      <c r="N340" s="423"/>
      <c r="O340" s="398">
        <v>45674</v>
      </c>
      <c r="P340" s="402">
        <v>125965.01</v>
      </c>
      <c r="Q340" s="400">
        <v>181956.93</v>
      </c>
      <c r="R340" s="401">
        <v>51201.23</v>
      </c>
      <c r="S340" s="403">
        <v>45213.26</v>
      </c>
    </row>
    <row r="341" spans="6:19">
      <c r="F341" s="46"/>
      <c r="H341" s="34"/>
      <c r="I341" s="35"/>
      <c r="J341" s="36"/>
      <c r="M341" s="34"/>
      <c r="N341" s="423"/>
      <c r="O341" s="398">
        <v>45673</v>
      </c>
      <c r="P341" s="402">
        <v>125947.76</v>
      </c>
      <c r="Q341" s="400">
        <v>181940.43</v>
      </c>
      <c r="R341" s="401">
        <v>49606.5</v>
      </c>
      <c r="S341" s="403">
        <v>45213.26</v>
      </c>
    </row>
    <row r="342" spans="6:19">
      <c r="F342" s="46"/>
      <c r="H342" s="34"/>
      <c r="I342" s="35"/>
      <c r="J342" s="36"/>
      <c r="M342" s="34"/>
      <c r="N342" s="423"/>
      <c r="O342" s="398">
        <v>45672</v>
      </c>
      <c r="P342" s="402">
        <v>126194.81</v>
      </c>
      <c r="Q342" s="400">
        <v>182188.26</v>
      </c>
      <c r="R342" s="401">
        <v>48673.65</v>
      </c>
      <c r="S342" s="403">
        <v>45213.26</v>
      </c>
    </row>
    <row r="343" spans="6:19">
      <c r="F343" s="46"/>
      <c r="H343" s="34"/>
      <c r="I343" s="35"/>
      <c r="J343" s="36"/>
      <c r="M343" s="34"/>
      <c r="N343" s="423"/>
      <c r="O343" s="398">
        <v>45671</v>
      </c>
      <c r="P343" s="402">
        <v>126166.24</v>
      </c>
      <c r="Q343" s="400">
        <v>182160.45</v>
      </c>
      <c r="R343" s="401">
        <v>48673.65</v>
      </c>
      <c r="S343" s="403">
        <v>45422.12</v>
      </c>
    </row>
    <row r="344" spans="6:19">
      <c r="F344" s="46"/>
      <c r="H344" s="34"/>
      <c r="I344" s="35"/>
      <c r="J344" s="36"/>
      <c r="M344" s="34"/>
      <c r="N344" s="423"/>
      <c r="O344" s="398">
        <v>45670</v>
      </c>
      <c r="P344" s="402">
        <v>126137.67</v>
      </c>
      <c r="Q344" s="400">
        <v>182132.65</v>
      </c>
      <c r="R344" s="401">
        <v>48224.13</v>
      </c>
      <c r="S344" s="403">
        <v>45422.12</v>
      </c>
    </row>
    <row r="345" spans="6:19">
      <c r="F345" s="46"/>
      <c r="H345" s="34"/>
      <c r="I345" s="35"/>
      <c r="J345" s="36"/>
      <c r="M345" s="34"/>
      <c r="N345" s="423"/>
      <c r="O345" s="398">
        <v>45668</v>
      </c>
      <c r="P345" s="402">
        <v>126152.6</v>
      </c>
      <c r="Q345" s="400">
        <v>182149.11</v>
      </c>
      <c r="R345" s="401">
        <v>47696.41</v>
      </c>
      <c r="S345" s="403">
        <v>45574.34</v>
      </c>
    </row>
    <row r="346" spans="6:19">
      <c r="F346" s="46"/>
      <c r="H346" s="34"/>
      <c r="I346" s="35"/>
      <c r="J346" s="36"/>
      <c r="M346" s="34"/>
      <c r="N346" s="423"/>
      <c r="O346" s="398">
        <v>45667</v>
      </c>
      <c r="P346" s="402">
        <v>126119.34</v>
      </c>
      <c r="Q346" s="400">
        <v>182116.6</v>
      </c>
      <c r="R346" s="401">
        <v>47941.440000000002</v>
      </c>
      <c r="S346" s="403">
        <v>46148.13</v>
      </c>
    </row>
    <row r="347" spans="6:19">
      <c r="F347" s="46"/>
      <c r="H347" s="34"/>
      <c r="I347" s="35"/>
      <c r="J347" s="36"/>
      <c r="M347" s="34"/>
      <c r="N347" s="423"/>
      <c r="O347" s="398">
        <v>45666</v>
      </c>
      <c r="P347" s="402">
        <v>126086.07</v>
      </c>
      <c r="Q347" s="400">
        <v>182084.1</v>
      </c>
      <c r="R347" s="401">
        <v>47941.440000000002</v>
      </c>
      <c r="S347" s="403">
        <v>46148.13</v>
      </c>
    </row>
    <row r="348" spans="6:19">
      <c r="F348" s="46"/>
      <c r="H348" s="34"/>
      <c r="I348" s="35"/>
      <c r="J348" s="36"/>
      <c r="M348" s="34"/>
      <c r="N348" s="423"/>
      <c r="O348" s="398">
        <v>45665</v>
      </c>
      <c r="P348" s="402">
        <v>126355.42</v>
      </c>
      <c r="Q348" s="400">
        <v>182354.22</v>
      </c>
      <c r="R348" s="401">
        <v>48788.15</v>
      </c>
      <c r="S348" s="403">
        <v>46148.13</v>
      </c>
    </row>
    <row r="349" spans="6:19">
      <c r="F349" s="46"/>
      <c r="H349" s="34"/>
      <c r="I349" s="35"/>
      <c r="J349" s="36"/>
      <c r="M349" s="34"/>
      <c r="N349" s="423"/>
      <c r="O349" s="398">
        <v>45664</v>
      </c>
      <c r="P349" s="402">
        <v>126624.78</v>
      </c>
      <c r="Q349" s="400">
        <v>182629.69</v>
      </c>
      <c r="R349" s="401">
        <v>48038.63</v>
      </c>
      <c r="S349" s="403">
        <v>46148.13</v>
      </c>
    </row>
    <row r="350" spans="6:19">
      <c r="F350" s="46"/>
      <c r="H350" s="34"/>
      <c r="I350" s="35"/>
      <c r="J350" s="36"/>
      <c r="M350" s="34"/>
      <c r="N350" s="423"/>
      <c r="O350" s="398">
        <v>45663</v>
      </c>
      <c r="P350" s="402">
        <v>126560.08</v>
      </c>
      <c r="Q350" s="400">
        <v>182571.11</v>
      </c>
      <c r="R350" s="401">
        <v>48038.63</v>
      </c>
      <c r="S350" s="403">
        <v>45995.91</v>
      </c>
    </row>
    <row r="351" spans="6:19">
      <c r="F351" s="46"/>
      <c r="H351" s="34"/>
      <c r="I351" s="35"/>
      <c r="J351" s="36"/>
      <c r="M351" s="34"/>
      <c r="N351" s="423"/>
      <c r="O351" s="398">
        <v>45662</v>
      </c>
      <c r="P351" s="402">
        <v>126383.23</v>
      </c>
      <c r="Q351" s="400">
        <v>182400.37</v>
      </c>
      <c r="R351" s="401">
        <v>48381.120000000003</v>
      </c>
      <c r="S351" s="403">
        <v>46780.97</v>
      </c>
    </row>
    <row r="352" spans="6:19">
      <c r="F352" s="46"/>
      <c r="H352" s="34"/>
      <c r="I352" s="35"/>
      <c r="J352" s="36"/>
      <c r="M352" s="34"/>
      <c r="N352" s="423"/>
      <c r="O352" s="398">
        <v>45661</v>
      </c>
      <c r="P352" s="402">
        <v>126290.36</v>
      </c>
      <c r="Q352" s="400">
        <v>182313.62</v>
      </c>
      <c r="R352" s="401">
        <v>47671.53</v>
      </c>
      <c r="S352" s="403">
        <v>47714.59</v>
      </c>
    </row>
    <row r="353" spans="6:19">
      <c r="F353" s="46"/>
      <c r="H353" s="34"/>
      <c r="I353" s="35"/>
      <c r="J353" s="36"/>
      <c r="M353" s="34"/>
      <c r="N353" s="423"/>
      <c r="O353" s="398">
        <v>45660</v>
      </c>
      <c r="P353" s="402">
        <v>126406.99</v>
      </c>
      <c r="Q353" s="400">
        <v>182436.36</v>
      </c>
      <c r="R353" s="401">
        <v>44959.56</v>
      </c>
      <c r="S353" s="403">
        <v>47463.7</v>
      </c>
    </row>
    <row r="354" spans="6:19">
      <c r="F354" s="46"/>
      <c r="H354" s="34"/>
      <c r="I354" s="35"/>
      <c r="J354" s="36"/>
      <c r="M354" s="34"/>
      <c r="N354" s="423"/>
      <c r="O354" s="398">
        <v>45659</v>
      </c>
      <c r="P354" s="402">
        <v>126523.62</v>
      </c>
      <c r="Q354" s="400">
        <v>182618.41</v>
      </c>
      <c r="R354" s="401">
        <v>44959.56</v>
      </c>
      <c r="S354" s="403">
        <v>45591.7</v>
      </c>
    </row>
    <row r="355" spans="6:19">
      <c r="F355" s="46"/>
      <c r="H355" s="34"/>
      <c r="I355" s="35"/>
      <c r="J355" s="36"/>
      <c r="M355" s="34"/>
      <c r="N355" s="423"/>
      <c r="O355" s="398">
        <v>45658</v>
      </c>
      <c r="P355" s="402">
        <v>126178.89</v>
      </c>
      <c r="Q355" s="400">
        <v>182083.25</v>
      </c>
      <c r="R355" s="401">
        <v>45611.87</v>
      </c>
      <c r="S355" s="403">
        <v>46718.45</v>
      </c>
    </row>
    <row r="356" spans="6:19">
      <c r="F356" s="46"/>
      <c r="H356" s="34"/>
      <c r="I356" s="35"/>
      <c r="J356" s="36"/>
      <c r="M356" s="34"/>
      <c r="N356" s="423"/>
      <c r="O356" s="398">
        <v>45657</v>
      </c>
      <c r="P356" s="402">
        <v>126372.74</v>
      </c>
      <c r="Q356" s="400">
        <v>182086.63</v>
      </c>
      <c r="R356" s="401">
        <v>44380.93</v>
      </c>
      <c r="S356" s="403">
        <v>46718.45</v>
      </c>
    </row>
    <row r="357" spans="6:19">
      <c r="F357" s="46"/>
      <c r="H357" s="34"/>
      <c r="I357" s="35"/>
      <c r="J357" s="36"/>
      <c r="M357" s="34"/>
      <c r="N357" s="423"/>
      <c r="O357" s="398">
        <v>45655</v>
      </c>
      <c r="P357" s="402">
        <v>126769.62</v>
      </c>
      <c r="Q357" s="400">
        <v>182102.62</v>
      </c>
      <c r="R357" s="401">
        <v>41465.949999999997</v>
      </c>
      <c r="S357" s="403">
        <v>46718.45</v>
      </c>
    </row>
    <row r="358" spans="6:19">
      <c r="F358" s="46"/>
      <c r="H358" s="34"/>
      <c r="I358" s="35"/>
      <c r="J358" s="36"/>
      <c r="M358" s="34"/>
      <c r="N358" s="423"/>
      <c r="O358" s="398">
        <v>45654</v>
      </c>
      <c r="P358" s="402">
        <v>126872.4</v>
      </c>
      <c r="Q358" s="400">
        <v>181947.43</v>
      </c>
      <c r="R358" s="401">
        <v>40957.360000000001</v>
      </c>
      <c r="S358" s="403">
        <v>47710.71</v>
      </c>
    </row>
    <row r="359" spans="6:19">
      <c r="F359" s="46"/>
      <c r="H359" s="34"/>
      <c r="I359" s="35"/>
      <c r="J359" s="36"/>
      <c r="M359" s="34"/>
      <c r="N359" s="423"/>
      <c r="O359" s="399">
        <v>45653</v>
      </c>
      <c r="P359" s="90">
        <v>126975.17</v>
      </c>
      <c r="Q359" s="88">
        <v>181866.08</v>
      </c>
      <c r="R359" s="87">
        <v>39933.629999999997</v>
      </c>
      <c r="S359" s="46">
        <v>48298.05</v>
      </c>
    </row>
    <row r="360" spans="6:19">
      <c r="F360" s="46"/>
      <c r="H360" s="34"/>
      <c r="I360" s="35"/>
      <c r="J360" s="36"/>
      <c r="M360" s="34"/>
      <c r="N360" s="423"/>
      <c r="O360" s="399">
        <v>45652</v>
      </c>
      <c r="P360" s="90">
        <v>126897.02</v>
      </c>
      <c r="Q360" s="88">
        <v>181603.8</v>
      </c>
      <c r="R360" s="87">
        <v>40921.410000000003</v>
      </c>
      <c r="S360" s="46">
        <v>49337.15</v>
      </c>
    </row>
    <row r="361" spans="6:19">
      <c r="F361" s="46"/>
      <c r="H361" s="34"/>
      <c r="I361" s="35"/>
      <c r="J361" s="36"/>
      <c r="M361" s="34"/>
      <c r="N361" s="423"/>
      <c r="O361" s="399">
        <v>45651</v>
      </c>
      <c r="P361" s="90">
        <v>126588.37</v>
      </c>
      <c r="Q361" s="88">
        <v>180910.52</v>
      </c>
      <c r="R361" s="87">
        <v>40921.410000000003</v>
      </c>
      <c r="S361" s="46">
        <v>50028.639999999999</v>
      </c>
    </row>
    <row r="362" spans="6:19">
      <c r="F362" s="46"/>
      <c r="H362" s="34"/>
      <c r="I362" s="35"/>
      <c r="J362" s="36"/>
      <c r="M362" s="34"/>
      <c r="N362" s="423"/>
      <c r="O362" s="399">
        <v>45650</v>
      </c>
      <c r="P362" s="90">
        <v>126279.72</v>
      </c>
      <c r="Q362" s="88">
        <v>180618.25</v>
      </c>
      <c r="R362" s="87">
        <v>40921.410000000003</v>
      </c>
      <c r="S362" s="46">
        <v>50028.639999999999</v>
      </c>
    </row>
    <row r="363" spans="6:19">
      <c r="F363" s="46"/>
      <c r="H363" s="34"/>
      <c r="I363" s="35"/>
      <c r="J363" s="36"/>
      <c r="M363" s="34"/>
      <c r="N363" s="423"/>
      <c r="O363" s="399">
        <v>45649</v>
      </c>
      <c r="P363" s="90">
        <v>126344.48</v>
      </c>
      <c r="Q363" s="88">
        <v>180699.4</v>
      </c>
      <c r="R363" s="87">
        <v>41530.980000000003</v>
      </c>
      <c r="S363" s="46">
        <v>50028.639999999999</v>
      </c>
    </row>
    <row r="364" spans="6:19">
      <c r="F364" s="46"/>
      <c r="H364" s="34"/>
      <c r="I364" s="35"/>
      <c r="J364" s="36"/>
      <c r="M364" s="34"/>
      <c r="N364" s="423"/>
      <c r="O364" s="399">
        <v>45648</v>
      </c>
      <c r="P364" s="90">
        <v>126430.47</v>
      </c>
      <c r="Q364" s="88">
        <v>180801.78</v>
      </c>
      <c r="R364" s="87">
        <v>41236.019999999997</v>
      </c>
      <c r="S364" s="46">
        <v>50569.55</v>
      </c>
    </row>
    <row r="365" spans="6:19">
      <c r="F365" s="46"/>
      <c r="H365" s="34"/>
      <c r="I365" s="35"/>
      <c r="J365" s="36"/>
      <c r="M365" s="34"/>
      <c r="N365" s="423"/>
      <c r="O365" s="399">
        <v>45647</v>
      </c>
      <c r="P365" s="90">
        <v>125683.21</v>
      </c>
      <c r="Q365" s="88">
        <v>180070.9</v>
      </c>
      <c r="R365" s="87">
        <v>41236.019999999997</v>
      </c>
      <c r="S365" s="46">
        <v>50569.55</v>
      </c>
    </row>
    <row r="366" spans="6:19">
      <c r="F366" s="46"/>
      <c r="H366" s="34"/>
      <c r="I366" s="35"/>
      <c r="J366" s="36"/>
      <c r="M366" s="34"/>
      <c r="N366" s="423"/>
      <c r="O366" s="399">
        <v>45646</v>
      </c>
      <c r="P366" s="90">
        <v>125886.23</v>
      </c>
      <c r="Q366" s="88">
        <v>180290.31</v>
      </c>
      <c r="R366" s="87">
        <v>43104.34</v>
      </c>
      <c r="S366" s="46">
        <v>50569.55</v>
      </c>
    </row>
    <row r="367" spans="6:19">
      <c r="F367" s="46"/>
      <c r="H367" s="34"/>
      <c r="I367" s="35"/>
      <c r="J367" s="36"/>
      <c r="M367" s="34"/>
      <c r="N367" s="423"/>
      <c r="O367" s="399">
        <v>45645</v>
      </c>
      <c r="P367" s="90">
        <v>125921.72</v>
      </c>
      <c r="Q367" s="88">
        <v>180342.18</v>
      </c>
      <c r="R367" s="87">
        <v>40038.06</v>
      </c>
      <c r="S367" s="46">
        <v>51039.5</v>
      </c>
    </row>
    <row r="368" spans="6:19">
      <c r="F368" s="46"/>
      <c r="H368" s="34"/>
      <c r="I368" s="35"/>
      <c r="J368" s="36"/>
      <c r="M368" s="34"/>
      <c r="N368" s="423"/>
      <c r="O368" s="399">
        <v>45644</v>
      </c>
      <c r="P368" s="90">
        <v>125957.22</v>
      </c>
      <c r="Q368" s="88">
        <v>180394.06</v>
      </c>
      <c r="R368" s="87">
        <v>41861.050000000003</v>
      </c>
      <c r="S368" s="46">
        <v>51039.5</v>
      </c>
    </row>
    <row r="369" spans="6:19">
      <c r="F369" s="46"/>
      <c r="H369" s="34"/>
      <c r="I369" s="35"/>
      <c r="J369" s="36"/>
      <c r="M369" s="34"/>
      <c r="N369" s="423"/>
      <c r="O369" s="399">
        <v>45643</v>
      </c>
      <c r="P369" s="90">
        <v>125992.71</v>
      </c>
      <c r="Q369" s="88">
        <v>180445.94</v>
      </c>
      <c r="R369" s="87">
        <v>42418.52</v>
      </c>
      <c r="S369" s="46">
        <v>51039.5</v>
      </c>
    </row>
    <row r="370" spans="6:19">
      <c r="F370" s="46"/>
      <c r="H370" s="34"/>
      <c r="I370" s="35"/>
      <c r="J370" s="36"/>
      <c r="M370" s="34"/>
      <c r="N370" s="423"/>
      <c r="O370" s="399">
        <v>45642</v>
      </c>
      <c r="P370" s="90">
        <v>126247.86</v>
      </c>
      <c r="Q370" s="88">
        <v>180717.47</v>
      </c>
      <c r="R370" s="87">
        <v>40224.300000000003</v>
      </c>
      <c r="S370" s="46">
        <v>51322.06</v>
      </c>
    </row>
    <row r="371" spans="6:19">
      <c r="F371" s="46"/>
      <c r="H371" s="34"/>
      <c r="I371" s="35"/>
      <c r="J371" s="36"/>
      <c r="M371" s="34"/>
      <c r="N371" s="423"/>
      <c r="O371" s="399">
        <v>45641</v>
      </c>
      <c r="P371" s="90">
        <v>126385.54</v>
      </c>
      <c r="Q371" s="88">
        <v>180871.54</v>
      </c>
      <c r="R371" s="87">
        <v>40694.550000000003</v>
      </c>
      <c r="S371" s="46">
        <v>53274.46</v>
      </c>
    </row>
    <row r="372" spans="6:19">
      <c r="F372" s="46"/>
      <c r="H372" s="34"/>
      <c r="I372" s="35"/>
      <c r="J372" s="36"/>
      <c r="M372" s="34"/>
      <c r="N372" s="423"/>
      <c r="O372" s="399">
        <v>45640</v>
      </c>
      <c r="P372" s="90">
        <v>126302.37</v>
      </c>
      <c r="Q372" s="88">
        <v>180804.76</v>
      </c>
      <c r="R372" s="87">
        <v>38870.949999999997</v>
      </c>
      <c r="S372" s="46">
        <v>53274.46</v>
      </c>
    </row>
    <row r="373" spans="6:19">
      <c r="F373" s="46"/>
      <c r="H373" s="34"/>
      <c r="I373" s="35"/>
      <c r="J373" s="36"/>
      <c r="M373" s="34"/>
      <c r="N373" s="423"/>
      <c r="O373" s="399">
        <v>45639</v>
      </c>
      <c r="P373" s="90">
        <v>126212.38</v>
      </c>
      <c r="Q373" s="88">
        <v>180731.15</v>
      </c>
      <c r="R373" s="87">
        <v>38870.949999999997</v>
      </c>
      <c r="S373" s="46">
        <v>53530.99</v>
      </c>
    </row>
    <row r="374" spans="6:19">
      <c r="F374" s="46"/>
      <c r="H374" s="34"/>
      <c r="I374" s="35"/>
      <c r="J374" s="36"/>
      <c r="M374" s="34"/>
      <c r="N374" s="423"/>
      <c r="O374" s="399">
        <v>45638</v>
      </c>
      <c r="P374" s="90">
        <v>126122.39</v>
      </c>
      <c r="Q374" s="88">
        <v>180657.55</v>
      </c>
      <c r="R374" s="87">
        <v>39261.29</v>
      </c>
      <c r="S374" s="46">
        <v>53530.99</v>
      </c>
    </row>
    <row r="375" spans="6:19">
      <c r="F375" s="46"/>
      <c r="H375" s="34"/>
      <c r="I375" s="35"/>
      <c r="J375" s="36"/>
      <c r="M375" s="34"/>
      <c r="N375" s="423"/>
      <c r="O375" s="399">
        <v>45637</v>
      </c>
      <c r="P375" s="90">
        <v>126032.4</v>
      </c>
      <c r="Q375" s="88">
        <v>180583.95</v>
      </c>
      <c r="R375" s="87">
        <v>38492.67</v>
      </c>
      <c r="S375" s="46">
        <v>50286.7</v>
      </c>
    </row>
    <row r="376" spans="6:19">
      <c r="F376" s="46"/>
      <c r="H376" s="34"/>
      <c r="I376" s="35"/>
      <c r="J376" s="36"/>
      <c r="M376" s="34"/>
      <c r="N376" s="423"/>
      <c r="O376" s="399">
        <v>45636</v>
      </c>
      <c r="P376" s="90">
        <v>125887.71</v>
      </c>
      <c r="Q376" s="88">
        <v>180455.63</v>
      </c>
      <c r="R376" s="87">
        <v>38492.67</v>
      </c>
      <c r="S376" s="46">
        <v>49976.38</v>
      </c>
    </row>
    <row r="377" spans="6:19">
      <c r="F377" s="46"/>
      <c r="H377" s="34"/>
      <c r="I377" s="35"/>
      <c r="J377" s="36"/>
      <c r="M377" s="34"/>
      <c r="N377" s="423"/>
      <c r="O377" s="399">
        <v>45635</v>
      </c>
      <c r="P377" s="90">
        <v>125768.25</v>
      </c>
      <c r="Q377" s="88">
        <v>180352.56</v>
      </c>
      <c r="R377" s="87">
        <v>38492.67</v>
      </c>
      <c r="S377" s="46">
        <v>50464.6</v>
      </c>
    </row>
    <row r="378" spans="6:19">
      <c r="F378" s="46"/>
      <c r="H378" s="34"/>
      <c r="I378" s="35"/>
      <c r="J378" s="36"/>
      <c r="M378" s="34"/>
      <c r="N378" s="423"/>
      <c r="O378" s="399">
        <v>45634</v>
      </c>
      <c r="P378" s="90">
        <v>125527.34</v>
      </c>
      <c r="Q378" s="88">
        <v>180138.15</v>
      </c>
      <c r="R378" s="87">
        <v>40076.28</v>
      </c>
      <c r="S378" s="46">
        <v>50629.64</v>
      </c>
    </row>
    <row r="379" spans="6:19">
      <c r="F379" s="46"/>
      <c r="H379" s="34"/>
      <c r="I379" s="35"/>
      <c r="J379" s="36"/>
      <c r="M379" s="34"/>
      <c r="N379" s="423"/>
      <c r="O379" s="399">
        <v>45633</v>
      </c>
      <c r="P379" s="90">
        <v>125521.21</v>
      </c>
      <c r="Q379" s="88">
        <v>180158.5</v>
      </c>
      <c r="R379" s="87">
        <v>39743.93</v>
      </c>
      <c r="S379" s="46">
        <v>50629.64</v>
      </c>
    </row>
    <row r="380" spans="6:19">
      <c r="F380" s="46"/>
      <c r="H380" s="34"/>
      <c r="I380" s="35"/>
      <c r="J380" s="36"/>
      <c r="M380" s="34"/>
      <c r="N380" s="423"/>
      <c r="O380" s="399">
        <v>45632</v>
      </c>
      <c r="P380" s="90">
        <v>125678.39</v>
      </c>
      <c r="Q380" s="88">
        <v>180342.18</v>
      </c>
      <c r="R380" s="87">
        <v>42156.58</v>
      </c>
      <c r="S380" s="46">
        <v>50629.64</v>
      </c>
    </row>
    <row r="381" spans="6:19">
      <c r="F381" s="46"/>
      <c r="H381" s="34"/>
      <c r="I381" s="35"/>
      <c r="J381" s="36"/>
      <c r="M381" s="34"/>
      <c r="N381" s="423"/>
      <c r="O381" s="399">
        <v>45630</v>
      </c>
      <c r="P381" s="90">
        <v>125882.29</v>
      </c>
      <c r="Q381" s="88">
        <v>180599.04000000001</v>
      </c>
      <c r="R381" s="87">
        <v>41656.44</v>
      </c>
      <c r="S381" s="46">
        <v>50938.7</v>
      </c>
    </row>
    <row r="382" spans="6:19">
      <c r="F382" s="46"/>
      <c r="H382" s="34"/>
      <c r="I382" s="35"/>
      <c r="J382" s="36"/>
      <c r="M382" s="34"/>
      <c r="N382" s="423"/>
      <c r="O382" s="399">
        <v>45629</v>
      </c>
      <c r="P382" s="90">
        <v>125914.68</v>
      </c>
      <c r="Q382" s="88">
        <v>180657.92000000001</v>
      </c>
      <c r="R382" s="87">
        <v>42257.75</v>
      </c>
      <c r="S382" s="46">
        <v>50163.92</v>
      </c>
    </row>
    <row r="383" spans="6:19">
      <c r="F383" s="46"/>
      <c r="H383" s="34"/>
      <c r="I383" s="35"/>
      <c r="J383" s="36"/>
      <c r="M383" s="34"/>
      <c r="N383" s="423"/>
      <c r="O383" s="399">
        <v>45628</v>
      </c>
      <c r="P383" s="90">
        <v>125947.19</v>
      </c>
      <c r="Q383" s="88">
        <v>180716.92</v>
      </c>
      <c r="R383" s="87">
        <v>42351.67</v>
      </c>
      <c r="S383" s="46">
        <v>50163.92</v>
      </c>
    </row>
    <row r="384" spans="6:19">
      <c r="F384" s="46"/>
      <c r="H384" s="34"/>
      <c r="I384" s="35"/>
      <c r="J384" s="36"/>
      <c r="M384" s="34"/>
      <c r="N384" s="423"/>
      <c r="O384" s="399">
        <v>45627</v>
      </c>
      <c r="P384" s="90">
        <v>125862.76</v>
      </c>
      <c r="Q384" s="88">
        <v>180658.97</v>
      </c>
      <c r="R384" s="87">
        <v>41827.699999999997</v>
      </c>
      <c r="S384" s="46">
        <v>51572.62</v>
      </c>
    </row>
    <row r="385" spans="6:19">
      <c r="F385" s="46"/>
      <c r="H385" s="34"/>
      <c r="I385" s="35"/>
      <c r="J385" s="36"/>
      <c r="M385" s="34"/>
      <c r="N385" s="423"/>
      <c r="O385" s="399">
        <v>45626</v>
      </c>
      <c r="P385" s="90">
        <v>125786.35</v>
      </c>
      <c r="Q385" s="88">
        <v>180609.06</v>
      </c>
      <c r="R385" s="87">
        <v>40504.379999999997</v>
      </c>
      <c r="S385" s="46">
        <v>51278.7</v>
      </c>
    </row>
    <row r="386" spans="6:19">
      <c r="F386" s="46"/>
      <c r="H386" s="34"/>
      <c r="I386" s="35"/>
      <c r="J386" s="36"/>
      <c r="M386" s="34"/>
      <c r="N386" s="423"/>
      <c r="O386" s="399">
        <v>45625</v>
      </c>
      <c r="P386" s="90">
        <v>125643.31</v>
      </c>
      <c r="Q386" s="88">
        <v>180492.49</v>
      </c>
      <c r="R386" s="87">
        <v>39244.71</v>
      </c>
      <c r="S386" s="46">
        <v>50439.34</v>
      </c>
    </row>
    <row r="387" spans="6:19">
      <c r="F387" s="46"/>
      <c r="H387" s="34"/>
      <c r="I387" s="35"/>
      <c r="J387" s="36"/>
      <c r="M387" s="34"/>
      <c r="N387" s="423"/>
      <c r="O387" s="399">
        <v>45624</v>
      </c>
      <c r="P387" s="90">
        <v>125500.27</v>
      </c>
      <c r="Q387" s="88">
        <v>180375.94</v>
      </c>
      <c r="R387" s="87">
        <v>37770.51</v>
      </c>
      <c r="S387" s="46">
        <v>49031.61</v>
      </c>
    </row>
    <row r="388" spans="6:19">
      <c r="F388" s="46"/>
      <c r="H388" s="34"/>
      <c r="I388" s="35"/>
      <c r="J388" s="36"/>
      <c r="M388" s="34"/>
      <c r="N388" s="423"/>
      <c r="O388" s="399">
        <v>45623</v>
      </c>
      <c r="P388" s="90">
        <v>125293.31</v>
      </c>
      <c r="Q388" s="88">
        <v>180195.47</v>
      </c>
      <c r="R388" s="87">
        <v>38383.21</v>
      </c>
      <c r="S388" s="46">
        <v>49785.56</v>
      </c>
    </row>
    <row r="389" spans="6:19">
      <c r="F389" s="46"/>
      <c r="H389" s="34"/>
      <c r="I389" s="35"/>
      <c r="J389" s="36"/>
      <c r="M389" s="34"/>
      <c r="N389" s="423"/>
      <c r="O389" s="399">
        <v>45622</v>
      </c>
      <c r="P389" s="90">
        <v>125376.66</v>
      </c>
      <c r="Q389" s="88">
        <v>180305.3</v>
      </c>
      <c r="R389" s="87">
        <v>38271.360000000001</v>
      </c>
      <c r="S389" s="46">
        <v>49503</v>
      </c>
    </row>
    <row r="390" spans="6:19">
      <c r="F390" s="46"/>
      <c r="H390" s="34"/>
      <c r="I390" s="35"/>
      <c r="J390" s="36"/>
      <c r="M390" s="34"/>
      <c r="N390" s="423"/>
      <c r="O390" s="399">
        <v>45621</v>
      </c>
      <c r="P390" s="90">
        <v>125292.84</v>
      </c>
      <c r="Q390" s="88">
        <v>180247.97</v>
      </c>
      <c r="R390" s="87">
        <v>38271.360000000001</v>
      </c>
      <c r="S390" s="46">
        <v>49503</v>
      </c>
    </row>
    <row r="391" spans="6:19">
      <c r="F391" s="46"/>
      <c r="H391" s="34"/>
      <c r="I391" s="35"/>
      <c r="J391" s="36"/>
      <c r="M391" s="34"/>
      <c r="N391" s="423"/>
      <c r="O391" s="399">
        <v>45620</v>
      </c>
      <c r="P391" s="90">
        <v>125276.62</v>
      </c>
      <c r="Q391" s="88">
        <v>180258.24</v>
      </c>
      <c r="R391" s="87">
        <v>35522.339999999997</v>
      </c>
      <c r="S391" s="46">
        <v>49162.29</v>
      </c>
    </row>
    <row r="392" spans="6:19">
      <c r="F392" s="46"/>
      <c r="H392" s="34"/>
      <c r="I392" s="35"/>
      <c r="J392" s="36"/>
      <c r="M392" s="34"/>
      <c r="N392" s="423"/>
      <c r="O392" s="399">
        <v>45619</v>
      </c>
      <c r="P392" s="90">
        <v>125342.16</v>
      </c>
      <c r="Q392" s="88">
        <v>180350.26</v>
      </c>
      <c r="R392" s="87">
        <v>35522.339999999997</v>
      </c>
      <c r="S392" s="46">
        <v>49423.48</v>
      </c>
    </row>
    <row r="393" spans="6:19">
      <c r="F393" s="46"/>
      <c r="H393" s="34"/>
      <c r="I393" s="35"/>
      <c r="J393" s="36"/>
      <c r="M393" s="34"/>
      <c r="N393" s="423"/>
      <c r="O393" s="399">
        <v>45618</v>
      </c>
      <c r="P393" s="90">
        <v>125467.96</v>
      </c>
      <c r="Q393" s="88">
        <v>180557.9</v>
      </c>
      <c r="R393" s="87">
        <v>36407.769999999997</v>
      </c>
      <c r="S393" s="46">
        <v>49423.48</v>
      </c>
    </row>
    <row r="394" spans="6:19">
      <c r="F394" s="46"/>
      <c r="H394" s="34"/>
      <c r="I394" s="35"/>
      <c r="J394" s="36"/>
      <c r="M394" s="34"/>
      <c r="N394" s="423"/>
      <c r="O394" s="399">
        <v>45617</v>
      </c>
      <c r="P394" s="90">
        <v>125760.93</v>
      </c>
      <c r="Q394" s="88">
        <v>180932.71</v>
      </c>
      <c r="R394" s="87">
        <v>36152.17</v>
      </c>
      <c r="S394" s="46">
        <v>49423.48</v>
      </c>
    </row>
    <row r="395" spans="6:19">
      <c r="F395" s="46"/>
      <c r="H395" s="34"/>
      <c r="I395" s="35"/>
      <c r="J395" s="36"/>
      <c r="M395" s="34"/>
      <c r="N395" s="423"/>
      <c r="O395" s="399">
        <v>45616</v>
      </c>
      <c r="P395" s="90">
        <v>125810.17</v>
      </c>
      <c r="Q395" s="88">
        <v>181063.79</v>
      </c>
      <c r="R395" s="87">
        <v>36426.86</v>
      </c>
      <c r="S395" s="46">
        <v>48953.53</v>
      </c>
    </row>
    <row r="396" spans="6:19">
      <c r="F396" s="46"/>
      <c r="H396" s="34"/>
      <c r="I396" s="35"/>
      <c r="J396" s="36"/>
      <c r="M396" s="34"/>
      <c r="N396" s="423"/>
      <c r="O396" s="399">
        <v>45615</v>
      </c>
      <c r="P396" s="90">
        <v>125767.48</v>
      </c>
      <c r="Q396" s="88">
        <v>181102.94</v>
      </c>
      <c r="R396" s="87">
        <v>36426.86</v>
      </c>
      <c r="S396" s="46">
        <v>48953.53</v>
      </c>
    </row>
    <row r="397" spans="6:19">
      <c r="F397" s="46"/>
      <c r="H397" s="34"/>
      <c r="I397" s="35"/>
      <c r="J397" s="36"/>
      <c r="M397" s="34"/>
      <c r="N397" s="423"/>
      <c r="O397" s="399">
        <v>45614</v>
      </c>
      <c r="P397" s="90">
        <v>125724.79</v>
      </c>
      <c r="Q397" s="88">
        <v>181076.05</v>
      </c>
      <c r="R397" s="87">
        <v>37211.06</v>
      </c>
      <c r="S397" s="46">
        <v>48953.53</v>
      </c>
    </row>
    <row r="398" spans="6:19">
      <c r="F398" s="46"/>
      <c r="H398" s="34"/>
      <c r="I398" s="35"/>
      <c r="J398" s="36"/>
      <c r="M398" s="34"/>
      <c r="N398" s="423"/>
      <c r="O398" s="399">
        <v>45613</v>
      </c>
      <c r="P398" s="90">
        <v>125925.84</v>
      </c>
      <c r="Q398" s="88">
        <v>181292.91</v>
      </c>
      <c r="R398" s="87">
        <v>35671.83</v>
      </c>
      <c r="S398" s="46">
        <v>48268.98</v>
      </c>
    </row>
    <row r="399" spans="6:19">
      <c r="F399" s="46"/>
      <c r="H399" s="34"/>
      <c r="I399" s="35"/>
      <c r="J399" s="36"/>
      <c r="M399" s="34"/>
      <c r="N399" s="423"/>
      <c r="O399" s="399">
        <v>45612</v>
      </c>
      <c r="P399" s="90">
        <v>125658.05</v>
      </c>
      <c r="Q399" s="88">
        <v>181040.92</v>
      </c>
      <c r="R399" s="87">
        <v>34982.019999999997</v>
      </c>
      <c r="S399" s="46">
        <v>49426.86</v>
      </c>
    </row>
    <row r="400" spans="6:19">
      <c r="F400" s="46"/>
      <c r="H400" s="34"/>
      <c r="I400" s="35"/>
      <c r="J400" s="36"/>
      <c r="M400" s="34"/>
      <c r="N400" s="423"/>
      <c r="O400" s="399">
        <v>45611</v>
      </c>
      <c r="P400" s="90">
        <v>125390.26</v>
      </c>
      <c r="Q400" s="88">
        <v>180788.93</v>
      </c>
      <c r="R400" s="87">
        <v>34982.019999999997</v>
      </c>
      <c r="S400" s="46">
        <v>46782.02</v>
      </c>
    </row>
    <row r="401" spans="6:19">
      <c r="F401" s="46"/>
      <c r="H401" s="34"/>
      <c r="I401" s="35"/>
      <c r="J401" s="36"/>
      <c r="M401" s="34"/>
      <c r="N401" s="423"/>
      <c r="O401" s="399">
        <v>45610</v>
      </c>
      <c r="P401" s="90">
        <v>125503.3</v>
      </c>
      <c r="Q401" s="88">
        <v>180917.78</v>
      </c>
      <c r="R401" s="87">
        <v>36400.32</v>
      </c>
      <c r="S401" s="46">
        <v>46782.02</v>
      </c>
    </row>
    <row r="402" spans="6:19">
      <c r="F402" s="46"/>
      <c r="H402" s="34"/>
      <c r="I402" s="35"/>
      <c r="J402" s="36"/>
      <c r="M402" s="34"/>
      <c r="N402" s="423"/>
      <c r="O402" s="399">
        <v>45609</v>
      </c>
      <c r="P402" s="90">
        <v>125783.29</v>
      </c>
      <c r="Q402" s="88">
        <v>181213.57</v>
      </c>
      <c r="R402" s="87">
        <v>36400.32</v>
      </c>
      <c r="S402" s="46">
        <v>46407.99</v>
      </c>
    </row>
    <row r="403" spans="6:19">
      <c r="F403" s="46"/>
      <c r="H403" s="34"/>
      <c r="I403" s="35"/>
      <c r="J403" s="36"/>
      <c r="M403" s="34"/>
      <c r="N403" s="423"/>
      <c r="O403" s="399">
        <v>45608</v>
      </c>
      <c r="P403" s="90">
        <v>125870.93</v>
      </c>
      <c r="Q403" s="88">
        <v>181317.03</v>
      </c>
      <c r="R403" s="87">
        <v>35169.93</v>
      </c>
      <c r="S403" s="46">
        <v>46407.99</v>
      </c>
    </row>
    <row r="404" spans="6:19">
      <c r="F404" s="46"/>
      <c r="H404" s="34"/>
      <c r="I404" s="35"/>
      <c r="J404" s="36"/>
      <c r="M404" s="34"/>
      <c r="N404" s="423"/>
      <c r="O404" s="399">
        <v>45607</v>
      </c>
      <c r="P404" s="90">
        <v>125958.57</v>
      </c>
      <c r="Q404" s="88">
        <v>181420.46</v>
      </c>
      <c r="R404" s="87">
        <v>35169.93</v>
      </c>
      <c r="S404" s="46">
        <v>45107.25</v>
      </c>
    </row>
    <row r="405" spans="6:19">
      <c r="H405" s="34"/>
      <c r="I405" s="35"/>
      <c r="J405" s="36"/>
      <c r="M405" s="34"/>
      <c r="N405" s="423"/>
      <c r="O405" s="399">
        <v>45606</v>
      </c>
      <c r="P405" s="90">
        <v>125730.45</v>
      </c>
      <c r="Q405" s="88">
        <v>181134.31</v>
      </c>
      <c r="R405" s="87">
        <v>34035.919999999998</v>
      </c>
      <c r="S405" s="46">
        <v>45987.35</v>
      </c>
    </row>
    <row r="406" spans="6:19">
      <c r="H406" s="34"/>
      <c r="I406" s="35"/>
      <c r="J406" s="36"/>
      <c r="M406" s="34"/>
      <c r="N406" s="423"/>
      <c r="O406" s="399">
        <v>45605</v>
      </c>
      <c r="P406" s="90">
        <v>125502.33</v>
      </c>
      <c r="Q406" s="88">
        <v>180848.15</v>
      </c>
      <c r="R406" s="87">
        <v>34035.919999999998</v>
      </c>
      <c r="S406" s="46">
        <v>45987.35</v>
      </c>
    </row>
    <row r="407" spans="6:19">
      <c r="H407" s="34"/>
      <c r="I407" s="35"/>
      <c r="J407" s="36"/>
      <c r="M407" s="34"/>
      <c r="N407" s="423"/>
      <c r="O407" s="399">
        <v>45604</v>
      </c>
      <c r="P407" s="90">
        <v>125509.67</v>
      </c>
      <c r="Q407" s="88">
        <v>180797.47</v>
      </c>
      <c r="R407" s="87">
        <v>33347.21</v>
      </c>
      <c r="S407" s="46">
        <v>45053.73</v>
      </c>
    </row>
    <row r="408" spans="6:19">
      <c r="H408" s="34"/>
      <c r="I408" s="35"/>
      <c r="J408" s="36"/>
      <c r="M408" s="34"/>
      <c r="N408" s="423"/>
      <c r="O408" s="399">
        <v>45603</v>
      </c>
      <c r="P408" s="90">
        <v>125397.13</v>
      </c>
      <c r="Q408" s="88">
        <v>180626.89</v>
      </c>
      <c r="R408" s="87">
        <v>33347.21</v>
      </c>
      <c r="S408" s="46">
        <v>44301.32</v>
      </c>
    </row>
    <row r="409" spans="6:19">
      <c r="H409" s="34"/>
      <c r="I409" s="35"/>
      <c r="J409" s="36"/>
      <c r="M409" s="34"/>
      <c r="N409" s="423"/>
      <c r="O409" s="399">
        <v>45602</v>
      </c>
      <c r="P409" s="90">
        <v>125440.25</v>
      </c>
      <c r="Q409" s="88">
        <v>180611.97</v>
      </c>
      <c r="R409" s="87">
        <v>33969.870000000003</v>
      </c>
      <c r="S409" s="46">
        <v>44301.32</v>
      </c>
    </row>
    <row r="410" spans="6:19">
      <c r="H410" s="34"/>
      <c r="I410" s="35"/>
      <c r="J410" s="36"/>
      <c r="M410" s="34"/>
      <c r="N410" s="423"/>
      <c r="O410" s="399">
        <v>45601</v>
      </c>
      <c r="P410" s="90">
        <v>125330.08</v>
      </c>
      <c r="Q410" s="88">
        <v>180443.78</v>
      </c>
      <c r="R410" s="87">
        <v>33969.870000000003</v>
      </c>
      <c r="S410" s="46">
        <v>44301.32</v>
      </c>
    </row>
    <row r="411" spans="6:19">
      <c r="H411" s="34"/>
      <c r="I411" s="35"/>
      <c r="J411" s="36"/>
      <c r="M411" s="34"/>
      <c r="N411" s="423"/>
      <c r="O411" s="399">
        <v>45600</v>
      </c>
      <c r="P411" s="90">
        <v>125219.92</v>
      </c>
      <c r="Q411" s="88">
        <v>180329.66</v>
      </c>
      <c r="R411" s="87">
        <v>31819.38</v>
      </c>
      <c r="S411" s="46">
        <v>44301.32</v>
      </c>
    </row>
    <row r="412" spans="6:19">
      <c r="H412" s="34"/>
      <c r="I412" s="35"/>
      <c r="J412" s="36"/>
      <c r="M412" s="34"/>
      <c r="N412" s="423"/>
      <c r="O412" s="399">
        <v>45599</v>
      </c>
      <c r="P412" s="90">
        <v>125109.07</v>
      </c>
      <c r="Q412" s="88">
        <v>180159.8</v>
      </c>
      <c r="R412" s="87">
        <v>33074.199999999997</v>
      </c>
      <c r="S412" s="46">
        <v>45478.66</v>
      </c>
    </row>
    <row r="413" spans="6:19">
      <c r="H413" s="34"/>
      <c r="I413" s="35"/>
      <c r="J413" s="36"/>
      <c r="M413" s="34"/>
      <c r="N413" s="423"/>
      <c r="O413" s="399">
        <v>45598</v>
      </c>
      <c r="P413" s="90">
        <v>125229.42</v>
      </c>
      <c r="Q413" s="88">
        <v>180221.14</v>
      </c>
      <c r="R413" s="87">
        <v>33240.78</v>
      </c>
      <c r="S413" s="46">
        <v>45034.31</v>
      </c>
    </row>
    <row r="414" spans="6:19">
      <c r="H414" s="34"/>
      <c r="I414" s="35"/>
      <c r="J414" s="36"/>
      <c r="M414" s="34"/>
      <c r="N414" s="423"/>
      <c r="O414" s="399">
        <v>45597</v>
      </c>
      <c r="P414" s="90">
        <v>125349.78</v>
      </c>
      <c r="Q414" s="88">
        <v>180282.46</v>
      </c>
      <c r="R414" s="87">
        <v>34353.800000000003</v>
      </c>
      <c r="S414" s="46">
        <v>44381.53</v>
      </c>
    </row>
    <row r="415" spans="6:19">
      <c r="H415" s="34"/>
      <c r="I415" s="35"/>
      <c r="J415" s="36"/>
      <c r="M415" s="34"/>
      <c r="N415" s="423"/>
      <c r="O415" s="399">
        <v>45594</v>
      </c>
      <c r="P415" s="90">
        <v>125691.55</v>
      </c>
      <c r="Q415" s="88">
        <v>180545.2</v>
      </c>
      <c r="R415" s="87">
        <v>34277.660000000003</v>
      </c>
      <c r="S415" s="46">
        <v>42201.39</v>
      </c>
    </row>
    <row r="416" spans="6:19">
      <c r="H416" s="34"/>
      <c r="I416" s="35"/>
      <c r="J416" s="36"/>
      <c r="M416" s="34"/>
      <c r="N416" s="423"/>
      <c r="O416" s="399">
        <v>45593</v>
      </c>
      <c r="P416" s="90">
        <v>125499.08</v>
      </c>
      <c r="Q416" s="88">
        <v>180342.72</v>
      </c>
      <c r="R416" s="87">
        <v>34277.660000000003</v>
      </c>
      <c r="S416" s="46">
        <v>43138.7</v>
      </c>
    </row>
    <row r="417" spans="8:19">
      <c r="H417" s="34"/>
      <c r="I417" s="35"/>
      <c r="J417" s="36"/>
      <c r="M417" s="34"/>
      <c r="N417" s="423"/>
      <c r="O417" s="399">
        <v>45592</v>
      </c>
      <c r="P417" s="90">
        <v>125695.36</v>
      </c>
      <c r="Q417" s="88">
        <v>180528.98</v>
      </c>
      <c r="R417" s="87">
        <v>35657.21</v>
      </c>
      <c r="S417" s="46">
        <v>43138.7</v>
      </c>
    </row>
    <row r="418" spans="8:19">
      <c r="H418" s="34"/>
      <c r="I418" s="35"/>
      <c r="J418" s="36"/>
      <c r="M418" s="34"/>
      <c r="N418" s="423"/>
      <c r="O418" s="399">
        <v>45591</v>
      </c>
      <c r="P418" s="90">
        <v>125765.33</v>
      </c>
      <c r="Q418" s="88">
        <v>180588.92</v>
      </c>
      <c r="R418" s="87">
        <v>35290.28</v>
      </c>
      <c r="S418" s="46">
        <v>42270.27</v>
      </c>
    </row>
    <row r="419" spans="8:19">
      <c r="H419" s="34"/>
      <c r="I419" s="35"/>
      <c r="J419" s="36"/>
      <c r="M419" s="34"/>
      <c r="N419" s="423"/>
      <c r="O419" s="399">
        <v>45590</v>
      </c>
      <c r="P419" s="90">
        <v>125646.85</v>
      </c>
      <c r="Q419" s="88">
        <v>180460.44</v>
      </c>
      <c r="R419" s="87">
        <v>36200.79</v>
      </c>
      <c r="S419" s="46">
        <v>42052.28</v>
      </c>
    </row>
    <row r="420" spans="8:19">
      <c r="H420" s="34"/>
      <c r="I420" s="35"/>
      <c r="J420" s="36"/>
      <c r="M420" s="34"/>
      <c r="N420" s="423"/>
      <c r="O420" s="399">
        <v>45589</v>
      </c>
      <c r="P420" s="90">
        <v>125842.78</v>
      </c>
      <c r="Q420" s="88">
        <v>180646.36</v>
      </c>
      <c r="R420" s="87">
        <v>36579.74</v>
      </c>
      <c r="S420" s="46">
        <v>42052.28</v>
      </c>
    </row>
    <row r="421" spans="8:19">
      <c r="H421" s="34"/>
      <c r="I421" s="35"/>
      <c r="J421" s="36"/>
      <c r="M421" s="34"/>
      <c r="N421" s="423"/>
      <c r="O421" s="399">
        <v>45588</v>
      </c>
      <c r="P421" s="90">
        <v>126010.29</v>
      </c>
      <c r="Q421" s="88">
        <v>180743.15</v>
      </c>
      <c r="R421" s="87">
        <v>36786.910000000003</v>
      </c>
      <c r="S421" s="46">
        <v>41093.089999999997</v>
      </c>
    </row>
    <row r="422" spans="8:19">
      <c r="H422" s="34"/>
      <c r="I422" s="35"/>
      <c r="J422" s="36"/>
      <c r="M422" s="34"/>
      <c r="N422" s="423"/>
      <c r="O422" s="399">
        <v>45587</v>
      </c>
      <c r="P422" s="90">
        <v>125761.01</v>
      </c>
      <c r="Q422" s="88">
        <v>180423.14</v>
      </c>
      <c r="R422" s="87">
        <v>36786.910000000003</v>
      </c>
      <c r="S422" s="46">
        <v>41704.839999999997</v>
      </c>
    </row>
    <row r="423" spans="8:19">
      <c r="H423" s="34"/>
      <c r="I423" s="35"/>
      <c r="J423" s="36"/>
      <c r="M423" s="34"/>
      <c r="N423" s="423"/>
      <c r="O423" s="399">
        <v>45586</v>
      </c>
      <c r="P423" s="90">
        <v>125511.73</v>
      </c>
      <c r="Q423" s="88">
        <v>180103.12</v>
      </c>
      <c r="R423" s="87">
        <v>36786.910000000003</v>
      </c>
      <c r="S423" s="46">
        <v>41704.839999999997</v>
      </c>
    </row>
    <row r="424" spans="8:19">
      <c r="H424" s="34"/>
      <c r="I424" s="35"/>
      <c r="J424" s="36"/>
      <c r="M424" s="34"/>
      <c r="N424" s="423"/>
      <c r="O424" s="399">
        <v>45585</v>
      </c>
      <c r="P424" s="90">
        <v>125207.13</v>
      </c>
      <c r="Q424" s="88">
        <v>179727.81</v>
      </c>
      <c r="R424" s="87">
        <v>35269.94</v>
      </c>
      <c r="S424" s="46">
        <v>42466.31</v>
      </c>
    </row>
    <row r="425" spans="8:19">
      <c r="H425" s="34"/>
      <c r="I425" s="35"/>
      <c r="J425" s="36"/>
      <c r="M425" s="34"/>
      <c r="N425" s="423"/>
      <c r="O425" s="399">
        <v>45584</v>
      </c>
      <c r="P425" s="90">
        <v>124902.54</v>
      </c>
      <c r="Q425" s="88">
        <v>179352.49</v>
      </c>
      <c r="R425" s="87">
        <v>35078.589999999997</v>
      </c>
      <c r="S425" s="46">
        <v>41654.18</v>
      </c>
    </row>
    <row r="426" spans="8:19">
      <c r="H426" s="34"/>
      <c r="I426" s="35"/>
      <c r="J426" s="36"/>
      <c r="M426" s="34"/>
      <c r="N426" s="423"/>
      <c r="O426" s="399">
        <v>45583</v>
      </c>
      <c r="P426" s="90">
        <v>124597.95</v>
      </c>
      <c r="Q426" s="88">
        <v>178977.18</v>
      </c>
      <c r="R426" s="87">
        <v>35078.589999999997</v>
      </c>
      <c r="S426" s="46">
        <v>40623.360000000001</v>
      </c>
    </row>
    <row r="427" spans="8:19">
      <c r="H427" s="34"/>
      <c r="I427" s="35"/>
      <c r="J427" s="36"/>
      <c r="M427" s="34"/>
      <c r="N427" s="423"/>
      <c r="O427" s="399">
        <v>45582</v>
      </c>
      <c r="P427" s="90">
        <v>124349.71</v>
      </c>
      <c r="Q427" s="88">
        <v>178658.22</v>
      </c>
      <c r="R427" s="87">
        <v>35078.589999999997</v>
      </c>
      <c r="S427" s="46">
        <v>37869.19</v>
      </c>
    </row>
    <row r="428" spans="8:19">
      <c r="H428" s="34"/>
      <c r="I428" s="35"/>
      <c r="J428" s="36"/>
      <c r="M428" s="34"/>
      <c r="N428" s="423"/>
      <c r="O428" s="399">
        <v>45581</v>
      </c>
      <c r="P428" s="90">
        <v>124159.9</v>
      </c>
      <c r="Q428" s="88">
        <v>178397.68</v>
      </c>
      <c r="R428" s="87"/>
      <c r="S428" s="46"/>
    </row>
    <row r="429" spans="8:19">
      <c r="H429" s="34"/>
      <c r="I429" s="35"/>
      <c r="J429" s="36"/>
      <c r="M429" s="34"/>
      <c r="N429" s="423"/>
      <c r="O429" s="399">
        <v>45580</v>
      </c>
      <c r="P429" s="90">
        <v>123970.09</v>
      </c>
      <c r="Q429" s="88">
        <v>178137.15</v>
      </c>
      <c r="R429" s="87"/>
      <c r="S429" s="46"/>
    </row>
    <row r="430" spans="8:19">
      <c r="H430" s="34"/>
      <c r="I430" s="35"/>
      <c r="J430" s="36"/>
      <c r="M430" s="34"/>
      <c r="N430" s="423"/>
      <c r="O430" s="399">
        <v>45579</v>
      </c>
      <c r="P430" s="90">
        <v>123780.28</v>
      </c>
      <c r="Q430" s="88">
        <v>177876.61</v>
      </c>
      <c r="R430" s="87"/>
      <c r="S430" s="46"/>
    </row>
    <row r="431" spans="8:19">
      <c r="H431" s="34"/>
      <c r="I431" s="35"/>
      <c r="J431" s="36"/>
      <c r="M431" s="34"/>
      <c r="N431" s="423"/>
      <c r="O431" s="399">
        <v>45578</v>
      </c>
      <c r="P431" s="90">
        <v>123616.33</v>
      </c>
      <c r="Q431" s="88">
        <v>177696.23</v>
      </c>
      <c r="R431" s="87"/>
      <c r="S431" s="46"/>
    </row>
    <row r="432" spans="8:19">
      <c r="H432" s="34"/>
      <c r="I432" s="35"/>
      <c r="J432" s="36"/>
      <c r="M432" s="34"/>
      <c r="N432" s="423"/>
      <c r="O432" s="399">
        <v>45577</v>
      </c>
      <c r="P432" s="90">
        <v>123637.21</v>
      </c>
      <c r="Q432" s="88">
        <v>177700.68</v>
      </c>
      <c r="R432" s="87"/>
      <c r="S432" s="46"/>
    </row>
    <row r="433" spans="8:19">
      <c r="H433" s="34"/>
      <c r="I433" s="35"/>
      <c r="J433" s="36"/>
      <c r="M433" s="34"/>
      <c r="N433" s="423"/>
      <c r="O433" s="399">
        <v>45576</v>
      </c>
      <c r="P433" s="90">
        <v>123428.48</v>
      </c>
      <c r="Q433" s="88">
        <v>177475.51</v>
      </c>
      <c r="R433" s="87"/>
      <c r="S433" s="46"/>
    </row>
    <row r="434" spans="8:19">
      <c r="H434" s="34"/>
      <c r="I434" s="35"/>
      <c r="J434" s="36"/>
      <c r="M434" s="34"/>
      <c r="N434" s="423"/>
      <c r="O434" s="399">
        <v>45575</v>
      </c>
      <c r="P434" s="88">
        <v>123202.01</v>
      </c>
      <c r="Q434" s="88">
        <v>177232.62</v>
      </c>
      <c r="R434" s="87"/>
      <c r="S434" s="46"/>
    </row>
    <row r="435" spans="8:19">
      <c r="H435" s="34"/>
      <c r="I435" s="35"/>
      <c r="J435" s="36"/>
      <c r="M435" s="34"/>
      <c r="N435" s="423"/>
      <c r="O435" s="399">
        <v>45574</v>
      </c>
      <c r="P435" s="88">
        <v>122975.55</v>
      </c>
      <c r="Q435" s="88">
        <v>176973.34</v>
      </c>
      <c r="R435" s="87"/>
      <c r="S435" s="46"/>
    </row>
    <row r="436" spans="8:19">
      <c r="H436" s="34"/>
      <c r="I436" s="35"/>
      <c r="J436" s="36"/>
      <c r="M436" s="34"/>
      <c r="N436" s="423"/>
      <c r="O436" s="399">
        <v>45573</v>
      </c>
      <c r="P436" s="88">
        <v>122978.7</v>
      </c>
      <c r="Q436" s="88">
        <v>176943.67</v>
      </c>
      <c r="R436" s="87"/>
      <c r="S436" s="46"/>
    </row>
    <row r="437" spans="8:19">
      <c r="H437" s="34"/>
      <c r="I437" s="35"/>
      <c r="J437" s="36"/>
      <c r="M437" s="34"/>
      <c r="N437" s="423"/>
      <c r="O437" s="399">
        <v>45572</v>
      </c>
      <c r="P437" s="88">
        <v>122822.94</v>
      </c>
      <c r="Q437" s="88">
        <v>176755.1</v>
      </c>
      <c r="R437" s="87"/>
      <c r="S437" s="46"/>
    </row>
    <row r="438" spans="8:19">
      <c r="H438" s="34"/>
      <c r="I438" s="35"/>
      <c r="J438" s="36"/>
      <c r="M438" s="34"/>
      <c r="N438" s="423"/>
      <c r="O438" s="399">
        <v>45571</v>
      </c>
      <c r="P438" s="88">
        <v>122668.93</v>
      </c>
      <c r="Q438" s="88">
        <v>176568.28</v>
      </c>
      <c r="R438" s="87"/>
      <c r="S438" s="46"/>
    </row>
    <row r="439" spans="8:19">
      <c r="H439" s="34"/>
      <c r="I439" s="35"/>
      <c r="J439" s="36"/>
      <c r="M439" s="34"/>
      <c r="N439" s="423"/>
      <c r="O439" s="399">
        <v>45570</v>
      </c>
      <c r="P439" s="88">
        <v>122514.93</v>
      </c>
      <c r="Q439" s="88">
        <v>176381.46</v>
      </c>
      <c r="R439" s="87"/>
      <c r="S439" s="46"/>
    </row>
    <row r="440" spans="8:19">
      <c r="H440" s="34"/>
      <c r="I440" s="35"/>
      <c r="J440" s="36"/>
      <c r="M440" s="34"/>
      <c r="N440" s="423"/>
      <c r="O440" s="399">
        <v>45569</v>
      </c>
      <c r="P440" s="88">
        <v>122360.93</v>
      </c>
      <c r="Q440" s="88">
        <v>176194.64</v>
      </c>
      <c r="R440" s="87"/>
      <c r="S440" s="46"/>
    </row>
    <row r="441" spans="8:19">
      <c r="H441" s="34"/>
      <c r="I441" s="35"/>
      <c r="J441" s="36"/>
      <c r="M441" s="34"/>
      <c r="N441" s="423"/>
      <c r="O441" s="399">
        <v>45568</v>
      </c>
      <c r="P441" s="88">
        <v>122014.8</v>
      </c>
      <c r="Q441" s="88">
        <v>175815.69</v>
      </c>
      <c r="R441" s="87"/>
      <c r="S441" s="46"/>
    </row>
    <row r="442" spans="8:19">
      <c r="H442" s="34"/>
      <c r="I442" s="35"/>
      <c r="J442" s="36"/>
      <c r="M442" s="34"/>
      <c r="N442" s="423"/>
      <c r="O442" s="399">
        <v>45567</v>
      </c>
      <c r="P442" s="88">
        <v>121902.61</v>
      </c>
      <c r="Q442" s="88">
        <v>175670.69</v>
      </c>
      <c r="R442" s="87"/>
      <c r="S442" s="46"/>
    </row>
    <row r="443" spans="8:19">
      <c r="H443" s="34"/>
      <c r="I443" s="35"/>
      <c r="J443" s="36"/>
      <c r="M443" s="34"/>
      <c r="N443" s="423"/>
      <c r="O443" s="399">
        <v>45566</v>
      </c>
      <c r="P443" s="88">
        <v>121790.43</v>
      </c>
      <c r="Q443" s="88">
        <v>175525.68</v>
      </c>
      <c r="R443" s="87"/>
      <c r="S443" s="46"/>
    </row>
    <row r="444" spans="8:19">
      <c r="H444" s="34"/>
      <c r="I444" s="35"/>
      <c r="J444" s="36"/>
      <c r="M444" s="34"/>
      <c r="N444" s="423"/>
      <c r="O444" s="399">
        <v>45565</v>
      </c>
      <c r="P444" s="88">
        <v>121837.15</v>
      </c>
      <c r="Q444" s="88">
        <v>175490.59</v>
      </c>
      <c r="R444" s="87"/>
      <c r="S444" s="46"/>
    </row>
    <row r="445" spans="8:19">
      <c r="H445" s="34"/>
      <c r="I445" s="35"/>
      <c r="J445" s="36"/>
      <c r="M445" s="34"/>
      <c r="N445" s="423"/>
      <c r="O445" s="399">
        <v>45564</v>
      </c>
      <c r="P445" s="88">
        <v>121665.69</v>
      </c>
      <c r="Q445" s="88">
        <v>175237.31</v>
      </c>
      <c r="R445" s="87"/>
      <c r="S445" s="46"/>
    </row>
    <row r="446" spans="8:19">
      <c r="H446" s="34"/>
      <c r="I446" s="35"/>
      <c r="J446" s="36"/>
      <c r="M446" s="34"/>
      <c r="N446" s="423"/>
      <c r="O446" s="399">
        <v>45563</v>
      </c>
      <c r="P446" s="88">
        <v>121260.3</v>
      </c>
      <c r="Q446" s="88">
        <v>174750.09</v>
      </c>
      <c r="R446" s="87"/>
      <c r="S446" s="46"/>
    </row>
    <row r="447" spans="8:19">
      <c r="H447" s="34"/>
      <c r="I447" s="35"/>
      <c r="J447" s="36"/>
      <c r="M447" s="34"/>
      <c r="N447" s="423"/>
      <c r="O447" s="399">
        <v>45562</v>
      </c>
      <c r="P447" s="88">
        <v>120865.87</v>
      </c>
      <c r="Q447" s="88">
        <v>174273.84</v>
      </c>
      <c r="R447" s="87"/>
      <c r="S447" s="46"/>
    </row>
    <row r="448" spans="8:19">
      <c r="H448" s="34"/>
      <c r="I448" s="35"/>
      <c r="J448" s="36"/>
      <c r="M448" s="34"/>
      <c r="N448" s="423"/>
      <c r="O448" s="399">
        <v>45561</v>
      </c>
      <c r="P448" s="88">
        <v>120456.85</v>
      </c>
      <c r="Q448" s="88">
        <v>173783.01</v>
      </c>
      <c r="R448" s="87"/>
      <c r="S448" s="46"/>
    </row>
    <row r="449" spans="8:19">
      <c r="H449" s="34"/>
      <c r="I449" s="35"/>
      <c r="J449" s="36"/>
      <c r="M449" s="34"/>
      <c r="N449" s="423"/>
      <c r="O449" s="399">
        <v>45560</v>
      </c>
      <c r="P449" s="88">
        <v>120047.84</v>
      </c>
      <c r="Q449" s="88">
        <v>173292.18</v>
      </c>
      <c r="R449" s="87"/>
      <c r="S449" s="46"/>
    </row>
    <row r="450" spans="8:19">
      <c r="H450" s="34"/>
      <c r="I450" s="35"/>
      <c r="J450" s="36"/>
      <c r="M450" s="34"/>
      <c r="N450" s="423"/>
      <c r="O450" s="399">
        <v>45559</v>
      </c>
      <c r="P450" s="88">
        <v>119887.43</v>
      </c>
      <c r="Q450" s="88">
        <v>173049.94</v>
      </c>
      <c r="R450" s="87"/>
      <c r="S450" s="46"/>
    </row>
    <row r="451" spans="8:19">
      <c r="H451" s="34"/>
      <c r="I451" s="35"/>
      <c r="J451" s="36"/>
      <c r="M451" s="34"/>
      <c r="N451" s="423"/>
      <c r="O451" s="399">
        <v>45558</v>
      </c>
      <c r="P451" s="88">
        <v>119841.14</v>
      </c>
      <c r="Q451" s="88">
        <v>172921.84</v>
      </c>
      <c r="R451" s="87"/>
      <c r="S451" s="46"/>
    </row>
    <row r="452" spans="8:19">
      <c r="H452" s="34"/>
      <c r="I452" s="35"/>
      <c r="J452" s="36"/>
      <c r="M452" s="34"/>
      <c r="N452" s="423"/>
      <c r="O452" s="399">
        <v>45557</v>
      </c>
      <c r="P452" s="88">
        <v>119793.84</v>
      </c>
      <c r="Q452" s="88">
        <v>172792.71</v>
      </c>
      <c r="R452" s="87"/>
      <c r="S452" s="46"/>
    </row>
    <row r="453" spans="8:19">
      <c r="H453" s="34"/>
      <c r="I453" s="35"/>
      <c r="J453" s="36"/>
      <c r="M453" s="34"/>
      <c r="N453" s="423"/>
      <c r="O453" s="399">
        <v>45556</v>
      </c>
      <c r="P453" s="88">
        <v>119746.54</v>
      </c>
      <c r="Q453" s="88">
        <v>172663.59</v>
      </c>
      <c r="R453" s="87"/>
      <c r="S453" s="46"/>
    </row>
    <row r="454" spans="8:19">
      <c r="H454" s="34"/>
      <c r="I454" s="35"/>
      <c r="J454" s="36"/>
      <c r="M454" s="34"/>
      <c r="N454" s="423"/>
      <c r="O454" s="398">
        <v>45555</v>
      </c>
      <c r="P454" s="296">
        <v>119658.02</v>
      </c>
      <c r="Q454" s="296">
        <v>172493.25</v>
      </c>
      <c r="R454" s="297"/>
      <c r="S454" s="46"/>
    </row>
    <row r="455" spans="8:19">
      <c r="H455" s="34"/>
      <c r="I455" s="35"/>
      <c r="J455" s="36"/>
      <c r="M455" s="34"/>
      <c r="N455" s="423"/>
      <c r="O455" s="398">
        <v>45554</v>
      </c>
      <c r="P455" s="296">
        <v>119513.06</v>
      </c>
      <c r="Q455" s="296">
        <v>172266.47</v>
      </c>
      <c r="R455" s="297"/>
      <c r="S455" s="46"/>
    </row>
    <row r="456" spans="8:19">
      <c r="H456" s="34"/>
      <c r="I456" s="35"/>
      <c r="J456" s="36"/>
      <c r="M456" s="34"/>
      <c r="N456" s="423"/>
      <c r="O456" s="398">
        <v>45553</v>
      </c>
      <c r="P456" s="296">
        <v>119368.1</v>
      </c>
      <c r="Q456" s="296">
        <v>172029.93</v>
      </c>
      <c r="R456" s="297"/>
      <c r="S456" s="46"/>
    </row>
    <row r="457" spans="8:19">
      <c r="H457" s="34"/>
      <c r="I457" s="35"/>
      <c r="J457" s="36"/>
      <c r="M457" s="34"/>
      <c r="N457" s="423"/>
      <c r="O457" s="398">
        <v>45552</v>
      </c>
      <c r="P457" s="296">
        <v>119223.14</v>
      </c>
      <c r="Q457" s="296">
        <v>171793.39</v>
      </c>
      <c r="R457" s="297"/>
      <c r="S457" s="46"/>
    </row>
    <row r="458" spans="8:19">
      <c r="H458" s="34"/>
      <c r="I458" s="35"/>
      <c r="J458" s="36"/>
      <c r="M458" s="34"/>
      <c r="N458" s="423"/>
      <c r="O458" s="398">
        <v>45551</v>
      </c>
      <c r="P458" s="296">
        <v>119078.17</v>
      </c>
      <c r="Q458" s="296">
        <v>171556.85</v>
      </c>
      <c r="R458" s="297"/>
      <c r="S458" s="46"/>
    </row>
    <row r="459" spans="8:19">
      <c r="H459" s="34"/>
      <c r="I459" s="35"/>
      <c r="J459" s="36"/>
      <c r="M459" s="34"/>
      <c r="N459" s="423"/>
      <c r="O459" s="398">
        <v>45550</v>
      </c>
      <c r="P459" s="296">
        <v>118819.08</v>
      </c>
      <c r="Q459" s="296">
        <v>171206.17</v>
      </c>
      <c r="R459" s="297"/>
      <c r="S459" s="46"/>
    </row>
    <row r="460" spans="8:19">
      <c r="H460" s="34"/>
      <c r="I460" s="35"/>
      <c r="J460" s="36"/>
      <c r="M460" s="34"/>
      <c r="N460" s="423"/>
      <c r="O460" s="398">
        <v>45549</v>
      </c>
      <c r="P460" s="296">
        <v>118988.46</v>
      </c>
      <c r="Q460" s="296">
        <v>171283.98</v>
      </c>
      <c r="R460" s="297"/>
      <c r="S460" s="46"/>
    </row>
    <row r="461" spans="8:19">
      <c r="H461" s="34"/>
      <c r="I461" s="35"/>
      <c r="J461" s="36"/>
      <c r="M461" s="34"/>
      <c r="N461" s="423"/>
      <c r="O461" s="398">
        <v>45548</v>
      </c>
      <c r="P461" s="296">
        <v>118770.95</v>
      </c>
      <c r="Q461" s="296">
        <v>170974.88</v>
      </c>
      <c r="R461" s="297"/>
      <c r="S461" s="46"/>
    </row>
    <row r="462" spans="8:19">
      <c r="H462" s="34"/>
      <c r="I462" s="35"/>
      <c r="J462" s="36"/>
      <c r="M462" s="34"/>
      <c r="N462" s="423"/>
      <c r="O462" s="398">
        <v>45547</v>
      </c>
      <c r="P462" s="296">
        <v>118553.43</v>
      </c>
      <c r="Q462" s="296">
        <v>170754.33</v>
      </c>
      <c r="R462" s="297"/>
      <c r="S462" s="46"/>
    </row>
    <row r="463" spans="8:19">
      <c r="H463" s="34"/>
      <c r="I463" s="35"/>
      <c r="J463" s="36"/>
      <c r="M463" s="34"/>
      <c r="N463" s="423"/>
      <c r="O463" s="398">
        <v>45546</v>
      </c>
      <c r="P463" s="296">
        <v>118570.03</v>
      </c>
      <c r="Q463" s="296">
        <v>170767.88</v>
      </c>
      <c r="R463" s="297"/>
      <c r="S463" s="46"/>
    </row>
    <row r="464" spans="8:19">
      <c r="H464" s="34"/>
      <c r="I464" s="35"/>
      <c r="J464" s="36"/>
      <c r="M464" s="34"/>
      <c r="N464" s="423"/>
      <c r="O464" s="398">
        <v>45545</v>
      </c>
      <c r="P464" s="296">
        <v>118871.45</v>
      </c>
      <c r="Q464" s="296">
        <v>171066.26</v>
      </c>
      <c r="R464" s="297"/>
      <c r="S464" s="46"/>
    </row>
    <row r="465" spans="8:19">
      <c r="H465" s="34"/>
      <c r="I465" s="35"/>
      <c r="J465" s="36"/>
      <c r="M465" s="34"/>
      <c r="N465" s="423"/>
      <c r="O465" s="398">
        <v>45544</v>
      </c>
      <c r="P465" s="296">
        <v>119102.95</v>
      </c>
      <c r="Q465" s="296">
        <v>171343.56</v>
      </c>
      <c r="R465" s="297"/>
      <c r="S465" s="46"/>
    </row>
    <row r="466" spans="8:19">
      <c r="H466" s="34"/>
      <c r="I466" s="35"/>
      <c r="J466" s="36"/>
      <c r="M466" s="34"/>
      <c r="N466" s="423"/>
      <c r="O466" s="398">
        <v>45543</v>
      </c>
      <c r="P466" s="296">
        <v>119334.46</v>
      </c>
      <c r="Q466" s="296">
        <v>171620.85</v>
      </c>
      <c r="R466" s="297"/>
      <c r="S466" s="46"/>
    </row>
    <row r="467" spans="8:19">
      <c r="H467" s="34"/>
      <c r="I467" s="35"/>
      <c r="J467" s="36"/>
      <c r="M467" s="34"/>
      <c r="N467" s="423"/>
      <c r="O467" s="398">
        <v>45542</v>
      </c>
      <c r="P467" s="296">
        <v>119319.47</v>
      </c>
      <c r="Q467" s="296">
        <v>171651.65</v>
      </c>
      <c r="R467" s="297"/>
      <c r="S467" s="46"/>
    </row>
    <row r="468" spans="8:19">
      <c r="H468" s="34"/>
      <c r="I468" s="35"/>
      <c r="J468" s="36"/>
      <c r="M468" s="34"/>
      <c r="N468" s="423"/>
      <c r="O468" s="398">
        <v>45541</v>
      </c>
      <c r="P468" s="296">
        <v>119486.03</v>
      </c>
      <c r="Q468" s="296">
        <v>171864.01</v>
      </c>
      <c r="R468" s="297"/>
      <c r="S468" s="46"/>
    </row>
    <row r="469" spans="8:19">
      <c r="H469" s="34"/>
      <c r="I469" s="35"/>
      <c r="J469" s="36"/>
      <c r="M469" s="34"/>
      <c r="N469" s="423"/>
      <c r="O469" s="398">
        <v>45540</v>
      </c>
      <c r="P469" s="296">
        <v>119215.09</v>
      </c>
      <c r="Q469" s="296">
        <v>171638.86</v>
      </c>
      <c r="R469" s="297"/>
      <c r="S469" s="46"/>
    </row>
    <row r="470" spans="8:19">
      <c r="H470" s="34"/>
      <c r="I470" s="35"/>
      <c r="J470" s="36"/>
      <c r="M470" s="34"/>
      <c r="N470" s="423"/>
      <c r="O470" s="398">
        <v>45539</v>
      </c>
      <c r="P470" s="296">
        <v>119071.77</v>
      </c>
      <c r="Q470" s="296">
        <v>171541.33</v>
      </c>
      <c r="R470" s="297"/>
      <c r="S470" s="46"/>
    </row>
    <row r="471" spans="8:19">
      <c r="H471" s="34"/>
      <c r="I471" s="35"/>
      <c r="J471" s="36"/>
      <c r="M471" s="34"/>
      <c r="N471" s="423"/>
      <c r="O471" s="398">
        <v>45538</v>
      </c>
      <c r="P471" s="296">
        <v>118805.63</v>
      </c>
      <c r="Q471" s="296">
        <v>171320.98</v>
      </c>
      <c r="R471" s="297"/>
      <c r="S471" s="46"/>
    </row>
    <row r="472" spans="8:19">
      <c r="H472" s="34"/>
      <c r="I472" s="35"/>
      <c r="J472" s="36"/>
      <c r="M472" s="34"/>
      <c r="N472" s="423"/>
      <c r="O472" s="398">
        <v>45537</v>
      </c>
      <c r="P472" s="296">
        <v>118844.97</v>
      </c>
      <c r="Q472" s="296">
        <v>171406.11</v>
      </c>
      <c r="R472" s="297"/>
      <c r="S472" s="46"/>
    </row>
    <row r="473" spans="8:19">
      <c r="H473" s="34"/>
      <c r="I473" s="35"/>
      <c r="J473" s="36"/>
      <c r="M473" s="34"/>
      <c r="N473" s="423"/>
      <c r="O473" s="398">
        <v>45536</v>
      </c>
      <c r="P473" s="296">
        <v>118738.06</v>
      </c>
      <c r="Q473" s="296">
        <v>171344.99</v>
      </c>
      <c r="R473" s="297"/>
      <c r="S473" s="46"/>
    </row>
    <row r="474" spans="8:19">
      <c r="H474" s="34"/>
      <c r="I474" s="35"/>
      <c r="J474" s="36"/>
      <c r="M474" s="34"/>
      <c r="N474" s="423"/>
      <c r="O474" s="398">
        <v>45535</v>
      </c>
      <c r="P474" s="296">
        <v>118664.19</v>
      </c>
      <c r="Q474" s="296">
        <v>171316.92</v>
      </c>
      <c r="R474" s="297"/>
      <c r="S474" s="46"/>
    </row>
    <row r="475" spans="8:19">
      <c r="H475" s="34"/>
      <c r="I475" s="35"/>
      <c r="J475" s="36"/>
      <c r="M475" s="34"/>
      <c r="N475" s="423"/>
      <c r="O475" s="398">
        <v>45534</v>
      </c>
      <c r="P475" s="296">
        <v>118585.43</v>
      </c>
      <c r="Q475" s="296">
        <v>171283.95</v>
      </c>
      <c r="R475" s="297"/>
      <c r="S475" s="46"/>
    </row>
    <row r="476" spans="8:19">
      <c r="H476" s="34"/>
      <c r="I476" s="35"/>
      <c r="J476" s="36"/>
      <c r="M476" s="34"/>
      <c r="N476" s="423"/>
      <c r="O476" s="398">
        <v>45533</v>
      </c>
      <c r="P476" s="296">
        <v>118537.81</v>
      </c>
      <c r="Q476" s="296">
        <v>171282.12</v>
      </c>
      <c r="R476" s="297"/>
      <c r="S476" s="46"/>
    </row>
    <row r="477" spans="8:19">
      <c r="H477" s="34"/>
      <c r="I477" s="35"/>
      <c r="J477" s="36"/>
      <c r="M477" s="34"/>
      <c r="N477" s="423"/>
      <c r="O477" s="398">
        <v>45532</v>
      </c>
      <c r="P477" s="296">
        <v>118394.07</v>
      </c>
      <c r="Q477" s="296">
        <v>171184.18</v>
      </c>
      <c r="R477" s="297"/>
      <c r="S477" s="46"/>
    </row>
    <row r="478" spans="8:19">
      <c r="H478" s="34"/>
      <c r="I478" s="35"/>
      <c r="J478" s="36"/>
      <c r="M478" s="34"/>
      <c r="N478" s="423"/>
      <c r="O478" s="398">
        <v>45531</v>
      </c>
      <c r="P478" s="296">
        <v>118263.23</v>
      </c>
      <c r="Q478" s="296">
        <v>171099.13</v>
      </c>
      <c r="R478" s="297"/>
      <c r="S478" s="46"/>
    </row>
    <row r="479" spans="8:19">
      <c r="H479" s="34"/>
      <c r="I479" s="35"/>
      <c r="J479" s="36"/>
      <c r="M479" s="34"/>
      <c r="N479" s="423"/>
      <c r="O479" s="398">
        <v>45530</v>
      </c>
      <c r="P479" s="296">
        <v>118132.39</v>
      </c>
      <c r="Q479" s="296">
        <v>171031.72</v>
      </c>
      <c r="R479" s="297"/>
      <c r="S479" s="46"/>
    </row>
    <row r="480" spans="8:19">
      <c r="H480" s="34"/>
      <c r="I480" s="35"/>
      <c r="J480" s="36"/>
      <c r="M480" s="34"/>
      <c r="N480" s="423"/>
      <c r="O480" s="398">
        <v>45529</v>
      </c>
      <c r="P480" s="296">
        <v>118001.55</v>
      </c>
      <c r="Q480" s="296">
        <v>170964.31</v>
      </c>
      <c r="R480" s="297"/>
      <c r="S480" s="46"/>
    </row>
    <row r="481" spans="8:19">
      <c r="H481" s="34"/>
      <c r="I481" s="35"/>
      <c r="J481" s="36"/>
      <c r="M481" s="34"/>
      <c r="N481" s="423"/>
      <c r="O481" s="398">
        <v>45528</v>
      </c>
      <c r="P481" s="296">
        <v>118012.9</v>
      </c>
      <c r="Q481" s="296">
        <v>171039.09</v>
      </c>
      <c r="R481" s="297"/>
      <c r="S481" s="46"/>
    </row>
    <row r="482" spans="8:19">
      <c r="H482" s="34"/>
      <c r="I482" s="35"/>
      <c r="J482" s="36"/>
      <c r="M482" s="34"/>
      <c r="N482" s="423"/>
      <c r="O482" s="398">
        <v>45527</v>
      </c>
      <c r="P482" s="296">
        <v>117746.83</v>
      </c>
      <c r="Q482" s="296">
        <v>170836.45</v>
      </c>
      <c r="R482" s="297"/>
      <c r="S482" s="46"/>
    </row>
    <row r="483" spans="8:19">
      <c r="H483" s="34"/>
      <c r="I483" s="35"/>
      <c r="J483" s="36"/>
      <c r="M483" s="34"/>
      <c r="N483" s="423"/>
      <c r="O483" s="398">
        <v>45526</v>
      </c>
      <c r="P483" s="296">
        <v>117479.89</v>
      </c>
      <c r="Q483" s="296">
        <v>170632.95</v>
      </c>
      <c r="R483" s="297"/>
      <c r="S483" s="46"/>
    </row>
    <row r="484" spans="8:19">
      <c r="H484" s="34"/>
      <c r="I484" s="35"/>
      <c r="J484" s="36"/>
      <c r="M484" s="34"/>
      <c r="N484" s="423"/>
      <c r="O484" s="398">
        <v>45525</v>
      </c>
      <c r="P484" s="296">
        <v>117254.43</v>
      </c>
      <c r="Q484" s="296">
        <v>170470.92</v>
      </c>
      <c r="R484" s="297"/>
      <c r="S484" s="46"/>
    </row>
    <row r="485" spans="8:19">
      <c r="H485" s="34"/>
      <c r="I485" s="35"/>
      <c r="J485" s="36"/>
      <c r="M485" s="34"/>
      <c r="N485" s="423"/>
      <c r="O485" s="398">
        <v>45524</v>
      </c>
      <c r="P485" s="296">
        <v>117028.98</v>
      </c>
      <c r="Q485" s="296">
        <v>170308.9</v>
      </c>
      <c r="R485" s="297"/>
      <c r="S485" s="46"/>
    </row>
    <row r="486" spans="8:19">
      <c r="H486" s="34"/>
      <c r="I486" s="35"/>
      <c r="J486" s="36"/>
      <c r="M486" s="34"/>
      <c r="N486" s="423"/>
      <c r="O486" s="398">
        <v>45523</v>
      </c>
      <c r="P486" s="296">
        <v>116928.63</v>
      </c>
      <c r="Q486" s="296">
        <v>170271.99</v>
      </c>
      <c r="R486" s="297"/>
      <c r="S486" s="46"/>
    </row>
    <row r="487" spans="8:19">
      <c r="H487" s="34"/>
      <c r="I487" s="35"/>
      <c r="J487" s="36"/>
      <c r="M487" s="34"/>
      <c r="N487" s="423"/>
      <c r="O487" s="398">
        <v>45522</v>
      </c>
      <c r="P487" s="296">
        <v>116828.28</v>
      </c>
      <c r="Q487" s="296">
        <v>170235.07</v>
      </c>
      <c r="R487" s="297"/>
      <c r="S487" s="46"/>
    </row>
    <row r="488" spans="8:19">
      <c r="H488" s="34"/>
      <c r="I488" s="35"/>
      <c r="J488" s="36"/>
      <c r="M488" s="34"/>
      <c r="N488" s="423"/>
      <c r="O488" s="398">
        <v>45521</v>
      </c>
      <c r="P488" s="296">
        <v>116654.83</v>
      </c>
      <c r="Q488" s="296">
        <v>170125.05</v>
      </c>
      <c r="R488" s="297"/>
      <c r="S488" s="46"/>
    </row>
    <row r="489" spans="8:19">
      <c r="H489" s="34"/>
      <c r="I489" s="35"/>
      <c r="J489" s="36"/>
      <c r="M489" s="34"/>
      <c r="N489" s="423"/>
      <c r="O489" s="398">
        <v>45520</v>
      </c>
      <c r="P489" s="296">
        <v>116481.37</v>
      </c>
      <c r="Q489" s="296">
        <v>170015.03</v>
      </c>
      <c r="R489" s="297"/>
      <c r="S489" s="46"/>
    </row>
    <row r="490" spans="8:19">
      <c r="H490" s="34"/>
      <c r="I490" s="35"/>
      <c r="J490" s="36"/>
      <c r="M490" s="34"/>
      <c r="N490" s="423"/>
      <c r="O490" s="398">
        <v>45519</v>
      </c>
      <c r="P490" s="296">
        <v>116074.18</v>
      </c>
      <c r="Q490" s="296">
        <v>169671.27</v>
      </c>
      <c r="R490" s="297"/>
      <c r="S490" s="46"/>
    </row>
    <row r="491" spans="8:19">
      <c r="H491" s="34"/>
      <c r="I491" s="35"/>
      <c r="J491" s="36"/>
      <c r="M491" s="34"/>
      <c r="N491" s="423"/>
      <c r="O491" s="398">
        <v>45516</v>
      </c>
      <c r="P491" s="296">
        <v>115486.38</v>
      </c>
      <c r="Q491" s="296">
        <v>169095.63</v>
      </c>
      <c r="R491" s="297"/>
      <c r="S491" s="46"/>
    </row>
    <row r="492" spans="8:19">
      <c r="H492" s="34"/>
      <c r="I492" s="35"/>
      <c r="J492" s="36"/>
      <c r="M492" s="34"/>
      <c r="N492" s="423"/>
      <c r="O492" s="398">
        <v>45515</v>
      </c>
      <c r="P492" s="296">
        <v>115421.22</v>
      </c>
      <c r="Q492" s="296">
        <v>168915.77</v>
      </c>
      <c r="R492" s="297"/>
      <c r="S492" s="46"/>
    </row>
    <row r="493" spans="8:19">
      <c r="H493" s="34"/>
      <c r="I493" s="35"/>
      <c r="J493" s="36"/>
      <c r="M493" s="34"/>
      <c r="N493" s="423"/>
    </row>
    <row r="494" spans="8:19">
      <c r="H494" s="34"/>
      <c r="I494" s="35"/>
      <c r="J494" s="36"/>
      <c r="M494" s="34"/>
      <c r="N494" s="423"/>
    </row>
    <row r="495" spans="8:19">
      <c r="H495" s="34"/>
      <c r="I495" s="35"/>
      <c r="J495" s="36"/>
      <c r="M495" s="34"/>
      <c r="N495" s="423"/>
    </row>
    <row r="496" spans="8:19">
      <c r="H496" s="34"/>
      <c r="I496" s="35"/>
      <c r="J496" s="36"/>
      <c r="M496" s="34"/>
      <c r="N496" s="423"/>
    </row>
    <row r="497" spans="8:14">
      <c r="H497" s="34"/>
      <c r="I497" s="35"/>
      <c r="J497" s="36"/>
      <c r="M497" s="34"/>
      <c r="N497" s="423"/>
    </row>
    <row r="498" spans="8:14">
      <c r="H498" s="34"/>
      <c r="I498" s="35"/>
      <c r="J498" s="36"/>
      <c r="M498" s="34"/>
      <c r="N498" s="423"/>
    </row>
    <row r="499" spans="8:14">
      <c r="H499" s="34"/>
      <c r="I499" s="35"/>
      <c r="J499" s="36"/>
      <c r="M499" s="34"/>
      <c r="N499" s="423"/>
    </row>
    <row r="500" spans="8:14">
      <c r="H500" s="34"/>
      <c r="I500" s="35"/>
      <c r="J500" s="36"/>
      <c r="M500" s="34"/>
      <c r="N500" s="423"/>
    </row>
    <row r="501" spans="8:14">
      <c r="H501" s="34"/>
      <c r="I501" s="35"/>
      <c r="J501" s="36"/>
      <c r="M501" s="34"/>
      <c r="N501" s="423"/>
    </row>
    <row r="502" spans="8:14">
      <c r="H502" s="34"/>
      <c r="I502" s="35"/>
      <c r="J502" s="36"/>
      <c r="M502" s="34"/>
      <c r="N502" s="423"/>
    </row>
    <row r="503" spans="8:14">
      <c r="H503" s="34"/>
      <c r="I503" s="35"/>
      <c r="J503" s="36"/>
      <c r="M503" s="34"/>
      <c r="N503" s="423"/>
    </row>
    <row r="504" spans="8:14">
      <c r="H504" s="34"/>
      <c r="I504" s="35"/>
      <c r="J504" s="36"/>
      <c r="M504" s="34"/>
      <c r="N504" s="423"/>
    </row>
    <row r="505" spans="8:14">
      <c r="H505" s="34"/>
      <c r="I505" s="35"/>
      <c r="J505" s="36"/>
      <c r="M505" s="34"/>
      <c r="N505" s="423"/>
    </row>
    <row r="506" spans="8:14">
      <c r="H506" s="34"/>
      <c r="I506" s="35"/>
      <c r="J506" s="36"/>
      <c r="M506" s="34"/>
      <c r="N506" s="423"/>
    </row>
    <row r="507" spans="8:14">
      <c r="H507" s="34"/>
      <c r="I507" s="35"/>
      <c r="J507" s="36"/>
      <c r="M507" s="34"/>
      <c r="N507" s="423"/>
    </row>
    <row r="508" spans="8:14">
      <c r="H508" s="34"/>
      <c r="I508" s="35"/>
      <c r="J508" s="36"/>
      <c r="M508" s="34"/>
      <c r="N508" s="423"/>
    </row>
    <row r="509" spans="8:14">
      <c r="H509" s="34"/>
      <c r="I509" s="35"/>
      <c r="J509" s="36"/>
      <c r="M509" s="34"/>
      <c r="N509" s="423"/>
    </row>
    <row r="510" spans="8:14">
      <c r="H510" s="34"/>
      <c r="I510" s="35"/>
      <c r="J510" s="36"/>
      <c r="M510" s="34"/>
      <c r="N510" s="423"/>
    </row>
    <row r="511" spans="8:14">
      <c r="H511" s="34"/>
      <c r="I511" s="35"/>
      <c r="J511" s="36"/>
      <c r="M511" s="34"/>
      <c r="N511" s="423"/>
    </row>
    <row r="512" spans="8:14">
      <c r="H512" s="34"/>
      <c r="I512" s="35"/>
      <c r="J512" s="36"/>
      <c r="M512" s="34"/>
      <c r="N512" s="423"/>
    </row>
    <row r="513" spans="8:14">
      <c r="H513" s="34"/>
      <c r="I513" s="35"/>
      <c r="J513" s="36"/>
      <c r="M513" s="34"/>
      <c r="N513" s="423"/>
    </row>
    <row r="514" spans="8:14">
      <c r="H514" s="34"/>
      <c r="I514" s="35"/>
      <c r="J514" s="36"/>
      <c r="M514" s="34"/>
      <c r="N514" s="423"/>
    </row>
    <row r="515" spans="8:14">
      <c r="H515" s="34"/>
      <c r="I515" s="35"/>
      <c r="J515" s="36"/>
      <c r="M515" s="34"/>
      <c r="N515" s="423"/>
    </row>
    <row r="516" spans="8:14">
      <c r="H516" s="34"/>
      <c r="I516" s="35"/>
      <c r="J516" s="36"/>
      <c r="M516" s="34"/>
      <c r="N516" s="423"/>
    </row>
    <row r="517" spans="8:14">
      <c r="H517" s="34"/>
      <c r="I517" s="35"/>
      <c r="J517" s="36"/>
      <c r="M517" s="34"/>
      <c r="N517" s="423"/>
    </row>
    <row r="518" spans="8:14">
      <c r="H518" s="34"/>
      <c r="I518" s="35"/>
      <c r="J518" s="36"/>
      <c r="M518" s="34"/>
      <c r="N518" s="423"/>
    </row>
    <row r="519" spans="8:14">
      <c r="H519" s="34"/>
      <c r="I519" s="35"/>
      <c r="J519" s="36"/>
      <c r="M519" s="34"/>
      <c r="N519" s="423"/>
    </row>
    <row r="520" spans="8:14">
      <c r="H520" s="34"/>
      <c r="I520" s="35"/>
      <c r="J520" s="36"/>
      <c r="M520" s="34"/>
      <c r="N520" s="423"/>
    </row>
    <row r="521" spans="8:14">
      <c r="H521" s="34"/>
      <c r="I521" s="35"/>
      <c r="J521" s="36"/>
      <c r="M521" s="34"/>
      <c r="N521" s="423"/>
    </row>
    <row r="547" spans="15:15">
      <c r="O547" s="416"/>
    </row>
    <row r="548" spans="15:15">
      <c r="O548" s="416"/>
    </row>
    <row r="549" spans="15:15">
      <c r="O549" s="416"/>
    </row>
    <row r="550" spans="15:15">
      <c r="O550" s="416"/>
    </row>
    <row r="551" spans="15:15">
      <c r="O551" s="416"/>
    </row>
    <row r="552" spans="15:15">
      <c r="O552" s="416"/>
    </row>
    <row r="553" spans="15:15">
      <c r="O553" s="416"/>
    </row>
    <row r="554" spans="15:15">
      <c r="O554" s="416"/>
    </row>
    <row r="555" spans="15:15">
      <c r="O555" s="416"/>
    </row>
    <row r="556" spans="15:15">
      <c r="O556" s="416"/>
    </row>
  </sheetData>
  <mergeCells count="4">
    <mergeCell ref="B42:C42"/>
    <mergeCell ref="D42:E42"/>
    <mergeCell ref="A1:L1"/>
    <mergeCell ref="F42:G42"/>
  </mergeCells>
  <phoneticPr fontId="15" type="noConversion"/>
  <pageMargins left="0.7" right="0.7" top="0.75" bottom="0.75" header="0.3" footer="0.3"/>
  <pageSetup paperSize="9" scale="52" fitToHeight="0" orientation="landscape" horizontalDpi="300" r:id="rId1"/>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0D423-E046-4C63-966B-664E3E746223}">
  <sheetPr codeName="Feuil21"/>
  <dimension ref="A1:NC45"/>
  <sheetViews>
    <sheetView showGridLines="0" topLeftCell="A3" zoomScale="70" zoomScaleNormal="70" workbookViewId="0">
      <selection activeCell="A12" sqref="A12"/>
    </sheetView>
  </sheetViews>
  <sheetFormatPr baseColWidth="10" defaultRowHeight="24"/>
  <cols>
    <col min="6" max="6" width="12.5703125" customWidth="1"/>
  </cols>
  <sheetData>
    <row r="1" spans="1:367">
      <c r="A1" s="1233" t="s">
        <v>3737</v>
      </c>
      <c r="B1" s="1233"/>
      <c r="C1" s="1233"/>
      <c r="D1" s="1233"/>
      <c r="E1" s="1233"/>
      <c r="F1" s="1233"/>
      <c r="G1" s="1233"/>
      <c r="H1" s="1233"/>
    </row>
    <row r="2" spans="1:367">
      <c r="A2" s="1233"/>
      <c r="B2" s="1234"/>
      <c r="C2" s="1233"/>
      <c r="D2" s="1233"/>
      <c r="E2" s="1233"/>
      <c r="F2" s="1233"/>
      <c r="G2" s="1233"/>
      <c r="H2" s="1233"/>
      <c r="AC2" s="480"/>
      <c r="AD2" s="479"/>
      <c r="BH2" s="480"/>
      <c r="BI2" s="479"/>
      <c r="CL2" s="480"/>
      <c r="CM2" s="479"/>
      <c r="DQ2" s="480"/>
      <c r="DR2" s="479"/>
      <c r="EU2" s="480"/>
      <c r="EV2" s="479"/>
      <c r="FZ2" s="480"/>
      <c r="GA2" s="479"/>
      <c r="HE2" s="480"/>
      <c r="HF2" s="479"/>
      <c r="II2" s="480"/>
      <c r="IJ2" s="479"/>
      <c r="JN2" s="480"/>
      <c r="JO2" s="479"/>
      <c r="KR2" s="480"/>
      <c r="KS2" s="479"/>
      <c r="LW2" s="480"/>
      <c r="NC2" s="480"/>
    </row>
    <row r="3" spans="1:367" ht="32.4">
      <c r="A3" s="710" t="s">
        <v>3349</v>
      </c>
      <c r="B3" s="982"/>
      <c r="C3" s="34"/>
      <c r="D3" s="983"/>
      <c r="E3" s="596"/>
      <c r="F3" s="596"/>
      <c r="J3" s="481"/>
      <c r="Q3" s="481"/>
      <c r="X3" s="481"/>
      <c r="AC3" s="480"/>
      <c r="AD3" s="479"/>
      <c r="AE3" s="481"/>
      <c r="AL3" s="481"/>
      <c r="AS3" s="481"/>
      <c r="AZ3" s="481"/>
      <c r="BG3" s="481"/>
      <c r="BH3" s="480"/>
      <c r="BI3" s="479"/>
      <c r="BN3" s="481"/>
      <c r="BU3" s="481"/>
      <c r="CB3" s="481"/>
      <c r="CI3" s="481"/>
      <c r="CL3" s="480"/>
      <c r="CM3" s="479"/>
      <c r="CP3" s="481"/>
      <c r="CW3" s="481"/>
      <c r="DD3" s="481"/>
      <c r="DK3" s="481"/>
      <c r="DQ3" s="480"/>
      <c r="DR3" s="479"/>
      <c r="DY3" s="481"/>
      <c r="EF3" s="481"/>
      <c r="EM3" s="481"/>
      <c r="ET3" s="481"/>
      <c r="EU3" s="480"/>
      <c r="EV3" s="479"/>
      <c r="FA3" s="481"/>
      <c r="FH3" s="481"/>
      <c r="FO3" s="481"/>
      <c r="FV3" s="481"/>
      <c r="FZ3" s="480"/>
      <c r="GA3" s="479"/>
      <c r="GC3" s="481"/>
      <c r="GJ3" s="481"/>
      <c r="GQ3" s="481"/>
      <c r="GX3" s="481"/>
      <c r="HE3" s="612"/>
      <c r="HF3" s="479"/>
      <c r="HL3" s="481"/>
      <c r="HS3" s="481"/>
      <c r="HZ3" s="481"/>
      <c r="IG3" s="481"/>
      <c r="II3" s="480"/>
      <c r="IJ3" s="479"/>
      <c r="IN3" s="481"/>
      <c r="IU3" s="481"/>
      <c r="JB3" s="481"/>
      <c r="JI3" s="481"/>
      <c r="JN3" s="480"/>
      <c r="JO3" s="479"/>
      <c r="JP3" s="481"/>
      <c r="JW3" s="481"/>
      <c r="KD3" s="481"/>
      <c r="KK3" s="481"/>
      <c r="KR3" s="612"/>
      <c r="KS3" s="479"/>
      <c r="KY3" s="481"/>
      <c r="LF3" s="481"/>
      <c r="LM3" s="481"/>
      <c r="LT3" s="481"/>
      <c r="LW3" s="480"/>
      <c r="MA3" s="481"/>
      <c r="MH3" s="481"/>
      <c r="MO3" s="481"/>
      <c r="MV3" s="481"/>
      <c r="NC3" s="480"/>
    </row>
    <row r="4" spans="1:367">
      <c r="A4" s="984" t="s">
        <v>3348</v>
      </c>
      <c r="B4" s="985" t="s">
        <v>22</v>
      </c>
      <c r="C4" s="986" t="s">
        <v>23</v>
      </c>
      <c r="D4" s="987" t="s">
        <v>3573</v>
      </c>
      <c r="E4" s="988" t="s">
        <v>3594</v>
      </c>
      <c r="F4" s="988" t="s">
        <v>3733</v>
      </c>
      <c r="J4" s="481"/>
      <c r="Q4" s="481"/>
      <c r="X4" s="481"/>
      <c r="AC4" s="480"/>
      <c r="AD4" s="479"/>
      <c r="AE4" s="481"/>
      <c r="AL4" s="481"/>
      <c r="AS4" s="481"/>
      <c r="AZ4" s="481"/>
      <c r="BG4" s="481"/>
      <c r="BH4" s="480"/>
      <c r="BI4" s="479"/>
      <c r="BN4" s="481"/>
      <c r="BU4" s="481"/>
      <c r="CB4" s="481"/>
      <c r="CI4" s="481"/>
      <c r="CL4" s="480"/>
      <c r="CM4" s="479"/>
      <c r="CP4" s="481"/>
      <c r="CW4" s="481"/>
      <c r="DD4" s="481"/>
      <c r="DK4" s="481"/>
      <c r="DQ4" s="480"/>
      <c r="DR4" s="479"/>
      <c r="DY4" s="481"/>
      <c r="EF4" s="481"/>
      <c r="EM4" s="481"/>
      <c r="ET4" s="481"/>
      <c r="EU4" s="480"/>
      <c r="EV4" s="479"/>
      <c r="FA4" s="481"/>
      <c r="FH4" s="481"/>
      <c r="FO4" s="481"/>
      <c r="FV4" s="481"/>
      <c r="FZ4" s="480"/>
      <c r="GA4" s="479"/>
      <c r="GC4" s="481"/>
      <c r="GJ4" s="481"/>
      <c r="GQ4" s="481"/>
      <c r="GX4" s="481"/>
      <c r="HE4" s="612"/>
      <c r="HF4" s="479"/>
      <c r="HL4" s="481"/>
      <c r="HS4" s="481"/>
      <c r="HZ4" s="481"/>
      <c r="IG4" s="481"/>
      <c r="II4" s="480"/>
      <c r="IJ4" s="479"/>
      <c r="IN4" s="481"/>
      <c r="IU4" s="481"/>
      <c r="JB4" s="481"/>
      <c r="JI4" s="481"/>
      <c r="JN4" s="480"/>
      <c r="JO4" s="479"/>
      <c r="JP4" s="481"/>
      <c r="JW4" s="481"/>
      <c r="KD4" s="481"/>
      <c r="KK4" s="481"/>
      <c r="KR4" s="612"/>
      <c r="KS4" s="479"/>
      <c r="KY4" s="481"/>
      <c r="LF4" s="481"/>
      <c r="LM4" s="481"/>
      <c r="LT4" s="481"/>
      <c r="LW4" s="480"/>
      <c r="MA4" s="481"/>
      <c r="MH4" s="481"/>
      <c r="MO4" s="481"/>
      <c r="MV4" s="481"/>
      <c r="NC4" s="480"/>
    </row>
    <row r="5" spans="1:367" ht="32.4">
      <c r="A5" s="704">
        <v>2024</v>
      </c>
      <c r="B5" s="989">
        <v>0.77357211257003666</v>
      </c>
      <c r="C5" s="990">
        <v>0.57974245638500044</v>
      </c>
      <c r="D5" s="991"/>
      <c r="E5" s="992"/>
      <c r="F5" s="992"/>
      <c r="J5" s="481"/>
      <c r="Q5" s="481"/>
      <c r="X5" s="481"/>
      <c r="AC5" s="480"/>
      <c r="AD5" s="479"/>
      <c r="AE5" s="481"/>
      <c r="AL5" s="481"/>
      <c r="AS5" s="481"/>
      <c r="AZ5" s="481"/>
      <c r="BG5" s="481"/>
      <c r="BH5" s="480"/>
      <c r="BI5" s="479"/>
      <c r="BN5" s="481"/>
      <c r="BU5" s="481"/>
      <c r="CB5" s="481"/>
      <c r="CI5" s="481"/>
      <c r="CL5" s="480"/>
      <c r="CM5" s="479"/>
      <c r="CP5" s="481"/>
      <c r="CW5" s="481"/>
      <c r="DD5" s="481"/>
      <c r="DK5" s="481"/>
      <c r="DQ5" s="480"/>
      <c r="DR5" s="479"/>
      <c r="DY5" s="481"/>
      <c r="EF5" s="481"/>
      <c r="EM5" s="481"/>
      <c r="ET5" s="481"/>
      <c r="EU5" s="480"/>
      <c r="EV5" s="479"/>
      <c r="FA5" s="481"/>
      <c r="FH5" s="481"/>
      <c r="FO5" s="481"/>
      <c r="FV5" s="481"/>
      <c r="FZ5" s="480"/>
      <c r="GA5" s="479"/>
      <c r="GC5" s="481"/>
      <c r="GJ5" s="481"/>
      <c r="GQ5" s="481"/>
      <c r="GX5" s="481"/>
      <c r="HE5" s="612"/>
      <c r="HF5" s="479"/>
      <c r="HL5" s="481"/>
      <c r="HS5" s="481"/>
      <c r="HZ5" s="481"/>
      <c r="IG5" s="481"/>
      <c r="II5" s="480"/>
      <c r="IJ5" s="479"/>
      <c r="IN5" s="481"/>
      <c r="IU5" s="481"/>
      <c r="JB5" s="481"/>
      <c r="JI5" s="481"/>
      <c r="JN5" s="480"/>
      <c r="JO5" s="479"/>
      <c r="JP5" s="481"/>
      <c r="JW5" s="481"/>
      <c r="KD5" s="481"/>
      <c r="KK5" s="481"/>
      <c r="KR5" s="612"/>
      <c r="KS5" s="479"/>
      <c r="KY5" s="481"/>
      <c r="LF5" s="481"/>
      <c r="LM5" s="481"/>
      <c r="LT5" s="481"/>
      <c r="LW5" s="480"/>
      <c r="MA5" s="481"/>
      <c r="MH5" s="481"/>
      <c r="MO5" s="481"/>
      <c r="MV5" s="481"/>
      <c r="NC5" s="480"/>
    </row>
    <row r="6" spans="1:367" ht="32.4">
      <c r="A6" s="704">
        <v>2025</v>
      </c>
      <c r="B6" s="989">
        <v>0.64007171865298718</v>
      </c>
      <c r="C6" s="990">
        <v>0.58389959289799731</v>
      </c>
      <c r="D6" s="991">
        <v>0.73382352941176465</v>
      </c>
      <c r="E6" s="992">
        <v>0.53888888888888886</v>
      </c>
      <c r="F6" s="992"/>
      <c r="J6" s="481"/>
      <c r="Q6" s="481"/>
      <c r="X6" s="481"/>
      <c r="AC6" s="480"/>
      <c r="AD6" s="479"/>
      <c r="AE6" s="481"/>
      <c r="AL6" s="481"/>
      <c r="AS6" s="481"/>
      <c r="AZ6" s="481"/>
      <c r="BG6" s="481"/>
      <c r="BH6" s="480"/>
      <c r="BI6" s="479"/>
      <c r="BN6" s="481"/>
      <c r="BU6" s="481"/>
      <c r="CB6" s="481"/>
      <c r="CI6" s="481"/>
      <c r="CL6" s="480"/>
      <c r="CM6" s="479"/>
      <c r="CP6" s="481"/>
      <c r="CW6" s="481"/>
      <c r="DD6" s="481"/>
      <c r="DK6" s="481"/>
      <c r="DQ6" s="480"/>
      <c r="DR6" s="479"/>
      <c r="DY6" s="481"/>
      <c r="EF6" s="481"/>
      <c r="EM6" s="481"/>
      <c r="ET6" s="481"/>
      <c r="EU6" s="480"/>
      <c r="EV6" s="479"/>
      <c r="FA6" s="481"/>
      <c r="FH6" s="481"/>
      <c r="FO6" s="481"/>
      <c r="FV6" s="481"/>
      <c r="FZ6" s="480"/>
      <c r="GA6" s="479"/>
      <c r="GC6" s="481"/>
      <c r="GJ6" s="481"/>
      <c r="GQ6" s="481"/>
      <c r="GX6" s="481"/>
      <c r="HE6" s="612"/>
      <c r="HF6" s="479"/>
      <c r="HL6" s="481"/>
      <c r="HS6" s="481"/>
      <c r="HZ6" s="481"/>
      <c r="IG6" s="481"/>
      <c r="II6" s="480"/>
      <c r="IJ6" s="479"/>
      <c r="IN6" s="481"/>
      <c r="IU6" s="481"/>
      <c r="JB6" s="481"/>
      <c r="JI6" s="481"/>
      <c r="JN6" s="480"/>
      <c r="JO6" s="479"/>
      <c r="JP6" s="481"/>
      <c r="JW6" s="481"/>
      <c r="KD6" s="481"/>
      <c r="KK6" s="481"/>
      <c r="KR6" s="612"/>
      <c r="KS6" s="479"/>
      <c r="KY6" s="481"/>
      <c r="LF6" s="481"/>
      <c r="LM6" s="481"/>
      <c r="LT6" s="481"/>
      <c r="LW6" s="480"/>
      <c r="MA6" s="481"/>
      <c r="MH6" s="481"/>
      <c r="MO6" s="481"/>
      <c r="MV6" s="481"/>
      <c r="NC6" s="480"/>
    </row>
    <row r="7" spans="1:367" ht="32.4">
      <c r="A7" s="704">
        <v>2026</v>
      </c>
      <c r="B7" s="989">
        <v>0.63260088048138108</v>
      </c>
      <c r="C7" s="990">
        <v>0.59453359438624476</v>
      </c>
      <c r="D7" s="991"/>
      <c r="E7" s="992"/>
      <c r="F7" s="992">
        <v>1</v>
      </c>
      <c r="J7" s="481"/>
      <c r="Q7" s="481"/>
      <c r="X7" s="481"/>
      <c r="AC7" s="480"/>
      <c r="AD7" s="479"/>
      <c r="AE7" s="481"/>
      <c r="AL7" s="481"/>
      <c r="AS7" s="481"/>
      <c r="AZ7" s="481"/>
      <c r="BG7" s="481"/>
      <c r="BH7" s="480"/>
      <c r="BI7" s="479"/>
      <c r="BN7" s="481"/>
      <c r="BU7" s="481"/>
      <c r="CB7" s="481"/>
      <c r="CI7" s="481"/>
      <c r="CL7" s="480"/>
      <c r="CM7" s="479"/>
      <c r="CP7" s="481"/>
      <c r="CW7" s="481"/>
      <c r="DD7" s="481"/>
      <c r="DK7" s="481"/>
      <c r="DQ7" s="480"/>
      <c r="DR7" s="479"/>
      <c r="DY7" s="481"/>
      <c r="EF7" s="481"/>
      <c r="EM7" s="481"/>
      <c r="ET7" s="481"/>
      <c r="EU7" s="480"/>
      <c r="EV7" s="479"/>
      <c r="FA7" s="481"/>
      <c r="FH7" s="481"/>
      <c r="FO7" s="481"/>
      <c r="FV7" s="481"/>
      <c r="FZ7" s="480"/>
      <c r="GA7" s="479"/>
      <c r="GC7" s="481"/>
      <c r="GJ7" s="481"/>
      <c r="GQ7" s="481"/>
      <c r="GX7" s="481"/>
      <c r="HE7" s="612"/>
      <c r="HF7" s="479"/>
      <c r="HL7" s="481"/>
      <c r="HS7" s="481"/>
      <c r="HZ7" s="481"/>
      <c r="IG7" s="481"/>
      <c r="II7" s="480"/>
      <c r="IJ7" s="479"/>
      <c r="IN7" s="481"/>
      <c r="IU7" s="481"/>
      <c r="JB7" s="481"/>
      <c r="JI7" s="481"/>
      <c r="JN7" s="480"/>
      <c r="JO7" s="479"/>
      <c r="JP7" s="481"/>
      <c r="JW7" s="481"/>
      <c r="KD7" s="481"/>
      <c r="KK7" s="481"/>
      <c r="KR7" s="612"/>
      <c r="KS7" s="479"/>
      <c r="KY7" s="481"/>
      <c r="LF7" s="481"/>
      <c r="LM7" s="481"/>
      <c r="LT7" s="481"/>
      <c r="LW7" s="480"/>
      <c r="MA7" s="481"/>
      <c r="MH7" s="481"/>
      <c r="MO7" s="481"/>
      <c r="MV7" s="481"/>
      <c r="NC7" s="480"/>
    </row>
    <row r="8" spans="1:367" ht="32.4">
      <c r="A8" s="704">
        <v>2027</v>
      </c>
      <c r="B8" s="993"/>
      <c r="C8" s="990"/>
      <c r="D8" s="991"/>
      <c r="E8" s="992"/>
      <c r="F8" s="992"/>
    </row>
    <row r="9" spans="1:367" ht="32.4">
      <c r="A9" s="704">
        <v>2028</v>
      </c>
      <c r="B9" s="993"/>
      <c r="C9" s="990"/>
      <c r="D9" s="991"/>
      <c r="E9" s="992"/>
      <c r="F9" s="992"/>
    </row>
    <row r="10" spans="1:367" ht="32.4">
      <c r="A10" s="704">
        <v>2029</v>
      </c>
      <c r="B10" s="993"/>
      <c r="C10" s="990"/>
      <c r="D10" s="991"/>
      <c r="E10" s="992"/>
      <c r="F10" s="992"/>
    </row>
    <row r="11" spans="1:367" ht="32.4">
      <c r="A11" s="704">
        <v>2030</v>
      </c>
      <c r="B11" s="993"/>
      <c r="C11" s="990"/>
      <c r="D11" s="991"/>
      <c r="E11" s="992"/>
      <c r="F11" s="992"/>
    </row>
    <row r="12" spans="1:367" ht="32.4">
      <c r="A12" s="704"/>
      <c r="B12" s="828"/>
      <c r="C12" s="828"/>
      <c r="D12" s="828"/>
      <c r="E12" s="828"/>
      <c r="F12" s="828"/>
    </row>
    <row r="15" spans="1:367" ht="32.4">
      <c r="A15" s="704" t="s">
        <v>1075</v>
      </c>
      <c r="B15" s="39"/>
      <c r="C15" s="40"/>
      <c r="D15" s="407" t="s">
        <v>1121</v>
      </c>
      <c r="E15" s="408">
        <f>SUM(B22:J22)</f>
        <v>-732159.07999999984</v>
      </c>
      <c r="F15" s="38"/>
      <c r="G15" s="423"/>
      <c r="H15" s="416"/>
      <c r="I15" s="34"/>
      <c r="J15" s="34"/>
    </row>
    <row r="16" spans="1:367">
      <c r="A16" s="89" t="s">
        <v>893</v>
      </c>
      <c r="B16" s="760" t="s">
        <v>44</v>
      </c>
      <c r="C16" s="761" t="s">
        <v>46</v>
      </c>
      <c r="D16" s="762" t="s">
        <v>48</v>
      </c>
      <c r="E16" s="763" t="s">
        <v>3103</v>
      </c>
      <c r="F16" s="764" t="s">
        <v>1603</v>
      </c>
      <c r="G16" s="765" t="s">
        <v>1604</v>
      </c>
      <c r="H16" s="765" t="s">
        <v>1701</v>
      </c>
      <c r="I16" s="764" t="s">
        <v>1605</v>
      </c>
      <c r="J16" s="764" t="s">
        <v>1606</v>
      </c>
    </row>
    <row r="17" spans="1:10">
      <c r="A17" s="766" t="s">
        <v>8</v>
      </c>
      <c r="B17" s="767">
        <v>-744910.57</v>
      </c>
      <c r="C17" s="768">
        <v>71971</v>
      </c>
      <c r="D17" s="768">
        <v>56010</v>
      </c>
      <c r="E17" s="769">
        <v>54000</v>
      </c>
      <c r="F17" s="769"/>
      <c r="G17" s="769"/>
      <c r="H17" s="769"/>
      <c r="I17" s="769"/>
      <c r="J17" s="769"/>
    </row>
    <row r="18" spans="1:10">
      <c r="A18" s="770" t="s">
        <v>10</v>
      </c>
      <c r="B18" s="767">
        <v>-372455.29</v>
      </c>
      <c r="C18" s="768">
        <v>47981</v>
      </c>
      <c r="D18" s="768">
        <v>37340</v>
      </c>
      <c r="E18" s="769">
        <v>35000</v>
      </c>
      <c r="F18" s="769"/>
      <c r="G18" s="769"/>
      <c r="H18" s="769"/>
      <c r="I18" s="769"/>
      <c r="J18" s="769"/>
    </row>
    <row r="19" spans="1:10">
      <c r="A19" s="766" t="s">
        <v>13</v>
      </c>
      <c r="B19" s="767">
        <v>0</v>
      </c>
      <c r="C19" s="768">
        <v>11000</v>
      </c>
      <c r="D19" s="768">
        <v>4500</v>
      </c>
      <c r="E19" s="769">
        <v>0</v>
      </c>
      <c r="F19" s="769"/>
      <c r="G19" s="769"/>
      <c r="H19" s="769"/>
      <c r="I19" s="769"/>
      <c r="J19" s="769"/>
    </row>
    <row r="20" spans="1:10">
      <c r="A20" s="770" t="s">
        <v>15</v>
      </c>
      <c r="B20" s="767">
        <v>14069.18</v>
      </c>
      <c r="C20" s="768">
        <v>8343</v>
      </c>
      <c r="D20" s="768">
        <v>12000</v>
      </c>
      <c r="E20" s="769">
        <v>8000</v>
      </c>
      <c r="F20" s="769"/>
      <c r="G20" s="769"/>
      <c r="H20" s="769"/>
      <c r="I20" s="769"/>
      <c r="J20" s="769"/>
    </row>
    <row r="21" spans="1:10">
      <c r="A21" s="766" t="s">
        <v>18</v>
      </c>
      <c r="B21" s="767">
        <v>10843.6</v>
      </c>
      <c r="C21" s="768">
        <v>14149</v>
      </c>
      <c r="D21" s="768">
        <v>0</v>
      </c>
      <c r="E21" s="769">
        <v>0</v>
      </c>
      <c r="F21" s="769">
        <v>0</v>
      </c>
      <c r="G21" s="769">
        <v>0</v>
      </c>
      <c r="H21" s="769">
        <v>0</v>
      </c>
      <c r="I21" s="769">
        <v>0</v>
      </c>
      <c r="J21" s="769">
        <v>0</v>
      </c>
    </row>
    <row r="22" spans="1:10" ht="24.6" thickBot="1">
      <c r="A22" s="771"/>
      <c r="B22" s="772">
        <f t="shared" ref="B22:I22" si="0">SUBTOTAL(109,B17:B21)</f>
        <v>-1092453.0799999998</v>
      </c>
      <c r="C22" s="773">
        <f t="shared" si="0"/>
        <v>153444</v>
      </c>
      <c r="D22" s="773">
        <f t="shared" si="0"/>
        <v>109850</v>
      </c>
      <c r="E22" s="773">
        <f t="shared" si="0"/>
        <v>97000</v>
      </c>
      <c r="F22" s="773">
        <f t="shared" si="0"/>
        <v>0</v>
      </c>
      <c r="G22" s="773">
        <f t="shared" si="0"/>
        <v>0</v>
      </c>
      <c r="H22" s="773">
        <f t="shared" si="0"/>
        <v>0</v>
      </c>
      <c r="I22" s="773">
        <f t="shared" si="0"/>
        <v>0</v>
      </c>
      <c r="J22" s="774"/>
    </row>
    <row r="23" spans="1:10">
      <c r="A23" s="775" t="s">
        <v>40</v>
      </c>
      <c r="B23" s="776"/>
      <c r="C23" s="777">
        <f>+C22+B22</f>
        <v>-939009.07999999984</v>
      </c>
      <c r="D23" s="776">
        <f>+D22+FreeCashFlow15[[#Totals],[2024]]</f>
        <v>-829159.07999999984</v>
      </c>
      <c r="E23" s="776">
        <f>+E22+FreeCashFlow15[[#Totals],[2025]]</f>
        <v>-732159.07999999984</v>
      </c>
      <c r="F23" s="778"/>
      <c r="G23" s="778"/>
      <c r="H23" s="778"/>
      <c r="I23" s="778"/>
      <c r="J23" s="779"/>
    </row>
    <row r="25" spans="1:10" ht="32.4">
      <c r="A25" s="708" t="s">
        <v>3556</v>
      </c>
      <c r="B25" s="38"/>
      <c r="C25" s="38"/>
      <c r="D25" s="422"/>
    </row>
    <row r="26" spans="1:10">
      <c r="A26" s="584" t="s">
        <v>880</v>
      </c>
      <c r="B26" s="584" t="s">
        <v>65</v>
      </c>
      <c r="C26" s="585" t="s">
        <v>3557</v>
      </c>
      <c r="D26" s="780" t="s">
        <v>807</v>
      </c>
    </row>
    <row r="27" spans="1:10">
      <c r="A27" s="781">
        <v>46083</v>
      </c>
      <c r="B27" s="782" t="s">
        <v>23</v>
      </c>
      <c r="C27" s="783">
        <v>1131.24</v>
      </c>
      <c r="D27" s="784">
        <v>1131.24</v>
      </c>
    </row>
    <row r="28" spans="1:10">
      <c r="A28" s="781">
        <v>46083</v>
      </c>
      <c r="B28" s="782" t="s">
        <v>23</v>
      </c>
      <c r="C28" s="783">
        <v>433.55</v>
      </c>
      <c r="D28" s="784">
        <v>1564.79</v>
      </c>
    </row>
    <row r="29" spans="1:10">
      <c r="A29" s="781">
        <v>46083</v>
      </c>
      <c r="B29" s="782" t="s">
        <v>88</v>
      </c>
      <c r="C29" s="783">
        <v>203.18</v>
      </c>
      <c r="D29" s="784">
        <v>1767.97</v>
      </c>
    </row>
    <row r="30" spans="1:10">
      <c r="A30" s="781">
        <v>46083</v>
      </c>
      <c r="B30" s="782" t="s">
        <v>88</v>
      </c>
      <c r="C30" s="783">
        <v>1247.82</v>
      </c>
      <c r="D30" s="784">
        <v>3015.79</v>
      </c>
    </row>
    <row r="31" spans="1:10">
      <c r="A31" s="781">
        <v>46087</v>
      </c>
      <c r="B31" s="782" t="s">
        <v>88</v>
      </c>
      <c r="C31" s="783">
        <v>508.87</v>
      </c>
      <c r="D31" s="784">
        <v>3524.66</v>
      </c>
    </row>
    <row r="32" spans="1:10">
      <c r="A32" s="781">
        <v>46091</v>
      </c>
      <c r="B32" s="782" t="s">
        <v>88</v>
      </c>
      <c r="C32" s="783">
        <v>1164.6199999999999</v>
      </c>
      <c r="D32" s="784">
        <v>4689.28</v>
      </c>
    </row>
    <row r="33" spans="1:4">
      <c r="A33" s="781">
        <v>46093</v>
      </c>
      <c r="B33" s="782" t="s">
        <v>88</v>
      </c>
      <c r="C33" s="783">
        <v>576.54</v>
      </c>
      <c r="D33" s="784">
        <v>5265.82</v>
      </c>
    </row>
    <row r="34" spans="1:4">
      <c r="A34" s="781">
        <v>46097</v>
      </c>
      <c r="B34" s="782" t="s">
        <v>88</v>
      </c>
      <c r="C34" s="783">
        <v>447.35</v>
      </c>
      <c r="D34" s="784">
        <v>5713.17</v>
      </c>
    </row>
    <row r="35" spans="1:4">
      <c r="A35" s="781">
        <v>46100</v>
      </c>
      <c r="B35" s="782" t="s">
        <v>23</v>
      </c>
      <c r="C35" s="783">
        <v>328.88</v>
      </c>
      <c r="D35" s="784">
        <v>6042.05</v>
      </c>
    </row>
    <row r="36" spans="1:4">
      <c r="A36" s="781">
        <v>46100</v>
      </c>
      <c r="B36" s="782" t="s">
        <v>88</v>
      </c>
      <c r="C36" s="783">
        <v>1249.49</v>
      </c>
      <c r="D36" s="784">
        <v>7291.54</v>
      </c>
    </row>
    <row r="37" spans="1:4">
      <c r="A37" s="781">
        <v>46101</v>
      </c>
      <c r="B37" s="782" t="s">
        <v>88</v>
      </c>
      <c r="C37" s="783">
        <v>427.84</v>
      </c>
      <c r="D37" s="784">
        <v>7719.38</v>
      </c>
    </row>
    <row r="38" spans="1:4">
      <c r="A38" s="781">
        <v>46106</v>
      </c>
      <c r="B38" s="782" t="s">
        <v>23</v>
      </c>
      <c r="C38" s="783">
        <v>440.98</v>
      </c>
      <c r="D38" s="784">
        <v>8160.36</v>
      </c>
    </row>
    <row r="39" spans="1:4">
      <c r="A39" s="781">
        <v>46111</v>
      </c>
      <c r="B39" s="782" t="s">
        <v>88</v>
      </c>
      <c r="C39" s="783">
        <v>1847.98</v>
      </c>
      <c r="D39" s="784">
        <v>10008.34</v>
      </c>
    </row>
    <row r="40" spans="1:4">
      <c r="A40" s="781">
        <v>46113</v>
      </c>
      <c r="B40" s="782" t="s">
        <v>23</v>
      </c>
      <c r="C40" s="783">
        <v>444</v>
      </c>
      <c r="D40" s="784">
        <v>10452.34</v>
      </c>
    </row>
    <row r="41" spans="1:4">
      <c r="A41" s="781">
        <v>46115</v>
      </c>
      <c r="B41" s="782" t="s">
        <v>88</v>
      </c>
      <c r="C41" s="783">
        <v>791.93</v>
      </c>
      <c r="D41" s="784">
        <v>11244.27</v>
      </c>
    </row>
    <row r="42" spans="1:4">
      <c r="A42" s="781">
        <v>46125</v>
      </c>
      <c r="B42" s="782" t="s">
        <v>23</v>
      </c>
      <c r="C42" s="783">
        <v>1425.07</v>
      </c>
      <c r="D42" s="784">
        <v>12669.34</v>
      </c>
    </row>
    <row r="43" spans="1:4">
      <c r="A43" s="781">
        <v>46121</v>
      </c>
      <c r="B43" s="782" t="s">
        <v>88</v>
      </c>
      <c r="C43" s="783">
        <v>563.29</v>
      </c>
      <c r="D43" s="784">
        <v>13232.63</v>
      </c>
    </row>
    <row r="44" spans="1:4">
      <c r="A44" s="781">
        <v>46127</v>
      </c>
      <c r="B44" s="782" t="s">
        <v>23</v>
      </c>
      <c r="C44" s="783">
        <v>1084.0899999999999</v>
      </c>
      <c r="D44" s="784">
        <v>14316.72</v>
      </c>
    </row>
    <row r="45" spans="1:4">
      <c r="A45" s="781">
        <v>46127</v>
      </c>
      <c r="B45" s="782" t="s">
        <v>88</v>
      </c>
      <c r="C45" s="783">
        <v>557.05999999999995</v>
      </c>
      <c r="D45" s="784">
        <v>14873.78</v>
      </c>
    </row>
  </sheetData>
  <mergeCells count="1">
    <mergeCell ref="A1:H2"/>
  </mergeCells>
  <pageMargins left="0.7" right="0.7" top="0.75" bottom="0.75" header="0.3" footer="0.3"/>
  <legacyDrawing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91E58-4BE4-4B4F-AEA1-58138154AB9D}">
  <sheetPr codeName="Feuil16"/>
  <dimension ref="A1:NC48"/>
  <sheetViews>
    <sheetView showGridLines="0" topLeftCell="A32" zoomScale="70" zoomScaleNormal="70" workbookViewId="0">
      <selection activeCell="F3" sqref="F3:I3"/>
    </sheetView>
  </sheetViews>
  <sheetFormatPr baseColWidth="10" defaultColWidth="10.78515625" defaultRowHeight="24"/>
  <cols>
    <col min="1" max="1" width="10.78515625" style="377"/>
    <col min="2" max="2" width="11.42578125" style="373" customWidth="1"/>
    <col min="3" max="3" width="10.78515625" style="374"/>
    <col min="4" max="4" width="10.78515625" style="373"/>
    <col min="5" max="5" width="1.7109375" style="373" customWidth="1"/>
    <col min="6" max="6" width="12" style="373" customWidth="1"/>
    <col min="7" max="7" width="10.78515625" style="374"/>
    <col min="8" max="8" width="10.78515625" style="373"/>
    <col min="9" max="9" width="8.42578125" style="376" customWidth="1"/>
    <col min="10" max="16384" width="10.78515625" style="377"/>
  </cols>
  <sheetData>
    <row r="1" spans="1:367" ht="66.599999999999994" customHeight="1">
      <c r="A1" s="1243" t="s">
        <v>3976</v>
      </c>
      <c r="B1" s="1243"/>
      <c r="C1" s="1243"/>
      <c r="D1" s="1243"/>
      <c r="E1" s="1244"/>
      <c r="F1" s="1243"/>
      <c r="G1" s="1243"/>
      <c r="H1" s="1245"/>
      <c r="I1" s="1245"/>
    </row>
    <row r="2" spans="1:367" s="342" customFormat="1">
      <c r="A2" s="1251">
        <v>2024</v>
      </c>
      <c r="B2" s="1249" t="s">
        <v>1144</v>
      </c>
      <c r="C2" s="1247"/>
      <c r="D2" s="1250"/>
      <c r="E2" s="343"/>
      <c r="F2" s="1246" t="s">
        <v>23</v>
      </c>
      <c r="G2" s="1247"/>
      <c r="H2" s="1247"/>
      <c r="I2" s="1248"/>
      <c r="AC2" s="994"/>
      <c r="AD2" s="995"/>
      <c r="AE2" s="994"/>
      <c r="AF2" s="996"/>
      <c r="AG2" s="995"/>
      <c r="BH2" s="994"/>
      <c r="BI2" s="995"/>
      <c r="BJ2" s="994"/>
      <c r="BK2" s="996"/>
      <c r="BL2" s="995"/>
      <c r="CL2" s="994"/>
      <c r="CM2" s="996"/>
      <c r="CN2" s="996"/>
      <c r="CO2" s="996"/>
      <c r="CP2" s="995"/>
      <c r="DQ2" s="994"/>
      <c r="DR2" s="996"/>
      <c r="DS2" s="996"/>
      <c r="DT2" s="996"/>
      <c r="DU2" s="995"/>
      <c r="EU2" s="994"/>
      <c r="EV2" s="996"/>
      <c r="EW2" s="995"/>
      <c r="EX2" s="994"/>
      <c r="EY2" s="995"/>
      <c r="FZ2" s="994"/>
      <c r="GA2" s="996"/>
      <c r="GB2" s="995"/>
      <c r="HE2" s="994"/>
      <c r="HF2" s="995"/>
      <c r="II2" s="994"/>
      <c r="IJ2" s="996"/>
      <c r="IK2" s="995"/>
      <c r="JN2" s="994"/>
      <c r="JO2" s="996"/>
      <c r="JP2" s="995"/>
      <c r="KR2" s="994"/>
      <c r="KS2" s="996"/>
      <c r="KT2" s="995"/>
      <c r="LW2" s="994"/>
      <c r="LX2" s="994"/>
      <c r="NC2" s="994"/>
    </row>
    <row r="3" spans="1:367" s="342" customFormat="1">
      <c r="A3" s="1252"/>
      <c r="B3" s="1171" t="s">
        <v>36</v>
      </c>
      <c r="C3" s="1172" t="s">
        <v>67</v>
      </c>
      <c r="D3" s="1173" t="s">
        <v>69</v>
      </c>
      <c r="E3" s="1176"/>
      <c r="F3" s="1171" t="s">
        <v>36</v>
      </c>
      <c r="G3" s="1172" t="s">
        <v>67</v>
      </c>
      <c r="H3" s="1174" t="s">
        <v>69</v>
      </c>
      <c r="I3" s="1175" t="s">
        <v>1146</v>
      </c>
      <c r="DU3" s="998"/>
      <c r="DV3" s="998"/>
      <c r="DX3" s="998"/>
      <c r="DY3" s="998"/>
      <c r="DZ3" s="998"/>
      <c r="EB3" s="998"/>
      <c r="EC3" s="998"/>
      <c r="EE3" s="998"/>
      <c r="EF3" s="998"/>
      <c r="EG3" s="998"/>
      <c r="EI3" s="998"/>
      <c r="EJ3" s="998"/>
      <c r="EL3" s="998"/>
      <c r="EM3" s="998"/>
      <c r="EN3" s="998"/>
      <c r="EP3" s="998"/>
      <c r="EQ3" s="998"/>
      <c r="ES3" s="998"/>
      <c r="ET3" s="998"/>
      <c r="EU3" s="999"/>
      <c r="EV3" s="996"/>
      <c r="EW3" s="995"/>
      <c r="EX3" s="999"/>
      <c r="EY3" s="995"/>
      <c r="EZ3" s="998"/>
      <c r="FA3" s="998"/>
      <c r="FB3" s="998"/>
      <c r="FD3" s="998"/>
      <c r="FE3" s="998"/>
      <c r="FG3" s="998"/>
      <c r="FH3" s="998"/>
      <c r="FI3" s="998"/>
      <c r="FK3" s="998"/>
      <c r="FL3" s="998"/>
      <c r="FN3" s="998"/>
      <c r="FO3" s="998"/>
      <c r="FP3" s="998"/>
      <c r="FR3" s="998"/>
      <c r="FS3" s="998"/>
      <c r="FU3" s="998"/>
      <c r="FV3" s="998"/>
      <c r="FW3" s="998"/>
      <c r="FY3" s="998"/>
      <c r="FZ3" s="999"/>
      <c r="GA3" s="996"/>
      <c r="GB3" s="995"/>
      <c r="GC3" s="998"/>
      <c r="GD3" s="998"/>
      <c r="GF3" s="998"/>
      <c r="GG3" s="998"/>
      <c r="GI3" s="998"/>
      <c r="GJ3" s="998"/>
      <c r="GK3" s="998"/>
      <c r="GM3" s="998"/>
      <c r="GN3" s="998"/>
      <c r="GP3" s="998"/>
      <c r="GQ3" s="998"/>
      <c r="GR3" s="998"/>
      <c r="GT3" s="998"/>
      <c r="GU3" s="998"/>
      <c r="GW3" s="998"/>
      <c r="GX3" s="998"/>
      <c r="GY3" s="998"/>
      <c r="HA3" s="998"/>
      <c r="HB3" s="998"/>
      <c r="HD3" s="998"/>
      <c r="HE3" s="999"/>
      <c r="HF3" s="995"/>
      <c r="HH3" s="998"/>
      <c r="HI3" s="998"/>
      <c r="HK3" s="998"/>
      <c r="HL3" s="998"/>
      <c r="HM3" s="998"/>
      <c r="HO3" s="998"/>
      <c r="HP3" s="998"/>
      <c r="HR3" s="998"/>
      <c r="HS3" s="998"/>
      <c r="HT3" s="998"/>
      <c r="HV3" s="998"/>
      <c r="HW3" s="998"/>
      <c r="HY3" s="998"/>
      <c r="HZ3" s="998"/>
      <c r="IA3" s="998"/>
      <c r="IC3" s="998"/>
      <c r="ID3" s="998"/>
      <c r="IF3" s="998"/>
      <c r="IG3" s="998"/>
      <c r="IH3" s="998"/>
      <c r="II3" s="994"/>
      <c r="IJ3" s="996"/>
      <c r="IK3" s="995"/>
      <c r="IM3" s="998"/>
      <c r="IN3" s="998"/>
      <c r="IO3" s="998"/>
      <c r="IQ3" s="998"/>
      <c r="IR3" s="998"/>
      <c r="IT3" s="998"/>
      <c r="IU3" s="998"/>
      <c r="IV3" s="998"/>
      <c r="IX3" s="998"/>
      <c r="IY3" s="998"/>
      <c r="JA3" s="998"/>
      <c r="JB3" s="998"/>
      <c r="JC3" s="998"/>
      <c r="JE3" s="998"/>
      <c r="JF3" s="998"/>
      <c r="JH3" s="998"/>
      <c r="JI3" s="998"/>
      <c r="JJ3" s="998"/>
      <c r="JL3" s="998"/>
      <c r="JM3" s="998"/>
      <c r="JN3" s="994"/>
      <c r="JO3" s="995"/>
      <c r="JP3" s="998"/>
      <c r="JQ3" s="998"/>
      <c r="JS3" s="998"/>
      <c r="JT3" s="998"/>
      <c r="JV3" s="998"/>
      <c r="JW3" s="998"/>
      <c r="JX3" s="998"/>
      <c r="JZ3" s="998"/>
      <c r="KA3" s="998"/>
      <c r="KC3" s="998"/>
      <c r="KD3" s="998"/>
      <c r="KE3" s="998"/>
      <c r="KG3" s="998"/>
      <c r="KH3" s="998"/>
      <c r="KJ3" s="998"/>
      <c r="KK3" s="998"/>
      <c r="KL3" s="998"/>
      <c r="KN3" s="998"/>
      <c r="KO3" s="998"/>
      <c r="KQ3" s="998"/>
      <c r="KR3" s="999"/>
      <c r="KS3" s="996"/>
      <c r="KT3" s="995"/>
      <c r="KU3" s="998"/>
      <c r="KV3" s="998"/>
      <c r="KX3" s="998"/>
      <c r="KY3" s="998"/>
      <c r="KZ3" s="998"/>
      <c r="LB3" s="998"/>
      <c r="LC3" s="998"/>
      <c r="LE3" s="998"/>
      <c r="LF3" s="998"/>
      <c r="LG3" s="998"/>
      <c r="LI3" s="998"/>
      <c r="LJ3" s="998"/>
      <c r="LL3" s="998"/>
      <c r="LM3" s="998"/>
      <c r="LN3" s="998"/>
      <c r="LP3" s="998"/>
      <c r="LQ3" s="998"/>
      <c r="LS3" s="998"/>
      <c r="LT3" s="998"/>
      <c r="LU3" s="998"/>
      <c r="LW3" s="999"/>
      <c r="LX3" s="999"/>
      <c r="LZ3" s="998"/>
      <c r="MA3" s="998"/>
      <c r="MB3" s="998"/>
      <c r="MD3" s="998"/>
      <c r="ME3" s="998"/>
      <c r="MG3" s="998"/>
      <c r="MH3" s="998"/>
      <c r="MI3" s="998"/>
      <c r="MK3" s="998"/>
      <c r="ML3" s="998"/>
      <c r="MN3" s="998"/>
      <c r="MO3" s="998"/>
      <c r="MP3" s="998"/>
      <c r="MR3" s="998"/>
      <c r="MS3" s="998"/>
      <c r="MU3" s="998"/>
      <c r="MV3" s="998"/>
      <c r="MW3" s="998"/>
      <c r="MY3" s="998"/>
      <c r="MZ3" s="998"/>
      <c r="NB3" s="998"/>
      <c r="NC3" s="994"/>
    </row>
    <row r="4" spans="1:367">
      <c r="A4" s="1169" t="s">
        <v>52</v>
      </c>
      <c r="B4" s="359">
        <v>5792.32</v>
      </c>
      <c r="C4" s="360">
        <v>41</v>
      </c>
      <c r="D4" s="359">
        <v>141.28</v>
      </c>
      <c r="E4" s="354"/>
      <c r="F4" s="359">
        <v>2332.09</v>
      </c>
      <c r="G4" s="360">
        <v>14</v>
      </c>
      <c r="H4" s="359">
        <v>166.58</v>
      </c>
      <c r="I4" s="1170">
        <v>0.28704719252831701</v>
      </c>
      <c r="DU4" s="605"/>
      <c r="DV4" s="605"/>
      <c r="DX4" s="605"/>
      <c r="DY4" s="605"/>
      <c r="DZ4" s="605"/>
      <c r="EB4" s="605"/>
      <c r="EC4" s="605"/>
      <c r="EE4" s="605"/>
      <c r="EF4" s="605"/>
      <c r="EG4" s="605"/>
      <c r="EI4" s="605"/>
      <c r="EJ4" s="605"/>
      <c r="EL4" s="605"/>
      <c r="EM4" s="605"/>
      <c r="EN4" s="605"/>
      <c r="EP4" s="605"/>
      <c r="EQ4" s="605"/>
      <c r="ES4" s="605"/>
      <c r="ET4" s="605"/>
      <c r="EU4" s="640"/>
      <c r="EV4" s="641"/>
      <c r="EW4" s="606"/>
      <c r="EX4" s="640"/>
      <c r="EY4" s="606"/>
      <c r="EZ4" s="605"/>
      <c r="FA4" s="605"/>
      <c r="FB4" s="605"/>
      <c r="FD4" s="605"/>
      <c r="FE4" s="605"/>
      <c r="FG4" s="605"/>
      <c r="FH4" s="605"/>
      <c r="FI4" s="605"/>
      <c r="FK4" s="605"/>
      <c r="FL4" s="605"/>
      <c r="FN4" s="605"/>
      <c r="FO4" s="605"/>
      <c r="FP4" s="605"/>
      <c r="FR4" s="605"/>
      <c r="FS4" s="605"/>
      <c r="FU4" s="605"/>
      <c r="FV4" s="605"/>
      <c r="FW4" s="605"/>
      <c r="FY4" s="605"/>
      <c r="FZ4" s="640"/>
      <c r="GA4" s="641"/>
      <c r="GB4" s="606"/>
      <c r="GC4" s="605"/>
      <c r="GD4" s="605"/>
      <c r="GF4" s="605"/>
      <c r="GG4" s="605"/>
      <c r="GI4" s="605"/>
      <c r="GJ4" s="605"/>
      <c r="GK4" s="605"/>
      <c r="GM4" s="605"/>
      <c r="GN4" s="605"/>
      <c r="GP4" s="605"/>
      <c r="GQ4" s="605"/>
      <c r="GR4" s="605"/>
      <c r="GT4" s="605"/>
      <c r="GU4" s="605"/>
      <c r="GW4" s="605"/>
      <c r="GX4" s="605"/>
      <c r="GY4" s="605"/>
      <c r="HA4" s="605"/>
      <c r="HB4" s="605"/>
      <c r="HD4" s="605"/>
      <c r="HE4" s="640"/>
      <c r="HF4" s="606"/>
      <c r="HH4" s="605"/>
      <c r="HI4" s="605"/>
      <c r="HK4" s="605"/>
      <c r="HL4" s="605"/>
      <c r="HM4" s="605"/>
      <c r="HO4" s="605"/>
      <c r="HP4" s="605"/>
      <c r="HR4" s="605"/>
      <c r="HS4" s="605"/>
      <c r="HT4" s="605"/>
      <c r="HV4" s="605"/>
      <c r="HW4" s="605"/>
      <c r="HY4" s="605"/>
      <c r="HZ4" s="605"/>
      <c r="IA4" s="605"/>
      <c r="IC4" s="605"/>
      <c r="ID4" s="605"/>
      <c r="IF4" s="605"/>
      <c r="IG4" s="605"/>
      <c r="IH4" s="605"/>
      <c r="II4" s="603"/>
      <c r="IJ4" s="641"/>
      <c r="IK4" s="606"/>
      <c r="IM4" s="605"/>
      <c r="IN4" s="605"/>
      <c r="IO4" s="605"/>
      <c r="IQ4" s="605"/>
      <c r="IR4" s="605"/>
      <c r="IT4" s="605"/>
      <c r="IU4" s="605"/>
      <c r="IV4" s="605"/>
      <c r="IX4" s="605"/>
      <c r="IY4" s="605"/>
      <c r="JA4" s="605"/>
      <c r="JB4" s="605"/>
      <c r="JC4" s="605"/>
      <c r="JE4" s="605"/>
      <c r="JF4" s="605"/>
      <c r="JH4" s="605"/>
      <c r="JI4" s="605"/>
      <c r="JJ4" s="605"/>
      <c r="JL4" s="605"/>
      <c r="JM4" s="605"/>
      <c r="JN4" s="603"/>
      <c r="JO4" s="606"/>
      <c r="JP4" s="605"/>
      <c r="JQ4" s="605"/>
      <c r="JS4" s="605"/>
      <c r="JT4" s="605"/>
      <c r="JV4" s="605"/>
      <c r="JW4" s="605"/>
      <c r="JX4" s="605"/>
      <c r="JZ4" s="605"/>
      <c r="KA4" s="605"/>
      <c r="KC4" s="605"/>
      <c r="KD4" s="605"/>
      <c r="KE4" s="605"/>
      <c r="KG4" s="605"/>
      <c r="KH4" s="605"/>
      <c r="KJ4" s="605"/>
      <c r="KK4" s="605"/>
      <c r="KL4" s="605"/>
      <c r="KN4" s="605"/>
      <c r="KO4" s="605"/>
      <c r="KQ4" s="605"/>
      <c r="KR4" s="640"/>
      <c r="KS4" s="641"/>
      <c r="KT4" s="606"/>
      <c r="KU4" s="605"/>
      <c r="KV4" s="605"/>
      <c r="KX4" s="605"/>
      <c r="KY4" s="605"/>
      <c r="KZ4" s="605"/>
      <c r="LB4" s="605"/>
      <c r="LC4" s="605"/>
      <c r="LE4" s="605"/>
      <c r="LF4" s="605"/>
      <c r="LG4" s="605"/>
      <c r="LI4" s="605"/>
      <c r="LJ4" s="605"/>
      <c r="LL4" s="605"/>
      <c r="LM4" s="605"/>
      <c r="LN4" s="605"/>
      <c r="LP4" s="605"/>
      <c r="LQ4" s="605"/>
      <c r="LS4" s="605"/>
      <c r="LT4" s="605"/>
      <c r="LU4" s="605"/>
      <c r="LW4" s="640"/>
      <c r="LX4" s="640"/>
      <c r="LZ4" s="605"/>
      <c r="MA4" s="605"/>
      <c r="MB4" s="605"/>
      <c r="MD4" s="605"/>
      <c r="ME4" s="605"/>
      <c r="MG4" s="605"/>
      <c r="MH4" s="605"/>
      <c r="MI4" s="605"/>
      <c r="MK4" s="605"/>
      <c r="ML4" s="605"/>
      <c r="MN4" s="605"/>
      <c r="MO4" s="605"/>
      <c r="MP4" s="605"/>
      <c r="MR4" s="605"/>
      <c r="MS4" s="605"/>
      <c r="MU4" s="605"/>
      <c r="MV4" s="605"/>
      <c r="MW4" s="605"/>
      <c r="MY4" s="605"/>
      <c r="MZ4" s="605"/>
      <c r="NB4" s="605"/>
      <c r="NC4" s="603"/>
    </row>
    <row r="5" spans="1:367">
      <c r="A5" s="1169" t="s">
        <v>53</v>
      </c>
      <c r="B5" s="359">
        <v>3762.82</v>
      </c>
      <c r="C5" s="360">
        <v>30</v>
      </c>
      <c r="D5" s="359">
        <v>125.43</v>
      </c>
      <c r="E5" s="354"/>
      <c r="F5" s="359">
        <v>3374.95</v>
      </c>
      <c r="G5" s="360">
        <v>22</v>
      </c>
      <c r="H5" s="359">
        <v>153.41</v>
      </c>
      <c r="I5" s="1170">
        <v>0.47282980896650184</v>
      </c>
      <c r="DU5" s="605"/>
      <c r="DV5" s="605"/>
      <c r="DX5" s="605"/>
      <c r="DY5" s="605"/>
      <c r="DZ5" s="605"/>
      <c r="EB5" s="605"/>
      <c r="EC5" s="605"/>
      <c r="EE5" s="605"/>
      <c r="EF5" s="605"/>
      <c r="EG5" s="605"/>
      <c r="EI5" s="605"/>
      <c r="EJ5" s="605"/>
      <c r="EL5" s="605"/>
      <c r="EM5" s="605"/>
      <c r="EN5" s="605"/>
      <c r="EP5" s="605"/>
      <c r="EQ5" s="605"/>
      <c r="ES5" s="605"/>
      <c r="ET5" s="605"/>
      <c r="EU5" s="640"/>
      <c r="EV5" s="641"/>
      <c r="EW5" s="606"/>
      <c r="EX5" s="640"/>
      <c r="EY5" s="606"/>
      <c r="EZ5" s="605"/>
      <c r="FA5" s="605"/>
      <c r="FB5" s="605"/>
      <c r="FD5" s="605"/>
      <c r="FE5" s="605"/>
      <c r="FG5" s="605"/>
      <c r="FH5" s="605"/>
      <c r="FI5" s="605"/>
      <c r="FK5" s="605"/>
      <c r="FL5" s="605"/>
      <c r="FN5" s="605"/>
      <c r="FO5" s="605"/>
      <c r="FP5" s="605"/>
      <c r="FR5" s="605"/>
      <c r="FS5" s="605"/>
      <c r="FU5" s="605"/>
      <c r="FV5" s="605"/>
      <c r="FW5" s="605"/>
      <c r="FY5" s="605"/>
      <c r="FZ5" s="640"/>
      <c r="GA5" s="641"/>
      <c r="GB5" s="606"/>
      <c r="GC5" s="605"/>
      <c r="GD5" s="605"/>
      <c r="GF5" s="605"/>
      <c r="GG5" s="605"/>
      <c r="GI5" s="605"/>
      <c r="GJ5" s="605"/>
      <c r="GK5" s="605"/>
      <c r="GM5" s="605"/>
      <c r="GN5" s="605"/>
      <c r="GP5" s="605"/>
      <c r="GQ5" s="605"/>
      <c r="GR5" s="605"/>
      <c r="GT5" s="605"/>
      <c r="GU5" s="605"/>
      <c r="GW5" s="605"/>
      <c r="GX5" s="605"/>
      <c r="GY5" s="605"/>
      <c r="HA5" s="605"/>
      <c r="HB5" s="605"/>
      <c r="HD5" s="605"/>
      <c r="HE5" s="640"/>
      <c r="HF5" s="606"/>
      <c r="HH5" s="605"/>
      <c r="HI5" s="605"/>
      <c r="HK5" s="605"/>
      <c r="HL5" s="605"/>
      <c r="HM5" s="605"/>
      <c r="HO5" s="605"/>
      <c r="HP5" s="605"/>
      <c r="HR5" s="605"/>
      <c r="HS5" s="605"/>
      <c r="HT5" s="605"/>
      <c r="HV5" s="605"/>
      <c r="HW5" s="605"/>
      <c r="HY5" s="605"/>
      <c r="HZ5" s="605"/>
      <c r="IA5" s="605"/>
      <c r="IC5" s="605"/>
      <c r="ID5" s="605"/>
      <c r="IF5" s="605"/>
      <c r="IG5" s="605"/>
      <c r="IH5" s="605"/>
      <c r="II5" s="603"/>
      <c r="IJ5" s="641"/>
      <c r="IK5" s="606"/>
      <c r="IM5" s="605"/>
      <c r="IN5" s="605"/>
      <c r="IO5" s="605"/>
      <c r="IQ5" s="605"/>
      <c r="IR5" s="605"/>
      <c r="IT5" s="605"/>
      <c r="IU5" s="605"/>
      <c r="IV5" s="605"/>
      <c r="IX5" s="605"/>
      <c r="IY5" s="605"/>
      <c r="JA5" s="605"/>
      <c r="JB5" s="605"/>
      <c r="JC5" s="605"/>
      <c r="JE5" s="605"/>
      <c r="JF5" s="605"/>
      <c r="JH5" s="605"/>
      <c r="JI5" s="605"/>
      <c r="JJ5" s="605"/>
      <c r="JL5" s="605"/>
      <c r="JM5" s="605"/>
      <c r="JN5" s="603"/>
      <c r="JO5" s="606"/>
      <c r="JP5" s="605"/>
      <c r="JQ5" s="605"/>
      <c r="JS5" s="605"/>
      <c r="JT5" s="605"/>
      <c r="JV5" s="605"/>
      <c r="JW5" s="605"/>
      <c r="JX5" s="605"/>
      <c r="JZ5" s="605"/>
      <c r="KA5" s="605"/>
      <c r="KC5" s="605"/>
      <c r="KD5" s="605"/>
      <c r="KE5" s="605"/>
      <c r="KG5" s="605"/>
      <c r="KH5" s="605"/>
      <c r="KJ5" s="605"/>
      <c r="KK5" s="605"/>
      <c r="KL5" s="605"/>
      <c r="KN5" s="605"/>
      <c r="KO5" s="605"/>
      <c r="KQ5" s="605"/>
      <c r="KR5" s="640"/>
      <c r="KS5" s="641"/>
      <c r="KT5" s="606"/>
      <c r="KU5" s="605"/>
      <c r="KV5" s="605"/>
      <c r="KX5" s="605"/>
      <c r="KY5" s="605"/>
      <c r="KZ5" s="605"/>
      <c r="LB5" s="605"/>
      <c r="LC5" s="605"/>
      <c r="LE5" s="605"/>
      <c r="LF5" s="605"/>
      <c r="LG5" s="605"/>
      <c r="LI5" s="605"/>
      <c r="LJ5" s="605"/>
      <c r="LL5" s="605"/>
      <c r="LM5" s="605"/>
      <c r="LN5" s="605"/>
      <c r="LP5" s="605"/>
      <c r="LQ5" s="605"/>
      <c r="LS5" s="605"/>
      <c r="LT5" s="605"/>
      <c r="LU5" s="605"/>
      <c r="LW5" s="640"/>
      <c r="LX5" s="640"/>
      <c r="LZ5" s="605"/>
      <c r="MA5" s="605"/>
      <c r="MB5" s="605"/>
      <c r="MD5" s="605"/>
      <c r="ME5" s="605"/>
      <c r="MG5" s="605"/>
      <c r="MH5" s="605"/>
      <c r="MI5" s="605"/>
      <c r="MK5" s="605"/>
      <c r="ML5" s="605"/>
      <c r="MN5" s="605"/>
      <c r="MO5" s="605"/>
      <c r="MP5" s="605"/>
      <c r="MR5" s="605"/>
      <c r="MS5" s="605"/>
      <c r="MU5" s="605"/>
      <c r="MV5" s="605"/>
      <c r="MW5" s="605"/>
      <c r="MY5" s="605"/>
      <c r="MZ5" s="605"/>
      <c r="NB5" s="605"/>
      <c r="NC5" s="603"/>
    </row>
    <row r="6" spans="1:367">
      <c r="A6" s="1169" t="s">
        <v>26</v>
      </c>
      <c r="B6" s="359">
        <v>8145.31</v>
      </c>
      <c r="C6" s="360">
        <v>44</v>
      </c>
      <c r="D6" s="359">
        <v>185.12</v>
      </c>
      <c r="E6" s="354"/>
      <c r="F6" s="359">
        <v>2233.1799999999998</v>
      </c>
      <c r="G6" s="360">
        <v>14</v>
      </c>
      <c r="H6" s="359">
        <v>159.51</v>
      </c>
      <c r="I6" s="1170">
        <v>0.21517380147706408</v>
      </c>
      <c r="DU6" s="605"/>
      <c r="DV6" s="605"/>
      <c r="DX6" s="605"/>
      <c r="DY6" s="605"/>
      <c r="DZ6" s="605"/>
      <c r="EB6" s="605"/>
      <c r="EC6" s="605"/>
      <c r="EE6" s="605"/>
      <c r="EF6" s="605"/>
      <c r="EG6" s="605"/>
      <c r="EI6" s="605"/>
      <c r="EJ6" s="605"/>
      <c r="EL6" s="605"/>
      <c r="EM6" s="605"/>
      <c r="EN6" s="605"/>
      <c r="EP6" s="605"/>
      <c r="EQ6" s="605"/>
      <c r="ES6" s="605"/>
      <c r="ET6" s="605"/>
      <c r="EU6" s="640"/>
      <c r="EV6" s="641"/>
      <c r="EW6" s="606"/>
      <c r="EX6" s="640"/>
      <c r="EY6" s="606"/>
      <c r="EZ6" s="605"/>
      <c r="FA6" s="605"/>
      <c r="FB6" s="605"/>
      <c r="FD6" s="605"/>
      <c r="FE6" s="605"/>
      <c r="FG6" s="605"/>
      <c r="FH6" s="605"/>
      <c r="FI6" s="605"/>
      <c r="FK6" s="605"/>
      <c r="FL6" s="605"/>
      <c r="FN6" s="605"/>
      <c r="FO6" s="605"/>
      <c r="FP6" s="605"/>
      <c r="FR6" s="605"/>
      <c r="FS6" s="605"/>
      <c r="FU6" s="605"/>
      <c r="FV6" s="605"/>
      <c r="FW6" s="605"/>
      <c r="FY6" s="605"/>
      <c r="FZ6" s="640"/>
      <c r="GA6" s="641"/>
      <c r="GB6" s="606"/>
      <c r="GC6" s="605"/>
      <c r="GD6" s="605"/>
      <c r="GF6" s="605"/>
      <c r="GG6" s="605"/>
      <c r="GI6" s="605"/>
      <c r="GJ6" s="605"/>
      <c r="GK6" s="605"/>
      <c r="GM6" s="605"/>
      <c r="GN6" s="605"/>
      <c r="GP6" s="605"/>
      <c r="GQ6" s="605"/>
      <c r="GR6" s="605"/>
      <c r="GT6" s="605"/>
      <c r="GU6" s="605"/>
      <c r="GW6" s="605"/>
      <c r="GX6" s="605"/>
      <c r="GY6" s="605"/>
      <c r="HA6" s="605"/>
      <c r="HB6" s="605"/>
      <c r="HD6" s="605"/>
      <c r="HE6" s="640"/>
      <c r="HF6" s="606"/>
      <c r="HH6" s="605"/>
      <c r="HI6" s="605"/>
      <c r="HK6" s="605"/>
      <c r="HL6" s="605"/>
      <c r="HM6" s="605"/>
      <c r="HO6" s="605"/>
      <c r="HP6" s="605"/>
      <c r="HR6" s="605"/>
      <c r="HS6" s="605"/>
      <c r="HT6" s="605"/>
      <c r="HV6" s="605"/>
      <c r="HW6" s="605"/>
      <c r="HY6" s="605"/>
      <c r="HZ6" s="605"/>
      <c r="IA6" s="605"/>
      <c r="IC6" s="605"/>
      <c r="ID6" s="605"/>
      <c r="IF6" s="605"/>
      <c r="IG6" s="605"/>
      <c r="IH6" s="605"/>
      <c r="II6" s="603"/>
      <c r="IJ6" s="641"/>
      <c r="IK6" s="606"/>
      <c r="IM6" s="605"/>
      <c r="IN6" s="605"/>
      <c r="IO6" s="605"/>
      <c r="IQ6" s="605"/>
      <c r="IR6" s="605"/>
      <c r="IT6" s="605"/>
      <c r="IU6" s="605"/>
      <c r="IV6" s="605"/>
      <c r="IX6" s="605"/>
      <c r="IY6" s="605"/>
      <c r="JA6" s="605"/>
      <c r="JB6" s="605"/>
      <c r="JC6" s="605"/>
      <c r="JE6" s="605"/>
      <c r="JF6" s="605"/>
      <c r="JH6" s="605"/>
      <c r="JI6" s="605"/>
      <c r="JJ6" s="605"/>
      <c r="JL6" s="605"/>
      <c r="JM6" s="605"/>
      <c r="JN6" s="603"/>
      <c r="JO6" s="606"/>
      <c r="JP6" s="605"/>
      <c r="JQ6" s="605"/>
      <c r="JS6" s="605"/>
      <c r="JT6" s="605"/>
      <c r="JV6" s="605"/>
      <c r="JW6" s="605"/>
      <c r="JX6" s="605"/>
      <c r="JZ6" s="605"/>
      <c r="KA6" s="605"/>
      <c r="KC6" s="605"/>
      <c r="KD6" s="605"/>
      <c r="KE6" s="605"/>
      <c r="KG6" s="605"/>
      <c r="KH6" s="605"/>
      <c r="KJ6" s="605"/>
      <c r="KK6" s="605"/>
      <c r="KL6" s="605"/>
      <c r="KN6" s="605"/>
      <c r="KO6" s="605"/>
      <c r="KQ6" s="605"/>
      <c r="KR6" s="640"/>
      <c r="KS6" s="641"/>
      <c r="KT6" s="606"/>
      <c r="KU6" s="605"/>
      <c r="KV6" s="605"/>
      <c r="KX6" s="605"/>
      <c r="KY6" s="605"/>
      <c r="KZ6" s="605"/>
      <c r="LB6" s="605"/>
      <c r="LC6" s="605"/>
      <c r="LE6" s="605"/>
      <c r="LF6" s="605"/>
      <c r="LG6" s="605"/>
      <c r="LI6" s="605"/>
      <c r="LJ6" s="605"/>
      <c r="LL6" s="605"/>
      <c r="LM6" s="605"/>
      <c r="LN6" s="605"/>
      <c r="LP6" s="605"/>
      <c r="LQ6" s="605"/>
      <c r="LS6" s="605"/>
      <c r="LT6" s="605"/>
      <c r="LU6" s="605"/>
      <c r="LW6" s="640"/>
      <c r="LX6" s="640"/>
      <c r="LZ6" s="605"/>
      <c r="MA6" s="605"/>
      <c r="MB6" s="605"/>
      <c r="MD6" s="605"/>
      <c r="ME6" s="605"/>
      <c r="MG6" s="605"/>
      <c r="MH6" s="605"/>
      <c r="MI6" s="605"/>
      <c r="MK6" s="605"/>
      <c r="ML6" s="605"/>
      <c r="MN6" s="605"/>
      <c r="MO6" s="605"/>
      <c r="MP6" s="605"/>
      <c r="MR6" s="605"/>
      <c r="MS6" s="605"/>
      <c r="MU6" s="605"/>
      <c r="MV6" s="605"/>
      <c r="MW6" s="605"/>
      <c r="MY6" s="605"/>
      <c r="MZ6" s="605"/>
      <c r="NB6" s="605"/>
      <c r="NC6" s="603"/>
    </row>
    <row r="7" spans="1:367">
      <c r="A7" s="1169" t="s">
        <v>27</v>
      </c>
      <c r="B7" s="359">
        <v>9214.07</v>
      </c>
      <c r="C7" s="360">
        <v>50</v>
      </c>
      <c r="D7" s="359">
        <v>184.28</v>
      </c>
      <c r="E7" s="354"/>
      <c r="F7" s="359">
        <v>1772.54</v>
      </c>
      <c r="G7" s="360">
        <v>8</v>
      </c>
      <c r="H7" s="359">
        <v>221.57</v>
      </c>
      <c r="I7" s="1170">
        <v>0.16133633018019627</v>
      </c>
      <c r="DU7" s="605"/>
      <c r="DV7" s="605"/>
      <c r="DX7" s="605"/>
      <c r="DY7" s="605"/>
      <c r="DZ7" s="605"/>
      <c r="EB7" s="605"/>
      <c r="EC7" s="605"/>
      <c r="EE7" s="605"/>
      <c r="EF7" s="605"/>
      <c r="EG7" s="605"/>
      <c r="EI7" s="605"/>
      <c r="EJ7" s="605"/>
      <c r="EL7" s="605"/>
      <c r="EM7" s="605"/>
      <c r="EN7" s="605"/>
      <c r="EP7" s="605"/>
      <c r="EQ7" s="605"/>
      <c r="ES7" s="605"/>
      <c r="ET7" s="605"/>
      <c r="EU7" s="640"/>
      <c r="EV7" s="641"/>
      <c r="EW7" s="606"/>
      <c r="EX7" s="640"/>
      <c r="EY7" s="606"/>
      <c r="EZ7" s="605"/>
      <c r="FA7" s="605"/>
      <c r="FB7" s="605"/>
      <c r="FD7" s="605"/>
      <c r="FE7" s="605"/>
      <c r="FG7" s="605"/>
      <c r="FH7" s="605"/>
      <c r="FI7" s="605"/>
      <c r="FK7" s="605"/>
      <c r="FL7" s="605"/>
      <c r="FN7" s="605"/>
      <c r="FO7" s="605"/>
      <c r="FP7" s="605"/>
      <c r="FR7" s="605"/>
      <c r="FS7" s="605"/>
      <c r="FU7" s="605"/>
      <c r="FV7" s="605"/>
      <c r="FW7" s="605"/>
      <c r="FY7" s="605"/>
      <c r="FZ7" s="640"/>
      <c r="GA7" s="641"/>
      <c r="GB7" s="606"/>
      <c r="GC7" s="605"/>
      <c r="GD7" s="605"/>
      <c r="GF7" s="605"/>
      <c r="GG7" s="605"/>
      <c r="GI7" s="605"/>
      <c r="GJ7" s="605"/>
      <c r="GK7" s="605"/>
      <c r="GM7" s="605"/>
      <c r="GN7" s="605"/>
      <c r="GP7" s="605"/>
      <c r="GQ7" s="605"/>
      <c r="GR7" s="605"/>
      <c r="GT7" s="605"/>
      <c r="GU7" s="605"/>
      <c r="GW7" s="605"/>
      <c r="GX7" s="605"/>
      <c r="GY7" s="605"/>
      <c r="HA7" s="605"/>
      <c r="HB7" s="605"/>
      <c r="HD7" s="605"/>
      <c r="HE7" s="640"/>
      <c r="HF7" s="606"/>
      <c r="HH7" s="605"/>
      <c r="HI7" s="605"/>
      <c r="HK7" s="605"/>
      <c r="HL7" s="605"/>
      <c r="HM7" s="605"/>
      <c r="HO7" s="605"/>
      <c r="HP7" s="605"/>
      <c r="HR7" s="605"/>
      <c r="HS7" s="605"/>
      <c r="HT7" s="605"/>
      <c r="HV7" s="605"/>
      <c r="HW7" s="605"/>
      <c r="HY7" s="605"/>
      <c r="HZ7" s="605"/>
      <c r="IA7" s="605"/>
      <c r="IC7" s="605"/>
      <c r="ID7" s="605"/>
      <c r="IF7" s="605"/>
      <c r="IG7" s="605"/>
      <c r="IH7" s="605"/>
      <c r="II7" s="603"/>
      <c r="IJ7" s="641"/>
      <c r="IK7" s="606"/>
      <c r="IM7" s="605"/>
      <c r="IN7" s="605"/>
      <c r="IO7" s="605"/>
      <c r="IQ7" s="605"/>
      <c r="IR7" s="605"/>
      <c r="IT7" s="605"/>
      <c r="IU7" s="605"/>
      <c r="IV7" s="605"/>
      <c r="IX7" s="605"/>
      <c r="IY7" s="605"/>
      <c r="JA7" s="605"/>
      <c r="JB7" s="605"/>
      <c r="JC7" s="605"/>
      <c r="JE7" s="605"/>
      <c r="JF7" s="605"/>
      <c r="JH7" s="605"/>
      <c r="JI7" s="605"/>
      <c r="JJ7" s="605"/>
      <c r="JL7" s="605"/>
      <c r="JM7" s="605"/>
      <c r="JN7" s="603"/>
      <c r="JO7" s="606"/>
      <c r="JP7" s="605"/>
      <c r="JQ7" s="605"/>
      <c r="JS7" s="605"/>
      <c r="JT7" s="605"/>
      <c r="JV7" s="605"/>
      <c r="JW7" s="605"/>
      <c r="JX7" s="605"/>
      <c r="JZ7" s="605"/>
      <c r="KA7" s="605"/>
      <c r="KC7" s="605"/>
      <c r="KD7" s="605"/>
      <c r="KE7" s="605"/>
      <c r="KG7" s="605"/>
      <c r="KH7" s="605"/>
      <c r="KJ7" s="605"/>
      <c r="KK7" s="605"/>
      <c r="KL7" s="605"/>
      <c r="KN7" s="605"/>
      <c r="KO7" s="605"/>
      <c r="KQ7" s="605"/>
      <c r="KR7" s="640"/>
      <c r="KS7" s="641"/>
      <c r="KT7" s="606"/>
      <c r="KU7" s="605"/>
      <c r="KV7" s="605"/>
      <c r="KX7" s="605"/>
      <c r="KY7" s="605"/>
      <c r="KZ7" s="605"/>
      <c r="LB7" s="605"/>
      <c r="LC7" s="605"/>
      <c r="LE7" s="605"/>
      <c r="LF7" s="605"/>
      <c r="LG7" s="605"/>
      <c r="LI7" s="605"/>
      <c r="LJ7" s="605"/>
      <c r="LL7" s="605"/>
      <c r="LM7" s="605"/>
      <c r="LN7" s="605"/>
      <c r="LP7" s="605"/>
      <c r="LQ7" s="605"/>
      <c r="LS7" s="605"/>
      <c r="LT7" s="605"/>
      <c r="LU7" s="605"/>
      <c r="LW7" s="640"/>
      <c r="LX7" s="640"/>
      <c r="LZ7" s="605"/>
      <c r="MA7" s="605"/>
      <c r="MB7" s="605"/>
      <c r="MD7" s="605"/>
      <c r="ME7" s="605"/>
      <c r="MG7" s="605"/>
      <c r="MH7" s="605"/>
      <c r="MI7" s="605"/>
      <c r="MK7" s="605"/>
      <c r="ML7" s="605"/>
      <c r="MN7" s="605"/>
      <c r="MO7" s="605"/>
      <c r="MP7" s="605"/>
      <c r="MR7" s="605"/>
      <c r="MS7" s="605"/>
      <c r="MU7" s="605"/>
      <c r="MV7" s="605"/>
      <c r="MW7" s="605"/>
      <c r="MY7" s="605"/>
      <c r="MZ7" s="605"/>
      <c r="NB7" s="605"/>
      <c r="NC7" s="603"/>
    </row>
    <row r="8" spans="1:367">
      <c r="A8" s="1169" t="s">
        <v>28</v>
      </c>
      <c r="B8" s="359">
        <v>10239.39</v>
      </c>
      <c r="C8" s="360">
        <v>52</v>
      </c>
      <c r="D8" s="359">
        <v>196.91</v>
      </c>
      <c r="E8" s="354"/>
      <c r="F8" s="359">
        <v>1197.0999999999999</v>
      </c>
      <c r="G8" s="360">
        <v>9</v>
      </c>
      <c r="H8" s="359">
        <v>133.01</v>
      </c>
      <c r="I8" s="1170">
        <v>0.104673687174261</v>
      </c>
      <c r="DU8" s="605"/>
      <c r="DV8" s="605"/>
      <c r="DX8" s="605"/>
      <c r="DZ8" s="605"/>
      <c r="EB8" s="605"/>
      <c r="EC8" s="605"/>
      <c r="EE8" s="605"/>
      <c r="EG8" s="605"/>
      <c r="EI8" s="605"/>
      <c r="EJ8" s="605"/>
      <c r="EL8" s="605"/>
      <c r="EN8" s="605"/>
      <c r="EP8" s="605"/>
      <c r="EQ8" s="605"/>
      <c r="ES8" s="605"/>
      <c r="EU8" s="605"/>
      <c r="EV8" s="603"/>
      <c r="EW8" s="606"/>
      <c r="EX8" s="640"/>
      <c r="EY8" s="606"/>
      <c r="EZ8" s="605"/>
      <c r="FB8" s="605"/>
      <c r="FD8" s="605"/>
      <c r="FE8" s="605"/>
      <c r="FG8" s="605"/>
      <c r="FI8" s="605"/>
      <c r="FK8" s="605"/>
      <c r="FL8" s="605"/>
      <c r="FN8" s="605"/>
      <c r="FP8" s="605"/>
      <c r="FR8" s="605"/>
      <c r="FS8" s="605"/>
      <c r="FU8" s="605"/>
      <c r="FW8" s="605"/>
      <c r="FY8" s="605"/>
      <c r="FZ8" s="640"/>
      <c r="GA8" s="641"/>
      <c r="GB8" s="606"/>
      <c r="GD8" s="605"/>
      <c r="GF8" s="605"/>
      <c r="GG8" s="605"/>
      <c r="GI8" s="605"/>
      <c r="GK8" s="605"/>
      <c r="GM8" s="605"/>
      <c r="GN8" s="605"/>
      <c r="GP8" s="605"/>
      <c r="GR8" s="605"/>
      <c r="GT8" s="605"/>
      <c r="GU8" s="605"/>
      <c r="GW8" s="605"/>
      <c r="GY8" s="605"/>
      <c r="HA8" s="605"/>
      <c r="HB8" s="605"/>
      <c r="HD8" s="605"/>
      <c r="HE8" s="603"/>
      <c r="HF8" s="606"/>
      <c r="HH8" s="605"/>
      <c r="HI8" s="605"/>
      <c r="HK8" s="605"/>
      <c r="HM8" s="605"/>
      <c r="HO8" s="605"/>
      <c r="HP8" s="605"/>
      <c r="HR8" s="605"/>
      <c r="HT8" s="605"/>
      <c r="HV8" s="605"/>
      <c r="HW8" s="605"/>
      <c r="HY8" s="605"/>
      <c r="IA8" s="605"/>
      <c r="IC8" s="605"/>
      <c r="ID8" s="605"/>
      <c r="IF8" s="605"/>
      <c r="IH8" s="605"/>
      <c r="IJ8" s="640"/>
      <c r="IK8" s="606"/>
      <c r="IM8" s="605"/>
      <c r="IO8" s="605"/>
      <c r="IQ8" s="605"/>
      <c r="IR8" s="605"/>
      <c r="IT8" s="605"/>
      <c r="IV8" s="605"/>
      <c r="IX8" s="605"/>
      <c r="IY8" s="605"/>
      <c r="JA8" s="605"/>
      <c r="JC8" s="605"/>
      <c r="JE8" s="605"/>
      <c r="JF8" s="605"/>
      <c r="JH8" s="605"/>
      <c r="JJ8" s="605"/>
      <c r="JL8" s="605"/>
      <c r="JM8" s="605"/>
      <c r="JN8" s="603"/>
      <c r="JO8" s="641"/>
      <c r="JP8" s="606"/>
      <c r="JQ8" s="605"/>
      <c r="JS8" s="605"/>
      <c r="JT8" s="605"/>
      <c r="JV8" s="605"/>
      <c r="JX8" s="605"/>
      <c r="JZ8" s="605"/>
      <c r="KA8" s="605"/>
      <c r="KC8" s="605"/>
      <c r="KE8" s="605"/>
      <c r="KG8" s="605"/>
      <c r="KH8" s="605"/>
      <c r="KJ8" s="605"/>
      <c r="KL8" s="605"/>
      <c r="KN8" s="605"/>
      <c r="KO8" s="605"/>
      <c r="KQ8" s="605"/>
      <c r="KS8" s="640"/>
      <c r="KT8" s="606"/>
      <c r="KU8" s="605"/>
      <c r="KV8" s="605"/>
      <c r="KX8" s="605"/>
      <c r="KZ8" s="605"/>
      <c r="LB8" s="605"/>
      <c r="LC8" s="605"/>
      <c r="LE8" s="605"/>
      <c r="LG8" s="605"/>
      <c r="LI8" s="605"/>
      <c r="LJ8" s="605"/>
      <c r="LL8" s="605"/>
      <c r="LN8" s="605"/>
      <c r="LP8" s="605"/>
      <c r="LQ8" s="605"/>
      <c r="LS8" s="605"/>
      <c r="LU8" s="605"/>
      <c r="LW8" s="640"/>
      <c r="LX8" s="640"/>
      <c r="LZ8" s="605"/>
      <c r="MB8" s="605"/>
      <c r="MD8" s="605"/>
      <c r="ME8" s="605"/>
      <c r="MG8" s="605"/>
      <c r="MI8" s="605"/>
      <c r="MK8" s="605"/>
      <c r="ML8" s="605"/>
      <c r="MN8" s="605"/>
      <c r="MP8" s="605"/>
      <c r="MR8" s="605"/>
      <c r="MS8" s="605"/>
      <c r="MU8" s="605"/>
      <c r="MW8" s="605"/>
      <c r="MY8" s="605"/>
      <c r="MZ8" s="605"/>
      <c r="NB8" s="605"/>
      <c r="NC8" s="603"/>
    </row>
    <row r="9" spans="1:367">
      <c r="A9" s="1169" t="s">
        <v>29</v>
      </c>
      <c r="B9" s="359">
        <v>10749.68</v>
      </c>
      <c r="C9" s="360">
        <v>51</v>
      </c>
      <c r="D9" s="359">
        <v>210.78</v>
      </c>
      <c r="E9" s="354"/>
      <c r="F9" s="359">
        <v>1279.48</v>
      </c>
      <c r="G9" s="360">
        <v>6</v>
      </c>
      <c r="H9" s="359">
        <v>213.25</v>
      </c>
      <c r="I9" s="1170">
        <v>0.10636487891237298</v>
      </c>
    </row>
    <row r="10" spans="1:367">
      <c r="A10" s="1169" t="s">
        <v>54</v>
      </c>
      <c r="B10" s="359">
        <v>13403.52</v>
      </c>
      <c r="C10" s="360">
        <v>52</v>
      </c>
      <c r="D10" s="359">
        <v>257.76</v>
      </c>
      <c r="E10" s="354"/>
      <c r="F10" s="359">
        <v>651.09</v>
      </c>
      <c r="G10" s="360">
        <v>3</v>
      </c>
      <c r="H10" s="359">
        <v>217.03</v>
      </c>
      <c r="I10" s="1170">
        <v>4.6325740645310053E-2</v>
      </c>
    </row>
    <row r="11" spans="1:367">
      <c r="A11" s="1169" t="s">
        <v>55</v>
      </c>
      <c r="B11" s="359">
        <v>11888.71</v>
      </c>
      <c r="C11" s="360">
        <v>53</v>
      </c>
      <c r="D11" s="359">
        <v>224.32</v>
      </c>
      <c r="E11" s="354"/>
      <c r="F11" s="359">
        <v>348.27</v>
      </c>
      <c r="G11" s="360">
        <v>2</v>
      </c>
      <c r="H11" s="359">
        <v>174.14</v>
      </c>
      <c r="I11" s="1170">
        <v>2.8460460920380268E-2</v>
      </c>
    </row>
    <row r="12" spans="1:367">
      <c r="A12" s="997" t="s">
        <v>56</v>
      </c>
      <c r="B12" s="355">
        <v>7771.51</v>
      </c>
      <c r="C12" s="356">
        <v>43</v>
      </c>
      <c r="D12" s="355">
        <v>180.73</v>
      </c>
      <c r="E12" s="354"/>
      <c r="F12" s="355">
        <v>2436.38</v>
      </c>
      <c r="G12" s="356">
        <v>12</v>
      </c>
      <c r="H12" s="357">
        <v>203.03</v>
      </c>
      <c r="I12" s="604">
        <v>0.23867612387263201</v>
      </c>
    </row>
    <row r="13" spans="1:367">
      <c r="A13" s="379" t="s">
        <v>57</v>
      </c>
      <c r="B13" s="359">
        <v>7448.91</v>
      </c>
      <c r="C13" s="360">
        <v>39</v>
      </c>
      <c r="D13" s="359">
        <v>191</v>
      </c>
      <c r="E13" s="354"/>
      <c r="F13" s="359">
        <v>3473.58</v>
      </c>
      <c r="G13" s="360">
        <v>20</v>
      </c>
      <c r="H13" s="361">
        <v>173.68</v>
      </c>
      <c r="I13" s="362">
        <v>0.31802090831051755</v>
      </c>
    </row>
    <row r="14" spans="1:367">
      <c r="A14" s="379" t="s">
        <v>58</v>
      </c>
      <c r="B14" s="359">
        <v>7422.42</v>
      </c>
      <c r="C14" s="360">
        <v>47</v>
      </c>
      <c r="D14" s="359">
        <v>157.91999999999999</v>
      </c>
      <c r="E14" s="354"/>
      <c r="F14" s="359">
        <v>1648.63</v>
      </c>
      <c r="G14" s="360">
        <v>8</v>
      </c>
      <c r="H14" s="361">
        <v>206.08</v>
      </c>
      <c r="I14" s="362">
        <v>0.1817463368681467</v>
      </c>
    </row>
    <row r="15" spans="1:367" ht="24.6" thickBot="1">
      <c r="A15" s="380" t="s">
        <v>59</v>
      </c>
      <c r="B15" s="363">
        <v>4411.54</v>
      </c>
      <c r="C15" s="364">
        <v>28</v>
      </c>
      <c r="D15" s="363">
        <v>157.56</v>
      </c>
      <c r="E15" s="354"/>
      <c r="F15" s="363">
        <v>5298.79</v>
      </c>
      <c r="G15" s="364">
        <v>32</v>
      </c>
      <c r="H15" s="365">
        <v>165.59</v>
      </c>
      <c r="I15" s="366">
        <v>0.54568580048077431</v>
      </c>
    </row>
    <row r="16" spans="1:367" s="342" customFormat="1" ht="24.6" thickBot="1">
      <c r="A16" s="367" t="s">
        <v>47</v>
      </c>
      <c r="B16" s="368">
        <v>100250.21</v>
      </c>
      <c r="C16" s="369">
        <v>530</v>
      </c>
      <c r="D16" s="368">
        <v>189.15</v>
      </c>
      <c r="E16" s="1163"/>
      <c r="F16" s="368">
        <v>26046.080000000002</v>
      </c>
      <c r="G16" s="369">
        <v>150</v>
      </c>
      <c r="H16" s="371">
        <v>173.64</v>
      </c>
      <c r="I16" s="372">
        <v>0.20622997972205712</v>
      </c>
    </row>
    <row r="17" spans="1:9" ht="72.599999999999994" customHeight="1" thickBot="1">
      <c r="E17" s="375"/>
    </row>
    <row r="18" spans="1:9" s="342" customFormat="1" ht="24.6" thickBot="1">
      <c r="A18" s="1235">
        <v>2025</v>
      </c>
      <c r="B18" s="1237" t="s">
        <v>1058</v>
      </c>
      <c r="C18" s="1238"/>
      <c r="D18" s="1239"/>
      <c r="E18" s="343"/>
      <c r="F18" s="1240" t="s">
        <v>23</v>
      </c>
      <c r="G18" s="1241"/>
      <c r="H18" s="1241"/>
      <c r="I18" s="1242"/>
    </row>
    <row r="19" spans="1:9" s="342" customFormat="1" ht="24.6" thickBot="1">
      <c r="A19" s="1236"/>
      <c r="B19" s="344" t="s">
        <v>36</v>
      </c>
      <c r="C19" s="345" t="s">
        <v>67</v>
      </c>
      <c r="D19" s="346" t="s">
        <v>69</v>
      </c>
      <c r="E19" s="347"/>
      <c r="F19" s="348" t="s">
        <v>36</v>
      </c>
      <c r="G19" s="349" t="s">
        <v>67</v>
      </c>
      <c r="H19" s="350" t="s">
        <v>69</v>
      </c>
      <c r="I19" s="351" t="s">
        <v>1146</v>
      </c>
    </row>
    <row r="20" spans="1:9">
      <c r="A20" s="378" t="s">
        <v>52</v>
      </c>
      <c r="B20" s="352">
        <v>5364.16</v>
      </c>
      <c r="C20" s="353">
        <v>40</v>
      </c>
      <c r="D20" s="352">
        <v>134.1</v>
      </c>
      <c r="E20" s="354"/>
      <c r="F20" s="355">
        <v>2139.17</v>
      </c>
      <c r="G20" s="356">
        <v>12</v>
      </c>
      <c r="H20" s="357">
        <v>178.26</v>
      </c>
      <c r="I20" s="358">
        <v>0.28509634067997341</v>
      </c>
    </row>
    <row r="21" spans="1:9">
      <c r="A21" s="379" t="s">
        <v>53</v>
      </c>
      <c r="B21" s="359">
        <v>5807.26</v>
      </c>
      <c r="C21" s="360">
        <v>42</v>
      </c>
      <c r="D21" s="359">
        <v>138.27000000000001</v>
      </c>
      <c r="E21" s="354"/>
      <c r="F21" s="359">
        <v>1661.83</v>
      </c>
      <c r="G21" s="360">
        <v>12</v>
      </c>
      <c r="H21" s="361">
        <v>138.49</v>
      </c>
      <c r="I21" s="362">
        <v>0.22249393159152228</v>
      </c>
    </row>
    <row r="22" spans="1:9">
      <c r="A22" s="379" t="s">
        <v>26</v>
      </c>
      <c r="B22" s="359">
        <v>6221.36</v>
      </c>
      <c r="C22" s="360">
        <v>42</v>
      </c>
      <c r="D22" s="359">
        <v>148.13</v>
      </c>
      <c r="E22" s="354"/>
      <c r="F22" s="359">
        <v>1925.13</v>
      </c>
      <c r="G22" s="360">
        <v>11</v>
      </c>
      <c r="H22" s="361">
        <v>175.01</v>
      </c>
      <c r="I22" s="362">
        <v>0.23631398509336141</v>
      </c>
    </row>
    <row r="23" spans="1:9">
      <c r="A23" s="379" t="s">
        <v>27</v>
      </c>
      <c r="B23" s="359">
        <v>3742.11</v>
      </c>
      <c r="C23" s="360">
        <v>22</v>
      </c>
      <c r="D23" s="359">
        <v>170.1</v>
      </c>
      <c r="E23" s="354"/>
      <c r="F23" s="359">
        <v>5290.69</v>
      </c>
      <c r="G23" s="360">
        <v>28</v>
      </c>
      <c r="H23" s="361">
        <v>188.95</v>
      </c>
      <c r="I23" s="362">
        <v>0.58571980812771651</v>
      </c>
    </row>
    <row r="24" spans="1:9">
      <c r="A24" s="379" t="s">
        <v>28</v>
      </c>
      <c r="B24" s="359">
        <v>7188.16</v>
      </c>
      <c r="C24" s="360">
        <v>38</v>
      </c>
      <c r="D24" s="359">
        <v>189.16</v>
      </c>
      <c r="E24" s="354"/>
      <c r="F24" s="359">
        <v>3473.78</v>
      </c>
      <c r="G24" s="360">
        <v>16</v>
      </c>
      <c r="H24" s="361">
        <v>217.11</v>
      </c>
      <c r="I24" s="362">
        <v>0.32581106041050517</v>
      </c>
    </row>
    <row r="25" spans="1:9">
      <c r="A25" s="379" t="s">
        <v>29</v>
      </c>
      <c r="B25" s="359">
        <v>8393.27</v>
      </c>
      <c r="C25" s="360">
        <v>39</v>
      </c>
      <c r="D25" s="359">
        <v>215.21</v>
      </c>
      <c r="E25" s="354"/>
      <c r="F25" s="359">
        <v>3746.13</v>
      </c>
      <c r="G25" s="360">
        <v>17</v>
      </c>
      <c r="H25" s="361">
        <v>220.36</v>
      </c>
      <c r="I25" s="362">
        <v>0.30859270314414444</v>
      </c>
    </row>
    <row r="26" spans="1:9">
      <c r="A26" s="379" t="s">
        <v>54</v>
      </c>
      <c r="B26" s="359">
        <v>8157.56</v>
      </c>
      <c r="C26" s="360">
        <v>42</v>
      </c>
      <c r="D26" s="359">
        <v>194.23</v>
      </c>
      <c r="E26" s="354"/>
      <c r="F26" s="359">
        <v>3938.7</v>
      </c>
      <c r="G26" s="360">
        <v>19</v>
      </c>
      <c r="H26" s="361">
        <v>207.3</v>
      </c>
      <c r="I26" s="362">
        <v>0.32561317741233559</v>
      </c>
    </row>
    <row r="27" spans="1:9">
      <c r="A27" s="379" t="s">
        <v>55</v>
      </c>
      <c r="B27" s="359">
        <v>5805.18</v>
      </c>
      <c r="C27" s="360">
        <v>32</v>
      </c>
      <c r="D27" s="359">
        <v>181.41</v>
      </c>
      <c r="E27" s="354"/>
      <c r="F27" s="359">
        <v>4027.31</v>
      </c>
      <c r="G27" s="360">
        <v>17</v>
      </c>
      <c r="H27" s="361">
        <v>236.9</v>
      </c>
      <c r="I27" s="362">
        <v>0.40959208288447702</v>
      </c>
    </row>
    <row r="28" spans="1:9">
      <c r="A28" s="379" t="s">
        <v>56</v>
      </c>
      <c r="B28" s="359">
        <v>8756.5499999999993</v>
      </c>
      <c r="C28" s="360">
        <v>44</v>
      </c>
      <c r="D28" s="359">
        <v>199.01</v>
      </c>
      <c r="E28" s="354"/>
      <c r="F28" s="359">
        <v>2343.2800000000002</v>
      </c>
      <c r="G28" s="360">
        <v>13</v>
      </c>
      <c r="H28" s="361">
        <v>180.25</v>
      </c>
      <c r="I28" s="362">
        <v>0.20659591909051811</v>
      </c>
    </row>
    <row r="29" spans="1:9">
      <c r="A29" s="379" t="s">
        <v>57</v>
      </c>
      <c r="B29" s="359">
        <v>7018.97</v>
      </c>
      <c r="C29" s="360">
        <v>38</v>
      </c>
      <c r="D29" s="359">
        <v>184.71</v>
      </c>
      <c r="E29" s="354"/>
      <c r="F29" s="359">
        <v>4489.05</v>
      </c>
      <c r="G29" s="360">
        <v>20</v>
      </c>
      <c r="H29" s="361">
        <v>224.45</v>
      </c>
      <c r="I29" s="362">
        <v>0.39008028604202499</v>
      </c>
    </row>
    <row r="30" spans="1:9">
      <c r="A30" s="379" t="s">
        <v>58</v>
      </c>
      <c r="B30" s="359">
        <v>4961.09</v>
      </c>
      <c r="C30" s="360">
        <v>33</v>
      </c>
      <c r="D30" s="359">
        <v>150.34</v>
      </c>
      <c r="E30" s="354"/>
      <c r="F30" s="359">
        <v>2225.71</v>
      </c>
      <c r="G30" s="360">
        <v>15</v>
      </c>
      <c r="H30" s="361">
        <v>148.38</v>
      </c>
      <c r="I30" s="362">
        <v>0.30969410648542184</v>
      </c>
    </row>
    <row r="31" spans="1:9" ht="24.6" thickBot="1">
      <c r="A31" s="380" t="s">
        <v>59</v>
      </c>
      <c r="B31" s="363">
        <v>5011.62</v>
      </c>
      <c r="C31" s="364">
        <v>32</v>
      </c>
      <c r="D31" s="363">
        <v>156.61000000000001</v>
      </c>
      <c r="E31" s="354"/>
      <c r="F31" s="363">
        <v>3475.71</v>
      </c>
      <c r="G31" s="364">
        <v>20</v>
      </c>
      <c r="H31" s="365">
        <v>173.79</v>
      </c>
      <c r="I31" s="366">
        <v>0.37430633297361265</v>
      </c>
    </row>
    <row r="32" spans="1:9" s="342" customFormat="1" ht="24.6" thickBot="1">
      <c r="A32" s="367" t="s">
        <v>49</v>
      </c>
      <c r="B32" s="368">
        <v>76427.289999999994</v>
      </c>
      <c r="C32" s="369">
        <v>444</v>
      </c>
      <c r="D32" s="368">
        <v>172.13</v>
      </c>
      <c r="E32" s="370"/>
      <c r="F32" s="368">
        <v>38736.480000000003</v>
      </c>
      <c r="G32" s="369">
        <v>200</v>
      </c>
      <c r="H32" s="371">
        <v>193.68</v>
      </c>
      <c r="I32" s="372">
        <v>0.33334703243804631</v>
      </c>
    </row>
    <row r="33" spans="1:9" ht="85.2" customHeight="1" thickBot="1"/>
    <row r="34" spans="1:9" s="342" customFormat="1" ht="24.6" thickBot="1">
      <c r="A34" s="1235">
        <v>2026</v>
      </c>
      <c r="B34" s="1237" t="s">
        <v>1144</v>
      </c>
      <c r="C34" s="1238"/>
      <c r="D34" s="1239"/>
      <c r="E34" s="341"/>
      <c r="F34" s="1240" t="s">
        <v>23</v>
      </c>
      <c r="G34" s="1241"/>
      <c r="H34" s="1241"/>
      <c r="I34" s="1242"/>
    </row>
    <row r="35" spans="1:9" s="342" customFormat="1" ht="24.6" thickBot="1">
      <c r="A35" s="1236"/>
      <c r="B35" s="344" t="s">
        <v>36</v>
      </c>
      <c r="C35" s="345" t="s">
        <v>67</v>
      </c>
      <c r="D35" s="346" t="s">
        <v>69</v>
      </c>
      <c r="E35" s="347"/>
      <c r="F35" s="348" t="s">
        <v>36</v>
      </c>
      <c r="G35" s="349" t="s">
        <v>67</v>
      </c>
      <c r="H35" s="350" t="s">
        <v>69</v>
      </c>
      <c r="I35" s="351" t="s">
        <v>1146</v>
      </c>
    </row>
    <row r="36" spans="1:9">
      <c r="A36" s="378" t="s">
        <v>52</v>
      </c>
      <c r="B36" s="352">
        <v>3689.41</v>
      </c>
      <c r="C36" s="353">
        <v>32</v>
      </c>
      <c r="D36" s="352">
        <v>115.29</v>
      </c>
      <c r="E36" s="354"/>
      <c r="F36" s="355">
        <v>2789.08</v>
      </c>
      <c r="G36" s="356">
        <v>16</v>
      </c>
      <c r="H36" s="357">
        <v>174.32</v>
      </c>
      <c r="I36" s="358">
        <v>0.43051415877831417</v>
      </c>
    </row>
    <row r="37" spans="1:9">
      <c r="A37" s="379" t="s">
        <v>53</v>
      </c>
      <c r="B37" s="359">
        <v>4476.8900000000003</v>
      </c>
      <c r="C37" s="360">
        <v>32</v>
      </c>
      <c r="D37" s="359">
        <v>139.9</v>
      </c>
      <c r="E37" s="354"/>
      <c r="F37" s="359">
        <v>2098.5300000000002</v>
      </c>
      <c r="G37" s="360">
        <v>19</v>
      </c>
      <c r="H37" s="361">
        <v>110.45</v>
      </c>
      <c r="I37" s="362">
        <v>0.31914769427880946</v>
      </c>
    </row>
    <row r="38" spans="1:9">
      <c r="A38" s="379" t="s">
        <v>26</v>
      </c>
      <c r="B38" s="359">
        <v>6883.73</v>
      </c>
      <c r="C38" s="360">
        <v>43</v>
      </c>
      <c r="D38" s="359">
        <v>160.09</v>
      </c>
      <c r="E38" s="354"/>
      <c r="F38" s="359">
        <v>803.08</v>
      </c>
      <c r="G38" s="360">
        <v>6</v>
      </c>
      <c r="H38" s="361">
        <v>133.85</v>
      </c>
      <c r="I38" s="362">
        <v>0.10447502755693419</v>
      </c>
    </row>
    <row r="39" spans="1:9">
      <c r="A39" s="379" t="s">
        <v>27</v>
      </c>
      <c r="B39" s="359">
        <v>5540.4</v>
      </c>
      <c r="C39" s="360">
        <v>29</v>
      </c>
      <c r="D39" s="359">
        <v>191.05</v>
      </c>
      <c r="E39" s="354"/>
      <c r="F39" s="359">
        <v>2499.39</v>
      </c>
      <c r="G39" s="360">
        <v>11</v>
      </c>
      <c r="H39" s="361">
        <v>227.22</v>
      </c>
      <c r="I39" s="362">
        <v>0.31087745718586218</v>
      </c>
    </row>
    <row r="40" spans="1:9">
      <c r="A40" s="379" t="s">
        <v>28</v>
      </c>
      <c r="B40" s="359">
        <v>5072.24</v>
      </c>
      <c r="C40" s="360">
        <v>24</v>
      </c>
      <c r="D40" s="359">
        <v>211.34</v>
      </c>
      <c r="E40" s="354"/>
      <c r="F40" s="359">
        <v>3335.63</v>
      </c>
      <c r="G40" s="360">
        <v>14</v>
      </c>
      <c r="H40" s="361">
        <v>238.26</v>
      </c>
      <c r="I40" s="362">
        <v>0.39672695829039201</v>
      </c>
    </row>
    <row r="41" spans="1:9">
      <c r="A41" s="379" t="s">
        <v>29</v>
      </c>
      <c r="B41" s="359">
        <v>5225.33</v>
      </c>
      <c r="C41" s="360">
        <v>22</v>
      </c>
      <c r="D41" s="359">
        <v>237.52</v>
      </c>
      <c r="E41" s="354"/>
      <c r="F41" s="359">
        <v>1786.34</v>
      </c>
      <c r="G41" s="360">
        <v>7</v>
      </c>
      <c r="H41" s="361">
        <v>255.19</v>
      </c>
      <c r="I41" s="362">
        <v>0.25476669609379787</v>
      </c>
    </row>
    <row r="42" spans="1:9">
      <c r="A42" s="379" t="s">
        <v>54</v>
      </c>
      <c r="B42" s="359">
        <v>1769.47</v>
      </c>
      <c r="C42" s="360">
        <v>8</v>
      </c>
      <c r="D42" s="359">
        <v>221.18</v>
      </c>
      <c r="E42" s="354"/>
      <c r="F42" s="359">
        <v>5336.76</v>
      </c>
      <c r="G42" s="360">
        <v>25</v>
      </c>
      <c r="H42" s="361">
        <v>213.47</v>
      </c>
      <c r="I42" s="362">
        <v>0.7509973678447236</v>
      </c>
    </row>
    <row r="43" spans="1:9">
      <c r="A43" s="379" t="s">
        <v>55</v>
      </c>
      <c r="B43" s="359">
        <v>1178.95</v>
      </c>
      <c r="C43" s="360">
        <v>6</v>
      </c>
      <c r="D43" s="359">
        <v>196.49</v>
      </c>
      <c r="E43" s="354"/>
      <c r="F43" s="359">
        <v>0</v>
      </c>
      <c r="G43" s="360">
        <v>0</v>
      </c>
      <c r="H43" s="361"/>
      <c r="I43" s="362">
        <v>0</v>
      </c>
    </row>
    <row r="44" spans="1:9">
      <c r="A44" s="379" t="s">
        <v>56</v>
      </c>
      <c r="B44" s="359">
        <v>2655.64</v>
      </c>
      <c r="C44" s="360">
        <v>13</v>
      </c>
      <c r="D44" s="359">
        <v>204.28</v>
      </c>
      <c r="E44" s="354"/>
      <c r="F44" s="359">
        <v>0</v>
      </c>
      <c r="G44" s="360">
        <v>0</v>
      </c>
      <c r="H44" s="361"/>
      <c r="I44" s="362">
        <v>0</v>
      </c>
    </row>
    <row r="45" spans="1:9">
      <c r="A45" s="379" t="s">
        <v>57</v>
      </c>
      <c r="B45" s="359">
        <v>0</v>
      </c>
      <c r="C45" s="360">
        <v>0</v>
      </c>
      <c r="D45" s="359"/>
      <c r="E45" s="354"/>
      <c r="F45" s="359">
        <v>756.75</v>
      </c>
      <c r="G45" s="360">
        <v>4</v>
      </c>
      <c r="H45" s="361">
        <v>189.19</v>
      </c>
      <c r="I45" s="362">
        <v>1</v>
      </c>
    </row>
    <row r="46" spans="1:9">
      <c r="A46" s="379" t="s">
        <v>58</v>
      </c>
      <c r="B46" s="359">
        <v>0</v>
      </c>
      <c r="C46" s="360">
        <v>0</v>
      </c>
      <c r="D46" s="359"/>
      <c r="E46" s="354"/>
      <c r="F46" s="359">
        <v>0</v>
      </c>
      <c r="G46" s="360">
        <v>0</v>
      </c>
      <c r="H46" s="361"/>
      <c r="I46" s="362"/>
    </row>
    <row r="47" spans="1:9" ht="24.6" thickBot="1">
      <c r="A47" s="380" t="s">
        <v>59</v>
      </c>
      <c r="B47" s="363">
        <v>0</v>
      </c>
      <c r="C47" s="364">
        <v>0</v>
      </c>
      <c r="D47" s="363"/>
      <c r="E47" s="354"/>
      <c r="F47" s="363">
        <v>1029.6199999999999</v>
      </c>
      <c r="G47" s="364">
        <v>5</v>
      </c>
      <c r="H47" s="365">
        <v>205.92</v>
      </c>
      <c r="I47" s="366">
        <v>1</v>
      </c>
    </row>
    <row r="48" spans="1:9" s="342" customFormat="1" ht="24.6" thickBot="1">
      <c r="A48" s="367" t="s">
        <v>1145</v>
      </c>
      <c r="B48" s="368">
        <v>36492.07</v>
      </c>
      <c r="C48" s="369">
        <v>209</v>
      </c>
      <c r="D48" s="368">
        <v>174.6</v>
      </c>
      <c r="E48" s="370"/>
      <c r="F48" s="368">
        <v>20435.18</v>
      </c>
      <c r="G48" s="369">
        <v>107</v>
      </c>
      <c r="H48" s="371">
        <v>190.98</v>
      </c>
      <c r="I48" s="372">
        <v>0.35897013653653248</v>
      </c>
    </row>
  </sheetData>
  <mergeCells count="10">
    <mergeCell ref="A34:A35"/>
    <mergeCell ref="B34:D34"/>
    <mergeCell ref="F34:I34"/>
    <mergeCell ref="A1:I1"/>
    <mergeCell ref="F2:I2"/>
    <mergeCell ref="A18:A19"/>
    <mergeCell ref="B18:D18"/>
    <mergeCell ref="F18:I18"/>
    <mergeCell ref="B2:D2"/>
    <mergeCell ref="A2:A3"/>
  </mergeCells>
  <phoneticPr fontId="15"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51207" r:id="rId4" name="ComboBox1">
          <controlPr defaultSize="0" autoLine="0" autoPict="0" r:id="rId5">
            <anchor moveWithCells="1">
              <from>
                <xdr:col>9</xdr:col>
                <xdr:colOff>266700</xdr:colOff>
                <xdr:row>0</xdr:row>
                <xdr:rowOff>175260</xdr:rowOff>
              </from>
              <to>
                <xdr:col>11</xdr:col>
                <xdr:colOff>533400</xdr:colOff>
                <xdr:row>0</xdr:row>
                <xdr:rowOff>571500</xdr:rowOff>
              </to>
            </anchor>
          </controlPr>
        </control>
      </mc:Choice>
      <mc:Fallback>
        <control shapeId="51207" r:id="rId4" name="ComboBox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07F6-FBE2-4A63-B071-88FDBDD634D8}">
  <sheetPr codeName="Feuil7"/>
  <dimension ref="A1:ALL150"/>
  <sheetViews>
    <sheetView showGridLines="0" zoomScale="85" zoomScaleNormal="85" workbookViewId="0">
      <selection activeCell="P70" sqref="P70"/>
    </sheetView>
  </sheetViews>
  <sheetFormatPr baseColWidth="10" defaultColWidth="10.7109375" defaultRowHeight="16.2" outlineLevelRow="2"/>
  <cols>
    <col min="1" max="1" width="10.7109375" style="6"/>
    <col min="2" max="2" width="6.28515625" style="6" customWidth="1"/>
    <col min="3" max="3" width="7.0703125" style="6" customWidth="1"/>
    <col min="4" max="14" width="7.640625" style="6" customWidth="1"/>
    <col min="15" max="15" width="10.7109375" style="14"/>
    <col min="16" max="16" width="10.7109375" style="6"/>
    <col min="17" max="17" width="6.2109375" style="6" customWidth="1"/>
    <col min="18" max="18" width="6.92578125" style="6" customWidth="1"/>
    <col min="19" max="19" width="6.640625" style="6" customWidth="1"/>
    <col min="20" max="16384" width="10.7109375" style="6"/>
  </cols>
  <sheetData>
    <row r="1" spans="1:1000" s="4" customFormat="1" ht="26.4">
      <c r="A1" s="1191" t="s">
        <v>8</v>
      </c>
      <c r="B1" s="1192"/>
      <c r="C1" s="1193" t="s">
        <v>52</v>
      </c>
      <c r="D1" s="1193" t="s">
        <v>53</v>
      </c>
      <c r="E1" s="1193" t="s">
        <v>26</v>
      </c>
      <c r="F1" s="1193" t="s">
        <v>27</v>
      </c>
      <c r="G1" s="1193" t="s">
        <v>28</v>
      </c>
      <c r="H1" s="1193" t="s">
        <v>29</v>
      </c>
      <c r="I1" s="1193" t="s">
        <v>54</v>
      </c>
      <c r="J1" s="1193" t="s">
        <v>55</v>
      </c>
      <c r="K1" s="1193" t="s">
        <v>56</v>
      </c>
      <c r="L1" s="1193" t="s">
        <v>57</v>
      </c>
      <c r="M1" s="1193" t="s">
        <v>58</v>
      </c>
      <c r="N1" s="1193" t="s">
        <v>59</v>
      </c>
      <c r="O1" s="1194"/>
      <c r="P1" s="47"/>
      <c r="Q1" s="47"/>
      <c r="R1" s="47"/>
      <c r="S1" s="47"/>
    </row>
    <row r="2" spans="1:1000" ht="16.350000000000001" hidden="1" customHeight="1" outlineLevel="1">
      <c r="A2" s="1253">
        <v>2023</v>
      </c>
      <c r="B2" s="1195" t="s">
        <v>36</v>
      </c>
      <c r="C2" s="1196"/>
      <c r="D2" s="1196"/>
      <c r="E2" s="1196"/>
      <c r="F2" s="1196"/>
      <c r="G2" s="1196"/>
      <c r="H2" s="1196"/>
      <c r="I2" s="1196"/>
      <c r="J2" s="1196">
        <v>230.21</v>
      </c>
      <c r="K2" s="1196">
        <v>2324.13</v>
      </c>
      <c r="L2" s="1196">
        <v>1881.69</v>
      </c>
      <c r="M2" s="1196">
        <v>5351.23</v>
      </c>
      <c r="N2" s="1196">
        <v>6026.47</v>
      </c>
      <c r="O2" s="1197">
        <v>15813.73</v>
      </c>
      <c r="P2" s="48"/>
      <c r="Q2" s="48"/>
      <c r="R2" s="48"/>
      <c r="S2" s="48"/>
      <c r="AC2" s="491"/>
      <c r="AD2" s="500"/>
      <c r="AE2" s="491"/>
      <c r="AF2" s="639"/>
      <c r="AG2" s="500"/>
      <c r="BH2" s="491"/>
      <c r="BI2" s="500"/>
      <c r="BJ2" s="491"/>
      <c r="BK2" s="639"/>
      <c r="BL2" s="500"/>
      <c r="CL2" s="491"/>
      <c r="CM2" s="639"/>
      <c r="CN2" s="639"/>
      <c r="CO2" s="639"/>
      <c r="CP2" s="500"/>
      <c r="DQ2" s="491"/>
      <c r="DR2" s="639"/>
      <c r="DS2" s="639"/>
      <c r="DT2" s="639"/>
      <c r="DU2" s="500"/>
      <c r="EU2" s="491"/>
      <c r="EV2" s="639"/>
      <c r="EW2" s="500"/>
      <c r="EX2" s="491"/>
      <c r="EY2" s="500"/>
      <c r="FZ2" s="491"/>
      <c r="GA2" s="639"/>
      <c r="GB2" s="500"/>
      <c r="HE2" s="491"/>
      <c r="HF2" s="500"/>
      <c r="II2" s="491"/>
      <c r="IJ2" s="639"/>
      <c r="IK2" s="500"/>
      <c r="JN2" s="491"/>
      <c r="JO2" s="639"/>
      <c r="JP2" s="500"/>
      <c r="KR2" s="491"/>
      <c r="KS2" s="639"/>
      <c r="KT2" s="500"/>
      <c r="LW2" s="491"/>
      <c r="LX2" s="491"/>
      <c r="NC2" s="491"/>
    </row>
    <row r="3" spans="1:1000" ht="16.350000000000001" hidden="1" customHeight="1" outlineLevel="1">
      <c r="A3" s="1254"/>
      <c r="B3" s="848" t="s">
        <v>42</v>
      </c>
      <c r="C3" s="849"/>
      <c r="D3" s="849"/>
      <c r="E3" s="849"/>
      <c r="F3" s="849"/>
      <c r="G3" s="849"/>
      <c r="H3" s="851"/>
      <c r="I3" s="1001"/>
      <c r="J3" s="854"/>
      <c r="K3" s="849"/>
      <c r="L3" s="855"/>
      <c r="M3" s="853"/>
      <c r="N3" s="854"/>
      <c r="O3" s="1166"/>
      <c r="P3" s="48"/>
      <c r="Q3" s="494"/>
      <c r="R3" s="48"/>
      <c r="S3" s="48"/>
      <c r="X3" s="497"/>
      <c r="AA3" s="497"/>
      <c r="AB3" s="497"/>
      <c r="AC3" s="491"/>
      <c r="AD3" s="500"/>
      <c r="AE3" s="636"/>
      <c r="AF3" s="639"/>
      <c r="AG3" s="500"/>
      <c r="AH3" s="497"/>
      <c r="AI3" s="497"/>
      <c r="AK3" s="497"/>
      <c r="AL3" s="497"/>
      <c r="AO3" s="497"/>
      <c r="AP3" s="497"/>
      <c r="AR3" s="497"/>
      <c r="AS3" s="497"/>
      <c r="AV3" s="497"/>
      <c r="AW3" s="497"/>
      <c r="AY3" s="497"/>
      <c r="AZ3" s="497"/>
      <c r="BC3" s="497"/>
      <c r="BD3" s="497"/>
      <c r="BF3" s="497"/>
      <c r="BG3" s="497"/>
      <c r="BH3" s="491"/>
      <c r="BI3" s="500"/>
      <c r="BJ3" s="636"/>
      <c r="BK3" s="639"/>
      <c r="BL3" s="500"/>
      <c r="BM3" s="497"/>
      <c r="BN3" s="497"/>
      <c r="BQ3" s="497"/>
      <c r="BR3" s="497"/>
      <c r="BT3" s="497"/>
      <c r="BU3" s="497"/>
      <c r="BX3" s="497"/>
      <c r="BY3" s="497"/>
      <c r="CA3" s="497"/>
      <c r="CB3" s="497"/>
      <c r="CE3" s="497"/>
      <c r="CF3" s="497"/>
      <c r="CH3" s="497"/>
      <c r="CI3" s="497"/>
      <c r="CL3" s="636"/>
      <c r="CM3" s="639"/>
      <c r="CN3" s="500"/>
      <c r="CO3" s="497"/>
      <c r="CP3" s="497"/>
      <c r="CS3" s="497"/>
      <c r="CT3" s="497"/>
      <c r="CV3" s="497"/>
      <c r="CW3" s="497"/>
      <c r="CZ3" s="497"/>
      <c r="DA3" s="497"/>
      <c r="DC3" s="497"/>
      <c r="DD3" s="497"/>
      <c r="DG3" s="497"/>
      <c r="DH3" s="497"/>
      <c r="DJ3" s="497"/>
      <c r="DK3" s="497"/>
      <c r="DN3" s="497"/>
      <c r="DO3" s="497"/>
      <c r="DQ3" s="636"/>
      <c r="DR3" s="639"/>
      <c r="DS3" s="639"/>
      <c r="DT3" s="500"/>
      <c r="DU3" s="497"/>
      <c r="DV3" s="497"/>
      <c r="DX3" s="497"/>
      <c r="DY3" s="497"/>
      <c r="EB3" s="497"/>
      <c r="EC3" s="497"/>
      <c r="EE3" s="497"/>
      <c r="EF3" s="497"/>
      <c r="EI3" s="497"/>
      <c r="EJ3" s="497"/>
      <c r="EL3" s="497"/>
      <c r="EM3" s="497"/>
      <c r="EP3" s="497"/>
      <c r="EQ3" s="497"/>
      <c r="ES3" s="497"/>
      <c r="ET3" s="497"/>
      <c r="EU3" s="491"/>
      <c r="EV3" s="639"/>
      <c r="EW3" s="500"/>
      <c r="EX3" s="636"/>
      <c r="EY3" s="500"/>
      <c r="EZ3" s="497"/>
      <c r="FA3" s="497"/>
      <c r="FD3" s="497"/>
      <c r="FE3" s="497"/>
      <c r="FG3" s="497"/>
      <c r="FH3" s="497"/>
      <c r="FK3" s="497"/>
      <c r="FL3" s="497"/>
      <c r="FN3" s="497"/>
      <c r="FO3" s="497"/>
      <c r="FR3" s="497"/>
      <c r="FS3" s="497"/>
      <c r="FU3" s="497"/>
      <c r="FV3" s="497"/>
      <c r="FY3" s="497"/>
      <c r="FZ3" s="636"/>
      <c r="GA3" s="639"/>
      <c r="GB3" s="500"/>
      <c r="GC3" s="497"/>
      <c r="GF3" s="497"/>
      <c r="GG3" s="497"/>
      <c r="GI3" s="497"/>
      <c r="GJ3" s="497"/>
      <c r="GM3" s="497"/>
      <c r="GN3" s="497"/>
      <c r="GP3" s="497"/>
      <c r="GQ3" s="497"/>
      <c r="GT3" s="497"/>
      <c r="GU3" s="497"/>
      <c r="GW3" s="497"/>
      <c r="GX3" s="497"/>
      <c r="HA3" s="497"/>
      <c r="HB3" s="497"/>
      <c r="HD3" s="497"/>
      <c r="HE3" s="636"/>
      <c r="HF3" s="500"/>
      <c r="HH3" s="497"/>
      <c r="HI3" s="497"/>
      <c r="HK3" s="497"/>
      <c r="HL3" s="497"/>
      <c r="HO3" s="497"/>
      <c r="HP3" s="497"/>
      <c r="HR3" s="497"/>
      <c r="HS3" s="497"/>
      <c r="HV3" s="497"/>
      <c r="HW3" s="497"/>
      <c r="HY3" s="497"/>
      <c r="HZ3" s="497"/>
      <c r="IC3" s="497"/>
      <c r="ID3" s="497"/>
      <c r="IF3" s="497"/>
      <c r="IG3" s="497"/>
      <c r="II3" s="491"/>
      <c r="IJ3" s="639"/>
      <c r="IK3" s="500"/>
      <c r="IM3" s="497"/>
      <c r="IN3" s="497"/>
      <c r="IQ3" s="497"/>
      <c r="IR3" s="497"/>
      <c r="IT3" s="497"/>
      <c r="IU3" s="497"/>
      <c r="IX3" s="497"/>
      <c r="IY3" s="497"/>
      <c r="JA3" s="497"/>
      <c r="JB3" s="497"/>
      <c r="JE3" s="497"/>
      <c r="JF3" s="497"/>
      <c r="JH3" s="497"/>
      <c r="JI3" s="497"/>
      <c r="JL3" s="497"/>
      <c r="JM3" s="497"/>
      <c r="JN3" s="491"/>
      <c r="JO3" s="500"/>
      <c r="JP3" s="497"/>
      <c r="JS3" s="497"/>
      <c r="JT3" s="497"/>
      <c r="JV3" s="497"/>
      <c r="JW3" s="497"/>
      <c r="JZ3" s="497"/>
      <c r="KA3" s="497"/>
      <c r="KC3" s="497"/>
      <c r="KD3" s="497"/>
      <c r="KG3" s="497"/>
      <c r="KH3" s="497"/>
      <c r="KJ3" s="497"/>
      <c r="KK3" s="497"/>
      <c r="KN3" s="497"/>
      <c r="KO3" s="497"/>
      <c r="KQ3" s="497"/>
      <c r="KR3" s="636"/>
      <c r="KS3" s="639"/>
      <c r="KT3" s="500"/>
      <c r="KU3" s="497"/>
      <c r="KV3" s="497"/>
      <c r="KX3" s="497"/>
      <c r="KY3" s="497"/>
      <c r="LB3" s="497"/>
      <c r="LC3" s="497"/>
      <c r="LE3" s="497"/>
      <c r="LF3" s="497"/>
      <c r="LI3" s="497"/>
      <c r="LJ3" s="497"/>
      <c r="LL3" s="497"/>
      <c r="LM3" s="497"/>
      <c r="LP3" s="497"/>
      <c r="LQ3" s="497"/>
      <c r="LS3" s="497"/>
      <c r="LT3" s="497"/>
      <c r="LW3" s="636"/>
      <c r="LX3" s="636"/>
      <c r="LZ3" s="497"/>
      <c r="MA3" s="497"/>
      <c r="MD3" s="497"/>
      <c r="ME3" s="497"/>
      <c r="MG3" s="497"/>
      <c r="MH3" s="497"/>
      <c r="MK3" s="497"/>
      <c r="ML3" s="497"/>
      <c r="MN3" s="497"/>
      <c r="MO3" s="497"/>
      <c r="MR3" s="497"/>
      <c r="MS3" s="497"/>
      <c r="MU3" s="497"/>
      <c r="MV3" s="497"/>
      <c r="MY3" s="497"/>
      <c r="MZ3" s="497"/>
      <c r="NB3" s="497"/>
      <c r="NC3" s="491"/>
    </row>
    <row r="4" spans="1:1000" s="454" customFormat="1" ht="31.95" hidden="1" customHeight="1" outlineLevel="1">
      <c r="A4" s="1254"/>
      <c r="B4" s="894" t="s">
        <v>37</v>
      </c>
      <c r="C4" s="850"/>
      <c r="D4" s="452"/>
      <c r="E4" s="452"/>
      <c r="F4" s="452"/>
      <c r="G4" s="452"/>
      <c r="H4" s="852"/>
      <c r="I4" s="830"/>
      <c r="J4" s="633" t="s">
        <v>3792</v>
      </c>
      <c r="K4" s="456" t="s">
        <v>3793</v>
      </c>
      <c r="L4" s="856" t="s">
        <v>3794</v>
      </c>
      <c r="M4" s="857" t="s">
        <v>3795</v>
      </c>
      <c r="N4" s="633" t="s">
        <v>3796</v>
      </c>
      <c r="O4" s="1165" t="s">
        <v>3797</v>
      </c>
      <c r="P4" s="453"/>
      <c r="Q4" s="492"/>
      <c r="R4" s="453"/>
      <c r="S4" s="453"/>
      <c r="X4" s="495"/>
      <c r="AA4" s="495"/>
      <c r="AB4" s="495"/>
      <c r="AC4" s="487"/>
      <c r="AD4" s="498"/>
      <c r="AE4" s="634"/>
      <c r="AF4" s="637"/>
      <c r="AG4" s="498"/>
      <c r="AH4" s="495"/>
      <c r="AI4" s="495"/>
      <c r="AK4" s="495"/>
      <c r="AL4" s="495"/>
      <c r="AO4" s="495"/>
      <c r="AP4" s="495"/>
      <c r="AR4" s="495"/>
      <c r="AS4" s="495"/>
      <c r="AV4" s="495"/>
      <c r="AW4" s="495"/>
      <c r="AY4" s="495"/>
      <c r="AZ4" s="495"/>
      <c r="BC4" s="495"/>
      <c r="BD4" s="495"/>
      <c r="BF4" s="495"/>
      <c r="BG4" s="495"/>
      <c r="BH4" s="487"/>
      <c r="BI4" s="498"/>
      <c r="BJ4" s="634"/>
      <c r="BK4" s="637"/>
      <c r="BL4" s="498"/>
      <c r="BM4" s="495"/>
      <c r="BN4" s="495"/>
      <c r="BQ4" s="495"/>
      <c r="BR4" s="495"/>
      <c r="BT4" s="495"/>
      <c r="BU4" s="495"/>
      <c r="BX4" s="495"/>
      <c r="BY4" s="495"/>
      <c r="CA4" s="495"/>
      <c r="CB4" s="495"/>
      <c r="CE4" s="495"/>
      <c r="CF4" s="495"/>
      <c r="CH4" s="495"/>
      <c r="CI4" s="495"/>
      <c r="CL4" s="634"/>
      <c r="CM4" s="637"/>
      <c r="CN4" s="498"/>
      <c r="CO4" s="495"/>
      <c r="CP4" s="495"/>
      <c r="CS4" s="495"/>
      <c r="CT4" s="495"/>
      <c r="CV4" s="495"/>
      <c r="CW4" s="495"/>
      <c r="CZ4" s="495"/>
      <c r="DA4" s="495"/>
      <c r="DC4" s="495"/>
      <c r="DD4" s="495"/>
      <c r="DG4" s="495"/>
      <c r="DH4" s="495"/>
      <c r="DJ4" s="495"/>
      <c r="DK4" s="495"/>
      <c r="DN4" s="495"/>
      <c r="DO4" s="495"/>
      <c r="DQ4" s="634"/>
      <c r="DR4" s="637"/>
      <c r="DS4" s="637"/>
      <c r="DT4" s="498"/>
      <c r="DU4" s="495"/>
      <c r="DV4" s="495"/>
      <c r="DX4" s="495"/>
      <c r="DY4" s="495"/>
      <c r="EB4" s="495"/>
      <c r="EC4" s="495"/>
      <c r="EE4" s="495"/>
      <c r="EF4" s="495"/>
      <c r="EI4" s="495"/>
      <c r="EJ4" s="495"/>
      <c r="EL4" s="495"/>
      <c r="EM4" s="495"/>
      <c r="EP4" s="495"/>
      <c r="EQ4" s="495"/>
      <c r="ES4" s="495"/>
      <c r="ET4" s="495"/>
      <c r="EU4" s="487"/>
      <c r="EV4" s="637"/>
      <c r="EW4" s="498"/>
      <c r="EX4" s="634"/>
      <c r="EY4" s="498"/>
      <c r="EZ4" s="495"/>
      <c r="FA4" s="495"/>
      <c r="FD4" s="495"/>
      <c r="FE4" s="495"/>
      <c r="FG4" s="495"/>
      <c r="FH4" s="495"/>
      <c r="FK4" s="495"/>
      <c r="FL4" s="495"/>
      <c r="FN4" s="495"/>
      <c r="FO4" s="495"/>
      <c r="FR4" s="495"/>
      <c r="FS4" s="495"/>
      <c r="FU4" s="495"/>
      <c r="FV4" s="495"/>
      <c r="FY4" s="495"/>
      <c r="FZ4" s="634"/>
      <c r="GA4" s="637"/>
      <c r="GB4" s="498"/>
      <c r="GC4" s="495"/>
      <c r="GF4" s="495"/>
      <c r="GG4" s="495"/>
      <c r="GI4" s="495"/>
      <c r="GJ4" s="495"/>
      <c r="GM4" s="495"/>
      <c r="GN4" s="495"/>
      <c r="GP4" s="495"/>
      <c r="GQ4" s="495"/>
      <c r="GT4" s="495"/>
      <c r="GU4" s="495"/>
      <c r="GW4" s="495"/>
      <c r="GX4" s="495"/>
      <c r="HA4" s="495"/>
      <c r="HB4" s="495"/>
      <c r="HD4" s="495"/>
      <c r="HE4" s="634"/>
      <c r="HF4" s="498"/>
      <c r="HH4" s="495"/>
      <c r="HI4" s="495"/>
      <c r="HK4" s="495"/>
      <c r="HL4" s="495"/>
      <c r="HO4" s="495"/>
      <c r="HP4" s="495"/>
      <c r="HR4" s="495"/>
      <c r="HS4" s="495"/>
      <c r="HV4" s="495"/>
      <c r="HW4" s="495"/>
      <c r="HY4" s="495"/>
      <c r="HZ4" s="495"/>
      <c r="IC4" s="495"/>
      <c r="ID4" s="495"/>
      <c r="IF4" s="495"/>
      <c r="IG4" s="495"/>
      <c r="II4" s="487"/>
      <c r="IJ4" s="637"/>
      <c r="IK4" s="498"/>
      <c r="IM4" s="495"/>
      <c r="IN4" s="495"/>
      <c r="IQ4" s="495"/>
      <c r="IR4" s="495"/>
      <c r="IT4" s="495"/>
      <c r="IU4" s="495"/>
      <c r="IX4" s="495"/>
      <c r="IY4" s="495"/>
      <c r="JA4" s="495"/>
      <c r="JB4" s="495"/>
      <c r="JE4" s="495"/>
      <c r="JF4" s="495"/>
      <c r="JH4" s="495"/>
      <c r="JI4" s="495"/>
      <c r="JL4" s="495"/>
      <c r="JM4" s="495"/>
      <c r="JN4" s="487"/>
      <c r="JO4" s="498"/>
      <c r="JP4" s="495"/>
      <c r="JS4" s="495"/>
      <c r="JT4" s="495"/>
      <c r="JV4" s="495"/>
      <c r="JW4" s="495"/>
      <c r="JZ4" s="495"/>
      <c r="KA4" s="495"/>
      <c r="KC4" s="495"/>
      <c r="KD4" s="495"/>
      <c r="KG4" s="495"/>
      <c r="KH4" s="495"/>
      <c r="KJ4" s="495"/>
      <c r="KK4" s="495"/>
      <c r="KN4" s="495"/>
      <c r="KO4" s="495"/>
      <c r="KQ4" s="495"/>
      <c r="KR4" s="634"/>
      <c r="KS4" s="637"/>
      <c r="KT4" s="498"/>
      <c r="KU4" s="495"/>
      <c r="KV4" s="495"/>
      <c r="KX4" s="495"/>
      <c r="KY4" s="495"/>
      <c r="LB4" s="495"/>
      <c r="LC4" s="495"/>
      <c r="LE4" s="495"/>
      <c r="LF4" s="495"/>
      <c r="LI4" s="495"/>
      <c r="LJ4" s="495"/>
      <c r="LL4" s="495"/>
      <c r="LM4" s="495"/>
      <c r="LP4" s="495"/>
      <c r="LQ4" s="495"/>
      <c r="LS4" s="495"/>
      <c r="LT4" s="495"/>
      <c r="LW4" s="634"/>
      <c r="LX4" s="634"/>
      <c r="LZ4" s="495"/>
      <c r="MA4" s="495"/>
      <c r="MD4" s="495"/>
      <c r="ME4" s="495"/>
      <c r="MG4" s="495"/>
      <c r="MH4" s="495"/>
      <c r="MK4" s="495"/>
      <c r="ML4" s="495"/>
      <c r="MN4" s="495"/>
      <c r="MO4" s="495"/>
      <c r="MR4" s="495"/>
      <c r="MS4" s="495"/>
      <c r="MU4" s="495"/>
      <c r="MV4" s="495"/>
      <c r="MY4" s="495"/>
      <c r="MZ4" s="495"/>
      <c r="NB4" s="495"/>
      <c r="NC4" s="487"/>
    </row>
    <row r="5" spans="1:1000" s="27" customFormat="1" ht="16.350000000000001" hidden="1" customHeight="1" outlineLevel="1">
      <c r="A5" s="1255"/>
      <c r="B5" s="1198" t="s">
        <v>38</v>
      </c>
      <c r="C5" s="1199"/>
      <c r="D5" s="1199"/>
      <c r="E5" s="1199"/>
      <c r="F5" s="1199"/>
      <c r="G5" s="1199"/>
      <c r="H5" s="1200"/>
      <c r="I5" s="1201"/>
      <c r="J5" s="1202">
        <v>6.4516129032258063E-2</v>
      </c>
      <c r="K5" s="1199">
        <v>0.4</v>
      </c>
      <c r="L5" s="1200">
        <v>0.25806451612903225</v>
      </c>
      <c r="M5" s="1201">
        <v>0.8666666666666667</v>
      </c>
      <c r="N5" s="1202">
        <v>0.90322580645161288</v>
      </c>
      <c r="O5" s="1203">
        <v>0.20821917808219179</v>
      </c>
      <c r="P5" s="488"/>
      <c r="Q5" s="493"/>
      <c r="R5" s="488"/>
      <c r="S5" s="488"/>
      <c r="T5" s="489"/>
      <c r="U5" s="489"/>
      <c r="V5" s="489"/>
      <c r="W5" s="489"/>
      <c r="X5" s="496"/>
      <c r="Y5" s="489"/>
      <c r="Z5" s="489"/>
      <c r="AA5" s="496"/>
      <c r="AB5" s="496"/>
      <c r="AC5" s="490"/>
      <c r="AD5" s="499"/>
      <c r="AE5" s="635"/>
      <c r="AF5" s="638"/>
      <c r="AG5" s="499"/>
      <c r="AH5" s="496"/>
      <c r="AI5" s="496"/>
      <c r="AJ5" s="489"/>
      <c r="AK5" s="496"/>
      <c r="AL5" s="496"/>
      <c r="AM5" s="489"/>
      <c r="AN5" s="489"/>
      <c r="AO5" s="496"/>
      <c r="AP5" s="496"/>
      <c r="AQ5" s="489"/>
      <c r="AR5" s="496"/>
      <c r="AS5" s="496"/>
      <c r="AT5" s="489"/>
      <c r="AU5" s="489"/>
      <c r="AV5" s="496"/>
      <c r="AW5" s="496"/>
      <c r="AX5" s="489"/>
      <c r="AY5" s="496"/>
      <c r="AZ5" s="496"/>
      <c r="BA5" s="489"/>
      <c r="BB5" s="489"/>
      <c r="BC5" s="496"/>
      <c r="BD5" s="496"/>
      <c r="BE5" s="489"/>
      <c r="BF5" s="496"/>
      <c r="BG5" s="496"/>
      <c r="BH5" s="490"/>
      <c r="BI5" s="499"/>
      <c r="BJ5" s="635"/>
      <c r="BK5" s="638"/>
      <c r="BL5" s="499"/>
      <c r="BM5" s="496"/>
      <c r="BN5" s="496"/>
      <c r="BO5" s="489"/>
      <c r="BP5" s="489"/>
      <c r="BQ5" s="496"/>
      <c r="BR5" s="496"/>
      <c r="BS5" s="489"/>
      <c r="BT5" s="496"/>
      <c r="BU5" s="496"/>
      <c r="BV5" s="489"/>
      <c r="BW5" s="489"/>
      <c r="BX5" s="496"/>
      <c r="BY5" s="496"/>
      <c r="BZ5" s="489"/>
      <c r="CA5" s="496"/>
      <c r="CB5" s="496"/>
      <c r="CC5" s="489"/>
      <c r="CD5" s="489"/>
      <c r="CE5" s="496"/>
      <c r="CF5" s="496"/>
      <c r="CG5" s="489"/>
      <c r="CH5" s="496"/>
      <c r="CI5" s="496"/>
      <c r="CJ5" s="489"/>
      <c r="CK5" s="489"/>
      <c r="CL5" s="635"/>
      <c r="CM5" s="638"/>
      <c r="CN5" s="499"/>
      <c r="CO5" s="496"/>
      <c r="CP5" s="496"/>
      <c r="CQ5" s="489"/>
      <c r="CR5" s="489"/>
      <c r="CS5" s="496"/>
      <c r="CT5" s="496"/>
      <c r="CU5" s="489"/>
      <c r="CV5" s="496"/>
      <c r="CW5" s="496"/>
      <c r="CX5" s="489"/>
      <c r="CY5" s="489"/>
      <c r="CZ5" s="496"/>
      <c r="DA5" s="496"/>
      <c r="DB5" s="489"/>
      <c r="DC5" s="496"/>
      <c r="DD5" s="496"/>
      <c r="DE5" s="489"/>
      <c r="DF5" s="489"/>
      <c r="DG5" s="496"/>
      <c r="DH5" s="496"/>
      <c r="DI5" s="489"/>
      <c r="DJ5" s="496"/>
      <c r="DK5" s="496"/>
      <c r="DL5" s="489"/>
      <c r="DM5" s="489"/>
      <c r="DN5" s="496"/>
      <c r="DO5" s="496"/>
      <c r="DP5" s="489"/>
      <c r="DQ5" s="635"/>
      <c r="DR5" s="638"/>
      <c r="DS5" s="638"/>
      <c r="DT5" s="499"/>
      <c r="DU5" s="496"/>
      <c r="DV5" s="496"/>
      <c r="DW5" s="489"/>
      <c r="DX5" s="496"/>
      <c r="DY5" s="496"/>
      <c r="DZ5" s="489"/>
      <c r="EA5" s="489"/>
      <c r="EB5" s="496"/>
      <c r="EC5" s="496"/>
      <c r="ED5" s="489"/>
      <c r="EE5" s="496"/>
      <c r="EF5" s="496"/>
      <c r="EG5" s="489"/>
      <c r="EH5" s="489"/>
      <c r="EI5" s="496"/>
      <c r="EJ5" s="496"/>
      <c r="EK5" s="489"/>
      <c r="EL5" s="496"/>
      <c r="EM5" s="496"/>
      <c r="EN5" s="489"/>
      <c r="EO5" s="489"/>
      <c r="EP5" s="496"/>
      <c r="EQ5" s="496"/>
      <c r="ER5" s="489"/>
      <c r="ES5" s="496"/>
      <c r="ET5" s="496"/>
      <c r="EU5" s="490"/>
      <c r="EV5" s="638"/>
      <c r="EW5" s="499"/>
      <c r="EX5" s="635"/>
      <c r="EY5" s="499"/>
      <c r="EZ5" s="496"/>
      <c r="FA5" s="496"/>
      <c r="FB5" s="489"/>
      <c r="FC5" s="489"/>
      <c r="FD5" s="496"/>
      <c r="FE5" s="496"/>
      <c r="FF5" s="489"/>
      <c r="FG5" s="496"/>
      <c r="FH5" s="496"/>
      <c r="FI5" s="489"/>
      <c r="FJ5" s="489"/>
      <c r="FK5" s="496"/>
      <c r="FL5" s="496"/>
      <c r="FM5" s="489"/>
      <c r="FN5" s="496"/>
      <c r="FO5" s="496"/>
      <c r="FP5" s="489"/>
      <c r="FQ5" s="489"/>
      <c r="FR5" s="496"/>
      <c r="FS5" s="496"/>
      <c r="FT5" s="489"/>
      <c r="FU5" s="496"/>
      <c r="FV5" s="496"/>
      <c r="FW5" s="489"/>
      <c r="FX5" s="489"/>
      <c r="FY5" s="496"/>
      <c r="FZ5" s="635"/>
      <c r="GA5" s="638"/>
      <c r="GB5" s="499"/>
      <c r="GC5" s="496"/>
      <c r="GD5" s="489"/>
      <c r="GE5" s="489"/>
      <c r="GF5" s="496"/>
      <c r="GG5" s="496"/>
      <c r="GH5" s="489"/>
      <c r="GI5" s="496"/>
      <c r="GJ5" s="496"/>
      <c r="GK5" s="489"/>
      <c r="GL5" s="489"/>
      <c r="GM5" s="496"/>
      <c r="GN5" s="496"/>
      <c r="GO5" s="489"/>
      <c r="GP5" s="496"/>
      <c r="GQ5" s="496"/>
      <c r="GR5" s="489"/>
      <c r="GS5" s="489"/>
      <c r="GT5" s="496"/>
      <c r="GU5" s="496"/>
      <c r="GV5" s="489"/>
      <c r="GW5" s="496"/>
      <c r="GX5" s="496"/>
      <c r="GY5" s="489"/>
      <c r="GZ5" s="489"/>
      <c r="HA5" s="496"/>
      <c r="HB5" s="496"/>
      <c r="HC5" s="489"/>
      <c r="HD5" s="496"/>
      <c r="HE5" s="635"/>
      <c r="HF5" s="499"/>
      <c r="HG5" s="489"/>
      <c r="HH5" s="496"/>
      <c r="HI5" s="496"/>
      <c r="HJ5" s="489"/>
      <c r="HK5" s="496"/>
      <c r="HL5" s="496"/>
      <c r="HM5" s="489"/>
      <c r="HN5" s="489"/>
      <c r="HO5" s="496"/>
      <c r="HP5" s="496"/>
      <c r="HQ5" s="489"/>
      <c r="HR5" s="496"/>
      <c r="HS5" s="496"/>
      <c r="HT5" s="489"/>
      <c r="HU5" s="489"/>
      <c r="HV5" s="496"/>
      <c r="HW5" s="496"/>
      <c r="HX5" s="489"/>
      <c r="HY5" s="496"/>
      <c r="HZ5" s="496"/>
      <c r="IA5" s="489"/>
      <c r="IB5" s="489"/>
      <c r="IC5" s="496"/>
      <c r="ID5" s="496"/>
      <c r="IE5" s="489"/>
      <c r="IF5" s="496"/>
      <c r="IG5" s="496"/>
      <c r="IH5" s="489"/>
      <c r="II5" s="490"/>
      <c r="IJ5" s="638"/>
      <c r="IK5" s="499"/>
      <c r="IL5" s="489"/>
      <c r="IM5" s="496"/>
      <c r="IN5" s="496"/>
      <c r="IO5" s="489"/>
      <c r="IP5" s="489"/>
      <c r="IQ5" s="496"/>
      <c r="IR5" s="496"/>
      <c r="IS5" s="489"/>
      <c r="IT5" s="496"/>
      <c r="IU5" s="496"/>
      <c r="IV5" s="489"/>
      <c r="IW5" s="489"/>
      <c r="IX5" s="496"/>
      <c r="IY5" s="496"/>
      <c r="IZ5" s="489"/>
      <c r="JA5" s="496"/>
      <c r="JB5" s="496"/>
      <c r="JC5" s="489"/>
      <c r="JD5" s="489"/>
      <c r="JE5" s="496"/>
      <c r="JF5" s="496"/>
      <c r="JG5" s="489"/>
      <c r="JH5" s="496"/>
      <c r="JI5" s="496"/>
      <c r="JJ5" s="489"/>
      <c r="JK5" s="489"/>
      <c r="JL5" s="496"/>
      <c r="JM5" s="496"/>
      <c r="JN5" s="490"/>
      <c r="JO5" s="499"/>
      <c r="JP5" s="496"/>
      <c r="JQ5" s="489"/>
      <c r="JR5" s="489"/>
      <c r="JS5" s="496"/>
      <c r="JT5" s="496"/>
      <c r="JU5" s="489"/>
      <c r="JV5" s="496"/>
      <c r="JW5" s="496"/>
      <c r="JX5" s="489"/>
      <c r="JY5" s="489"/>
      <c r="JZ5" s="496"/>
      <c r="KA5" s="496"/>
      <c r="KB5" s="489"/>
      <c r="KC5" s="496"/>
      <c r="KD5" s="496"/>
      <c r="KE5" s="489"/>
      <c r="KF5" s="489"/>
      <c r="KG5" s="496"/>
      <c r="KH5" s="496"/>
      <c r="KI5" s="489"/>
      <c r="KJ5" s="496"/>
      <c r="KK5" s="496"/>
      <c r="KL5" s="489"/>
      <c r="KM5" s="489"/>
      <c r="KN5" s="496"/>
      <c r="KO5" s="496"/>
      <c r="KP5" s="489"/>
      <c r="KQ5" s="496"/>
      <c r="KR5" s="635"/>
      <c r="KS5" s="638"/>
      <c r="KT5" s="499"/>
      <c r="KU5" s="496"/>
      <c r="KV5" s="496"/>
      <c r="KW5" s="489"/>
      <c r="KX5" s="496"/>
      <c r="KY5" s="496"/>
      <c r="KZ5" s="489"/>
      <c r="LA5" s="489"/>
      <c r="LB5" s="496"/>
      <c r="LC5" s="496"/>
      <c r="LD5" s="489"/>
      <c r="LE5" s="496"/>
      <c r="LF5" s="496"/>
      <c r="LG5" s="489"/>
      <c r="LH5" s="489"/>
      <c r="LI5" s="496"/>
      <c r="LJ5" s="496"/>
      <c r="LK5" s="489"/>
      <c r="LL5" s="496"/>
      <c r="LM5" s="496"/>
      <c r="LN5" s="489"/>
      <c r="LO5" s="489"/>
      <c r="LP5" s="496"/>
      <c r="LQ5" s="496"/>
      <c r="LR5" s="489"/>
      <c r="LS5" s="496"/>
      <c r="LT5" s="496"/>
      <c r="LU5" s="489"/>
      <c r="LV5" s="489"/>
      <c r="LW5" s="635"/>
      <c r="LX5" s="635"/>
      <c r="LY5" s="489"/>
      <c r="LZ5" s="496"/>
      <c r="MA5" s="496"/>
      <c r="MB5" s="489"/>
      <c r="MC5" s="489"/>
      <c r="MD5" s="496"/>
      <c r="ME5" s="496"/>
      <c r="MF5" s="489"/>
      <c r="MG5" s="496"/>
      <c r="MH5" s="496"/>
      <c r="MI5" s="489"/>
      <c r="MJ5" s="489"/>
      <c r="MK5" s="496"/>
      <c r="ML5" s="496"/>
      <c r="MM5" s="489"/>
      <c r="MN5" s="496"/>
      <c r="MO5" s="496"/>
      <c r="MP5" s="489"/>
      <c r="MQ5" s="489"/>
      <c r="MR5" s="496"/>
      <c r="MS5" s="496"/>
      <c r="MT5" s="489"/>
      <c r="MU5" s="496"/>
      <c r="MV5" s="496"/>
      <c r="MW5" s="489"/>
      <c r="MX5" s="489"/>
      <c r="MY5" s="496"/>
      <c r="MZ5" s="496"/>
      <c r="NA5" s="489"/>
      <c r="NB5" s="496"/>
      <c r="NC5" s="490"/>
      <c r="ND5" s="489"/>
      <c r="NE5" s="489"/>
      <c r="NF5" s="489"/>
      <c r="NG5" s="489"/>
      <c r="NH5" s="489"/>
      <c r="NI5" s="489"/>
      <c r="NJ5" s="489"/>
      <c r="NK5" s="489"/>
      <c r="NL5" s="489"/>
      <c r="NM5" s="489"/>
      <c r="NN5" s="489"/>
      <c r="NO5" s="489"/>
      <c r="NP5" s="489"/>
      <c r="NQ5" s="489"/>
      <c r="NR5" s="489"/>
      <c r="NS5" s="489"/>
      <c r="NT5" s="489"/>
      <c r="NU5" s="489"/>
      <c r="NV5" s="489"/>
      <c r="NW5" s="489"/>
      <c r="NX5" s="489"/>
      <c r="NY5" s="489"/>
      <c r="NZ5" s="489"/>
      <c r="OA5" s="489"/>
      <c r="OB5" s="489"/>
      <c r="OC5" s="489"/>
      <c r="OD5" s="489"/>
      <c r="OE5" s="489"/>
      <c r="OF5" s="489"/>
      <c r="OG5" s="489"/>
      <c r="OH5" s="489"/>
      <c r="OI5" s="489"/>
      <c r="OJ5" s="489"/>
      <c r="OK5" s="489"/>
      <c r="OL5" s="489"/>
      <c r="OM5" s="489"/>
      <c r="ON5" s="489"/>
      <c r="OO5" s="489"/>
      <c r="OP5" s="489"/>
      <c r="OQ5" s="489"/>
      <c r="OR5" s="489"/>
      <c r="OS5" s="489"/>
      <c r="OT5" s="489"/>
      <c r="OU5" s="489"/>
      <c r="OV5" s="489"/>
      <c r="OW5" s="489"/>
      <c r="OX5" s="489"/>
      <c r="OY5" s="489"/>
      <c r="OZ5" s="489"/>
      <c r="PA5" s="489"/>
      <c r="PB5" s="489"/>
      <c r="PC5" s="489"/>
      <c r="PD5" s="489"/>
      <c r="PE5" s="489"/>
      <c r="PF5" s="489"/>
      <c r="PG5" s="489"/>
      <c r="PH5" s="489"/>
      <c r="PI5" s="489"/>
      <c r="PJ5" s="489"/>
      <c r="PK5" s="489"/>
      <c r="PL5" s="489"/>
      <c r="PM5" s="489"/>
      <c r="PN5" s="489"/>
      <c r="PO5" s="489"/>
      <c r="PP5" s="489"/>
      <c r="PQ5" s="489"/>
      <c r="PR5" s="489"/>
      <c r="PS5" s="489"/>
      <c r="PT5" s="489"/>
      <c r="PU5" s="489"/>
      <c r="PV5" s="489"/>
      <c r="PW5" s="489"/>
      <c r="PX5" s="489"/>
      <c r="PY5" s="489"/>
      <c r="PZ5" s="489"/>
      <c r="QA5" s="489"/>
      <c r="QB5" s="489"/>
      <c r="QC5" s="489"/>
      <c r="QD5" s="489"/>
      <c r="QE5" s="489"/>
      <c r="QF5" s="489"/>
      <c r="QG5" s="489"/>
      <c r="QH5" s="489"/>
      <c r="QI5" s="489"/>
      <c r="QJ5" s="489"/>
      <c r="QK5" s="489"/>
      <c r="QL5" s="489"/>
      <c r="QM5" s="489"/>
      <c r="QN5" s="489"/>
      <c r="QO5" s="489"/>
      <c r="QP5" s="489"/>
      <c r="QQ5" s="489"/>
      <c r="QR5" s="489"/>
      <c r="QS5" s="489"/>
      <c r="QT5" s="489"/>
      <c r="QU5" s="489"/>
      <c r="QV5" s="489"/>
      <c r="QW5" s="489"/>
      <c r="QX5" s="489"/>
      <c r="QY5" s="489"/>
      <c r="QZ5" s="489"/>
      <c r="RA5" s="489"/>
      <c r="RB5" s="489"/>
      <c r="RC5" s="489"/>
      <c r="RD5" s="489"/>
      <c r="RE5" s="489"/>
      <c r="RF5" s="489"/>
      <c r="RG5" s="489"/>
      <c r="RH5" s="489"/>
      <c r="RI5" s="489"/>
      <c r="RJ5" s="489"/>
      <c r="RK5" s="489"/>
      <c r="RL5" s="489"/>
      <c r="RM5" s="489"/>
      <c r="RN5" s="489"/>
      <c r="RO5" s="489"/>
      <c r="RP5" s="489"/>
      <c r="RQ5" s="489"/>
      <c r="RR5" s="489"/>
      <c r="RS5" s="489"/>
      <c r="RT5" s="489"/>
      <c r="RU5" s="489"/>
      <c r="RV5" s="489"/>
      <c r="RW5" s="489"/>
      <c r="RX5" s="489"/>
      <c r="RY5" s="489"/>
      <c r="RZ5" s="489"/>
      <c r="SA5" s="489"/>
      <c r="SB5" s="489"/>
      <c r="SC5" s="489"/>
      <c r="SD5" s="489"/>
      <c r="SE5" s="489"/>
      <c r="SF5" s="489"/>
      <c r="SG5" s="489"/>
      <c r="SH5" s="489"/>
      <c r="SI5" s="489"/>
      <c r="SJ5" s="489"/>
      <c r="SK5" s="489"/>
      <c r="SL5" s="489"/>
      <c r="SM5" s="489"/>
      <c r="SN5" s="489"/>
      <c r="SO5" s="489"/>
      <c r="SP5" s="489"/>
      <c r="SQ5" s="489"/>
      <c r="SR5" s="489"/>
      <c r="SS5" s="489"/>
      <c r="ST5" s="489"/>
      <c r="SU5" s="489"/>
      <c r="SV5" s="489"/>
      <c r="SW5" s="489"/>
      <c r="SX5" s="489"/>
      <c r="SY5" s="489"/>
      <c r="SZ5" s="489"/>
      <c r="TA5" s="489"/>
      <c r="TB5" s="489"/>
      <c r="TC5" s="489"/>
      <c r="TD5" s="489"/>
      <c r="TE5" s="489"/>
      <c r="TF5" s="489"/>
      <c r="TG5" s="489"/>
      <c r="TH5" s="489"/>
      <c r="TI5" s="489"/>
      <c r="TJ5" s="489"/>
      <c r="TK5" s="489"/>
      <c r="TL5" s="489"/>
      <c r="TM5" s="489"/>
      <c r="TN5" s="489"/>
      <c r="TO5" s="489"/>
      <c r="TP5" s="489"/>
      <c r="TQ5" s="489"/>
      <c r="TR5" s="489"/>
      <c r="TS5" s="489"/>
      <c r="TT5" s="489"/>
      <c r="TU5" s="489"/>
      <c r="TV5" s="489"/>
      <c r="TW5" s="489"/>
      <c r="TX5" s="489"/>
      <c r="TY5" s="489"/>
      <c r="TZ5" s="489"/>
      <c r="UA5" s="489"/>
      <c r="UB5" s="489"/>
      <c r="UC5" s="489"/>
      <c r="UD5" s="489"/>
      <c r="UE5" s="489"/>
      <c r="UF5" s="489"/>
      <c r="UG5" s="489"/>
      <c r="UH5" s="489"/>
      <c r="UI5" s="489"/>
      <c r="UJ5" s="489"/>
      <c r="UK5" s="489"/>
      <c r="UL5" s="489"/>
      <c r="UM5" s="489"/>
      <c r="UN5" s="489"/>
      <c r="UO5" s="489"/>
      <c r="UP5" s="489"/>
      <c r="UQ5" s="489"/>
      <c r="UR5" s="489"/>
      <c r="US5" s="489"/>
      <c r="UT5" s="489"/>
      <c r="UU5" s="489"/>
      <c r="UV5" s="489"/>
      <c r="UW5" s="489"/>
      <c r="UX5" s="489"/>
      <c r="UY5" s="489"/>
      <c r="UZ5" s="489"/>
      <c r="VA5" s="489"/>
      <c r="VB5" s="489"/>
      <c r="VC5" s="489"/>
      <c r="VD5" s="489"/>
      <c r="VE5" s="489"/>
      <c r="VF5" s="489"/>
      <c r="VG5" s="489"/>
      <c r="VH5" s="489"/>
      <c r="VI5" s="489"/>
      <c r="VJ5" s="489"/>
      <c r="VK5" s="489"/>
      <c r="VL5" s="489"/>
      <c r="VM5" s="489"/>
      <c r="VN5" s="489"/>
      <c r="VO5" s="489"/>
      <c r="VP5" s="489"/>
      <c r="VQ5" s="489"/>
      <c r="VR5" s="489"/>
      <c r="VS5" s="489"/>
      <c r="VT5" s="489"/>
      <c r="VU5" s="489"/>
      <c r="VV5" s="489"/>
      <c r="VW5" s="489"/>
      <c r="VX5" s="489"/>
      <c r="VY5" s="489"/>
      <c r="VZ5" s="489"/>
      <c r="WA5" s="489"/>
      <c r="WB5" s="489"/>
      <c r="WC5" s="489"/>
      <c r="WD5" s="489"/>
      <c r="WE5" s="489"/>
      <c r="WF5" s="489"/>
      <c r="WG5" s="489"/>
      <c r="WH5" s="489"/>
      <c r="WI5" s="489"/>
      <c r="WJ5" s="489"/>
      <c r="WK5" s="489"/>
      <c r="WL5" s="489"/>
      <c r="WM5" s="489"/>
      <c r="WN5" s="489"/>
      <c r="WO5" s="489"/>
      <c r="WP5" s="489"/>
      <c r="WQ5" s="489"/>
      <c r="WR5" s="489"/>
      <c r="WS5" s="489"/>
      <c r="WT5" s="489"/>
      <c r="WU5" s="489"/>
      <c r="WV5" s="489"/>
      <c r="WW5" s="489"/>
      <c r="WX5" s="489"/>
      <c r="WY5" s="489"/>
      <c r="WZ5" s="489"/>
      <c r="XA5" s="489"/>
      <c r="XB5" s="489"/>
      <c r="XC5" s="489"/>
      <c r="XD5" s="489"/>
      <c r="XE5" s="489"/>
      <c r="XF5" s="489"/>
      <c r="XG5" s="489"/>
      <c r="XH5" s="489"/>
      <c r="XI5" s="489"/>
      <c r="XJ5" s="489"/>
      <c r="XK5" s="489"/>
      <c r="XL5" s="489"/>
      <c r="XM5" s="489"/>
      <c r="XN5" s="489"/>
      <c r="XO5" s="489"/>
      <c r="XP5" s="489"/>
      <c r="XQ5" s="489"/>
      <c r="XR5" s="489"/>
      <c r="XS5" s="489"/>
      <c r="XT5" s="489"/>
      <c r="XU5" s="489"/>
      <c r="XV5" s="489"/>
      <c r="XW5" s="489"/>
      <c r="XX5" s="489"/>
      <c r="XY5" s="489"/>
      <c r="XZ5" s="489"/>
      <c r="YA5" s="489"/>
      <c r="YB5" s="489"/>
      <c r="YC5" s="489"/>
      <c r="YD5" s="489"/>
      <c r="YE5" s="489"/>
      <c r="YF5" s="489"/>
      <c r="YG5" s="489"/>
      <c r="YH5" s="489"/>
      <c r="YI5" s="489"/>
      <c r="YJ5" s="489"/>
      <c r="YK5" s="489"/>
      <c r="YL5" s="489"/>
      <c r="YM5" s="489"/>
      <c r="YN5" s="489"/>
      <c r="YO5" s="489"/>
      <c r="YP5" s="489"/>
      <c r="YQ5" s="489"/>
      <c r="YR5" s="489"/>
      <c r="YS5" s="489"/>
      <c r="YT5" s="489"/>
      <c r="YU5" s="489"/>
      <c r="YV5" s="489"/>
      <c r="YW5" s="489"/>
      <c r="YX5" s="489"/>
      <c r="YY5" s="489"/>
      <c r="YZ5" s="489"/>
      <c r="ZA5" s="489"/>
      <c r="ZB5" s="489"/>
      <c r="ZC5" s="489"/>
      <c r="ZD5" s="489"/>
      <c r="ZE5" s="489"/>
      <c r="ZF5" s="489"/>
      <c r="ZG5" s="489"/>
      <c r="ZH5" s="489"/>
      <c r="ZI5" s="489"/>
      <c r="ZJ5" s="489"/>
      <c r="ZK5" s="489"/>
      <c r="ZL5" s="489"/>
      <c r="ZM5" s="489"/>
      <c r="ZN5" s="489"/>
      <c r="ZO5" s="489"/>
      <c r="ZP5" s="489"/>
      <c r="ZQ5" s="489"/>
      <c r="ZR5" s="489"/>
      <c r="ZS5" s="489"/>
      <c r="ZT5" s="489"/>
      <c r="ZU5" s="489"/>
      <c r="ZV5" s="489"/>
      <c r="ZW5" s="489"/>
      <c r="ZX5" s="489"/>
      <c r="ZY5" s="489"/>
      <c r="ZZ5" s="489"/>
      <c r="AAA5" s="489"/>
      <c r="AAB5" s="489"/>
      <c r="AAC5" s="489"/>
      <c r="AAD5" s="489"/>
      <c r="AAE5" s="489"/>
      <c r="AAF5" s="489"/>
      <c r="AAG5" s="489"/>
      <c r="AAH5" s="489"/>
      <c r="AAI5" s="489"/>
      <c r="AAJ5" s="489"/>
      <c r="AAK5" s="489"/>
      <c r="AAL5" s="489"/>
      <c r="AAM5" s="489"/>
      <c r="AAN5" s="489"/>
      <c r="AAO5" s="489"/>
      <c r="AAP5" s="489"/>
      <c r="AAQ5" s="489"/>
      <c r="AAR5" s="489"/>
      <c r="AAS5" s="489"/>
      <c r="AAT5" s="489"/>
      <c r="AAU5" s="489"/>
      <c r="AAV5" s="489"/>
      <c r="AAW5" s="489"/>
      <c r="AAX5" s="489"/>
      <c r="AAY5" s="489"/>
      <c r="AAZ5" s="489"/>
      <c r="ABA5" s="489"/>
      <c r="ABB5" s="489"/>
      <c r="ABC5" s="489"/>
      <c r="ABD5" s="489"/>
      <c r="ABE5" s="489"/>
      <c r="ABF5" s="489"/>
      <c r="ABG5" s="489"/>
      <c r="ABH5" s="489"/>
      <c r="ABI5" s="489"/>
      <c r="ABJ5" s="489"/>
      <c r="ABK5" s="489"/>
      <c r="ABL5" s="489"/>
      <c r="ABM5" s="489"/>
      <c r="ABN5" s="489"/>
      <c r="ABO5" s="489"/>
      <c r="ABP5" s="489"/>
      <c r="ABQ5" s="489"/>
      <c r="ABR5" s="489"/>
      <c r="ABS5" s="489"/>
      <c r="ABT5" s="489"/>
      <c r="ABU5" s="489"/>
      <c r="ABV5" s="489"/>
      <c r="ABW5" s="489"/>
      <c r="ABX5" s="489"/>
      <c r="ABY5" s="489"/>
      <c r="ABZ5" s="489"/>
      <c r="ACA5" s="489"/>
      <c r="ACB5" s="489"/>
      <c r="ACC5" s="489"/>
      <c r="ACD5" s="489"/>
      <c r="ACE5" s="489"/>
      <c r="ACF5" s="489"/>
      <c r="ACG5" s="489"/>
      <c r="ACH5" s="489"/>
      <c r="ACI5" s="489"/>
      <c r="ACJ5" s="489"/>
      <c r="ACK5" s="489"/>
      <c r="ACL5" s="489"/>
      <c r="ACM5" s="489"/>
      <c r="ACN5" s="489"/>
      <c r="ACO5" s="489"/>
      <c r="ACP5" s="489"/>
      <c r="ACQ5" s="489"/>
      <c r="ACR5" s="489"/>
      <c r="ACS5" s="489"/>
      <c r="ACT5" s="489"/>
      <c r="ACU5" s="489"/>
      <c r="ACV5" s="489"/>
      <c r="ACW5" s="489"/>
      <c r="ACX5" s="489"/>
      <c r="ACY5" s="489"/>
      <c r="ACZ5" s="489"/>
      <c r="ADA5" s="489"/>
      <c r="ADB5" s="489"/>
      <c r="ADC5" s="489"/>
      <c r="ADD5" s="489"/>
      <c r="ADE5" s="489"/>
      <c r="ADF5" s="489"/>
      <c r="ADG5" s="489"/>
      <c r="ADH5" s="489"/>
      <c r="ADI5" s="489"/>
      <c r="ADJ5" s="489"/>
      <c r="ADK5" s="489"/>
      <c r="ADL5" s="489"/>
      <c r="ADM5" s="489"/>
      <c r="ADN5" s="489"/>
      <c r="ADO5" s="489"/>
      <c r="ADP5" s="489"/>
      <c r="ADQ5" s="489"/>
      <c r="ADR5" s="489"/>
      <c r="ADS5" s="489"/>
      <c r="ADT5" s="489"/>
      <c r="ADU5" s="489"/>
      <c r="ADV5" s="489"/>
      <c r="ADW5" s="489"/>
      <c r="ADX5" s="489"/>
      <c r="ADY5" s="489"/>
      <c r="ADZ5" s="489"/>
      <c r="AEA5" s="489"/>
      <c r="AEB5" s="489"/>
      <c r="AEC5" s="489"/>
      <c r="AED5" s="489"/>
      <c r="AEE5" s="489"/>
      <c r="AEF5" s="489"/>
      <c r="AEG5" s="489"/>
      <c r="AEH5" s="489"/>
      <c r="AEI5" s="489"/>
      <c r="AEJ5" s="489"/>
      <c r="AEK5" s="489"/>
      <c r="AEL5" s="489"/>
      <c r="AEM5" s="489"/>
      <c r="AEN5" s="489"/>
      <c r="AEO5" s="489"/>
      <c r="AEP5" s="489"/>
      <c r="AEQ5" s="489"/>
      <c r="AER5" s="489"/>
      <c r="AES5" s="489"/>
      <c r="AET5" s="489"/>
      <c r="AEU5" s="489"/>
      <c r="AEV5" s="489"/>
      <c r="AEW5" s="489"/>
      <c r="AEX5" s="489"/>
      <c r="AEY5" s="489"/>
      <c r="AEZ5" s="489"/>
      <c r="AFA5" s="489"/>
      <c r="AFB5" s="489"/>
      <c r="AFC5" s="489"/>
      <c r="AFD5" s="489"/>
      <c r="AFE5" s="489"/>
      <c r="AFF5" s="489"/>
      <c r="AFG5" s="489"/>
      <c r="AFH5" s="489"/>
      <c r="AFI5" s="489"/>
      <c r="AFJ5" s="489"/>
      <c r="AFK5" s="489"/>
      <c r="AFL5" s="489"/>
      <c r="AFM5" s="489"/>
      <c r="AFN5" s="489"/>
      <c r="AFO5" s="489"/>
      <c r="AFP5" s="489"/>
      <c r="AFQ5" s="489"/>
      <c r="AFR5" s="489"/>
      <c r="AFS5" s="489"/>
      <c r="AFT5" s="489"/>
      <c r="AFU5" s="489"/>
      <c r="AFV5" s="489"/>
      <c r="AFW5" s="489"/>
      <c r="AFX5" s="489"/>
      <c r="AFY5" s="489"/>
      <c r="AFZ5" s="489"/>
      <c r="AGA5" s="489"/>
      <c r="AGB5" s="489"/>
      <c r="AGC5" s="489"/>
      <c r="AGD5" s="489"/>
      <c r="AGE5" s="489"/>
      <c r="AGF5" s="489"/>
      <c r="AGG5" s="489"/>
      <c r="AGH5" s="489"/>
      <c r="AGI5" s="489"/>
      <c r="AGJ5" s="489"/>
      <c r="AGK5" s="489"/>
      <c r="AGL5" s="489"/>
      <c r="AGM5" s="489"/>
      <c r="AGN5" s="489"/>
      <c r="AGO5" s="489"/>
      <c r="AGP5" s="489"/>
      <c r="AGQ5" s="489"/>
      <c r="AGR5" s="489"/>
      <c r="AGS5" s="489"/>
      <c r="AGT5" s="489"/>
      <c r="AGU5" s="489"/>
      <c r="AGV5" s="489"/>
      <c r="AGW5" s="489"/>
      <c r="AGX5" s="489"/>
      <c r="AGY5" s="489"/>
      <c r="AGZ5" s="489"/>
      <c r="AHA5" s="489"/>
      <c r="AHB5" s="489"/>
      <c r="AHC5" s="489"/>
      <c r="AHD5" s="489"/>
      <c r="AHE5" s="489"/>
      <c r="AHF5" s="489"/>
      <c r="AHG5" s="489"/>
      <c r="AHH5" s="489"/>
      <c r="AHI5" s="489"/>
      <c r="AHJ5" s="489"/>
      <c r="AHK5" s="489"/>
      <c r="AHL5" s="489"/>
      <c r="AHM5" s="489"/>
      <c r="AHN5" s="489"/>
      <c r="AHO5" s="489"/>
      <c r="AHP5" s="489"/>
      <c r="AHQ5" s="489"/>
      <c r="AHR5" s="489"/>
      <c r="AHS5" s="489"/>
      <c r="AHT5" s="489"/>
      <c r="AHU5" s="489"/>
      <c r="AHV5" s="489"/>
      <c r="AHW5" s="489"/>
      <c r="AHX5" s="489"/>
      <c r="AHY5" s="489"/>
      <c r="AHZ5" s="489"/>
      <c r="AIA5" s="489"/>
      <c r="AIB5" s="489"/>
      <c r="AIC5" s="489"/>
      <c r="AID5" s="489"/>
      <c r="AIE5" s="489"/>
      <c r="AIF5" s="489"/>
      <c r="AIG5" s="489"/>
      <c r="AIH5" s="489"/>
      <c r="AII5" s="489"/>
      <c r="AIJ5" s="489"/>
      <c r="AIK5" s="489"/>
      <c r="AIL5" s="489"/>
      <c r="AIM5" s="489"/>
      <c r="AIN5" s="489"/>
      <c r="AIO5" s="489"/>
      <c r="AIP5" s="489"/>
      <c r="AIQ5" s="489"/>
      <c r="AIR5" s="489"/>
      <c r="AIS5" s="489"/>
      <c r="AIT5" s="489"/>
      <c r="AIU5" s="489"/>
      <c r="AIV5" s="489"/>
      <c r="AIW5" s="489"/>
      <c r="AIX5" s="489"/>
      <c r="AIY5" s="489"/>
      <c r="AIZ5" s="489"/>
      <c r="AJA5" s="489"/>
      <c r="AJB5" s="489"/>
      <c r="AJC5" s="489"/>
      <c r="AJD5" s="489"/>
      <c r="AJE5" s="489"/>
      <c r="AJF5" s="489"/>
      <c r="AJG5" s="489"/>
      <c r="AJH5" s="489"/>
      <c r="AJI5" s="489"/>
      <c r="AJJ5" s="489"/>
      <c r="AJK5" s="489"/>
      <c r="AJL5" s="489"/>
      <c r="AJM5" s="489"/>
      <c r="AJN5" s="489"/>
      <c r="AJO5" s="489"/>
      <c r="AJP5" s="489"/>
      <c r="AJQ5" s="489"/>
      <c r="AJR5" s="489"/>
      <c r="AJS5" s="489"/>
      <c r="AJT5" s="489"/>
      <c r="AJU5" s="489"/>
      <c r="AJV5" s="489"/>
      <c r="AJW5" s="489"/>
      <c r="AJX5" s="489"/>
      <c r="AJY5" s="489"/>
      <c r="AJZ5" s="489"/>
      <c r="AKA5" s="489"/>
      <c r="AKB5" s="489"/>
      <c r="AKC5" s="489"/>
      <c r="AKD5" s="489"/>
      <c r="AKE5" s="489"/>
      <c r="AKF5" s="489"/>
      <c r="AKG5" s="489"/>
      <c r="AKH5" s="489"/>
      <c r="AKI5" s="489"/>
      <c r="AKJ5" s="489"/>
      <c r="AKK5" s="489"/>
      <c r="AKL5" s="489"/>
      <c r="AKM5" s="489"/>
      <c r="AKN5" s="489"/>
      <c r="AKO5" s="489"/>
      <c r="AKP5" s="489"/>
      <c r="AKQ5" s="489"/>
      <c r="AKR5" s="489"/>
      <c r="AKS5" s="489"/>
      <c r="AKT5" s="489"/>
      <c r="AKU5" s="489"/>
      <c r="AKV5" s="489"/>
      <c r="AKW5" s="489"/>
      <c r="AKX5" s="489"/>
      <c r="AKY5" s="489"/>
      <c r="AKZ5" s="489"/>
      <c r="ALA5" s="489"/>
      <c r="ALB5" s="489"/>
      <c r="ALC5" s="489"/>
      <c r="ALD5" s="489"/>
      <c r="ALE5" s="489"/>
      <c r="ALF5" s="489"/>
      <c r="ALG5" s="489"/>
      <c r="ALH5" s="489"/>
      <c r="ALI5" s="489"/>
      <c r="ALJ5" s="489"/>
      <c r="ALK5" s="489"/>
      <c r="ALL5" s="489"/>
    </row>
    <row r="6" spans="1:1000" ht="24.6" hidden="1" customHeight="1" outlineLevel="1">
      <c r="A6" s="1254">
        <v>2024</v>
      </c>
      <c r="B6" s="1002" t="s">
        <v>36</v>
      </c>
      <c r="C6" s="849">
        <v>5100.26</v>
      </c>
      <c r="D6" s="849">
        <v>4461.87</v>
      </c>
      <c r="E6" s="849">
        <v>5895.4</v>
      </c>
      <c r="F6" s="849">
        <v>6289.43</v>
      </c>
      <c r="G6" s="849">
        <v>6865.02</v>
      </c>
      <c r="H6" s="851">
        <v>6568.22</v>
      </c>
      <c r="I6" s="1001">
        <v>9366.92</v>
      </c>
      <c r="J6" s="854">
        <v>7988.05</v>
      </c>
      <c r="K6" s="849">
        <v>5936.9</v>
      </c>
      <c r="L6" s="851">
        <v>5874.25</v>
      </c>
      <c r="M6" s="1001">
        <v>4974.8900000000003</v>
      </c>
      <c r="N6" s="854">
        <v>6131.46</v>
      </c>
      <c r="O6" s="1166">
        <v>75452.679999999993</v>
      </c>
      <c r="P6" s="48"/>
      <c r="Q6" s="895"/>
      <c r="R6" s="835"/>
      <c r="S6" s="835"/>
      <c r="X6" s="497"/>
      <c r="AA6" s="497"/>
      <c r="AB6" s="497"/>
      <c r="AC6" s="491"/>
      <c r="AD6" s="500"/>
      <c r="AE6" s="636"/>
      <c r="AF6" s="639"/>
      <c r="AG6" s="500"/>
      <c r="AH6" s="497"/>
      <c r="AI6" s="497"/>
      <c r="AK6" s="497"/>
      <c r="AL6" s="497"/>
      <c r="AO6" s="497"/>
      <c r="AP6" s="497"/>
      <c r="AR6" s="497"/>
      <c r="AS6" s="497"/>
      <c r="AV6" s="497"/>
      <c r="AW6" s="497"/>
      <c r="AY6" s="497"/>
      <c r="AZ6" s="497"/>
      <c r="BC6" s="497"/>
      <c r="BD6" s="497"/>
      <c r="BF6" s="497"/>
      <c r="BG6" s="497"/>
      <c r="BH6" s="491"/>
      <c r="BI6" s="500"/>
      <c r="BJ6" s="636"/>
      <c r="BK6" s="639"/>
      <c r="BL6" s="500"/>
      <c r="BM6" s="497"/>
      <c r="BN6" s="497"/>
      <c r="BQ6" s="497"/>
      <c r="BR6" s="497"/>
      <c r="BT6" s="497"/>
      <c r="BU6" s="497"/>
      <c r="BX6" s="497"/>
      <c r="BY6" s="497"/>
      <c r="CA6" s="497"/>
      <c r="CB6" s="497"/>
      <c r="CE6" s="497"/>
      <c r="CF6" s="497"/>
      <c r="CH6" s="497"/>
      <c r="CI6" s="497"/>
      <c r="CL6" s="636"/>
      <c r="CM6" s="639"/>
      <c r="CN6" s="500"/>
      <c r="CO6" s="497"/>
      <c r="CP6" s="497"/>
      <c r="CS6" s="497"/>
      <c r="CT6" s="497"/>
      <c r="CV6" s="497"/>
      <c r="CW6" s="497"/>
      <c r="CZ6" s="497"/>
      <c r="DA6" s="497"/>
      <c r="DC6" s="497"/>
      <c r="DD6" s="497"/>
      <c r="DG6" s="497"/>
      <c r="DH6" s="497"/>
      <c r="DJ6" s="497"/>
      <c r="DK6" s="497"/>
      <c r="DN6" s="497"/>
      <c r="DO6" s="497"/>
      <c r="DQ6" s="636"/>
      <c r="DR6" s="639"/>
      <c r="DS6" s="639"/>
      <c r="DT6" s="500"/>
      <c r="DU6" s="497"/>
      <c r="DV6" s="497"/>
      <c r="DX6" s="497"/>
      <c r="DY6" s="497"/>
      <c r="EB6" s="497"/>
      <c r="EC6" s="497"/>
      <c r="EE6" s="497"/>
      <c r="EF6" s="497"/>
      <c r="EI6" s="497"/>
      <c r="EJ6" s="497"/>
      <c r="EL6" s="497"/>
      <c r="EM6" s="497"/>
      <c r="EP6" s="497"/>
      <c r="EQ6" s="497"/>
      <c r="ES6" s="497"/>
      <c r="ET6" s="497"/>
      <c r="EU6" s="491"/>
      <c r="EV6" s="639"/>
      <c r="EW6" s="500"/>
      <c r="EX6" s="636"/>
      <c r="EY6" s="500"/>
      <c r="EZ6" s="497"/>
      <c r="FA6" s="497"/>
      <c r="FD6" s="497"/>
      <c r="FE6" s="497"/>
      <c r="FG6" s="497"/>
      <c r="FH6" s="497"/>
      <c r="FK6" s="497"/>
      <c r="FL6" s="497"/>
      <c r="FN6" s="497"/>
      <c r="FO6" s="497"/>
      <c r="FR6" s="497"/>
      <c r="FS6" s="497"/>
      <c r="FU6" s="497"/>
      <c r="FV6" s="497"/>
      <c r="FY6" s="497"/>
      <c r="FZ6" s="636"/>
      <c r="GA6" s="639"/>
      <c r="GB6" s="500"/>
      <c r="GC6" s="497"/>
      <c r="GF6" s="497"/>
      <c r="GG6" s="497"/>
      <c r="GI6" s="497"/>
      <c r="GJ6" s="497"/>
      <c r="GM6" s="497"/>
      <c r="GN6" s="497"/>
      <c r="GP6" s="497"/>
      <c r="GQ6" s="497"/>
      <c r="GT6" s="497"/>
      <c r="GU6" s="497"/>
      <c r="GW6" s="497"/>
      <c r="GX6" s="497"/>
      <c r="HA6" s="497"/>
      <c r="HB6" s="497"/>
      <c r="HD6" s="497"/>
      <c r="HE6" s="636"/>
      <c r="HF6" s="500"/>
      <c r="HH6" s="497"/>
      <c r="HI6" s="497"/>
      <c r="HK6" s="497"/>
      <c r="HL6" s="497"/>
      <c r="HO6" s="497"/>
      <c r="HP6" s="497"/>
      <c r="HR6" s="497"/>
      <c r="HS6" s="497"/>
      <c r="HV6" s="497"/>
      <c r="HW6" s="497"/>
      <c r="HY6" s="497"/>
      <c r="HZ6" s="497"/>
      <c r="IC6" s="497"/>
      <c r="ID6" s="497"/>
      <c r="IF6" s="497"/>
      <c r="IG6" s="497"/>
      <c r="II6" s="491"/>
      <c r="IJ6" s="639"/>
      <c r="IK6" s="500"/>
      <c r="IM6" s="497"/>
      <c r="IN6" s="497"/>
      <c r="IQ6" s="497"/>
      <c r="IR6" s="497"/>
      <c r="IT6" s="497"/>
      <c r="IU6" s="497"/>
      <c r="IX6" s="497"/>
      <c r="IY6" s="497"/>
      <c r="JA6" s="497"/>
      <c r="JB6" s="497"/>
      <c r="JE6" s="497"/>
      <c r="JF6" s="497"/>
      <c r="JH6" s="497"/>
      <c r="JI6" s="497"/>
      <c r="JL6" s="497"/>
      <c r="JM6" s="497"/>
      <c r="JN6" s="491"/>
      <c r="JO6" s="500"/>
      <c r="JP6" s="497"/>
      <c r="JS6" s="497"/>
      <c r="JT6" s="497"/>
      <c r="JV6" s="497"/>
      <c r="JW6" s="497"/>
      <c r="JZ6" s="497"/>
      <c r="KA6" s="497"/>
      <c r="KC6" s="497"/>
      <c r="KD6" s="497"/>
      <c r="KG6" s="497"/>
      <c r="KH6" s="497"/>
      <c r="KJ6" s="497"/>
      <c r="KK6" s="497"/>
      <c r="KN6" s="497"/>
      <c r="KO6" s="497"/>
      <c r="KQ6" s="497"/>
      <c r="KR6" s="636"/>
      <c r="KS6" s="639"/>
      <c r="KT6" s="500"/>
      <c r="KU6" s="497"/>
      <c r="KV6" s="497"/>
      <c r="KX6" s="497"/>
      <c r="KY6" s="497"/>
      <c r="LB6" s="497"/>
      <c r="LC6" s="497"/>
      <c r="LE6" s="497"/>
      <c r="LF6" s="497"/>
      <c r="LI6" s="497"/>
      <c r="LJ6" s="497"/>
      <c r="LL6" s="497"/>
      <c r="LM6" s="497"/>
      <c r="LP6" s="497"/>
      <c r="LQ6" s="497"/>
      <c r="LS6" s="497"/>
      <c r="LT6" s="497"/>
      <c r="LW6" s="636"/>
      <c r="LX6" s="636"/>
      <c r="LZ6" s="497"/>
      <c r="MA6" s="497"/>
      <c r="MD6" s="497"/>
      <c r="ME6" s="497"/>
      <c r="MG6" s="497"/>
      <c r="MH6" s="497"/>
      <c r="MK6" s="497"/>
      <c r="ML6" s="497"/>
      <c r="MN6" s="497"/>
      <c r="MO6" s="497"/>
      <c r="MR6" s="497"/>
      <c r="MS6" s="497"/>
      <c r="MU6" s="497"/>
      <c r="MV6" s="497"/>
      <c r="MY6" s="497"/>
      <c r="MZ6" s="497"/>
      <c r="NB6" s="497"/>
      <c r="NC6" s="491"/>
    </row>
    <row r="7" spans="1:1000" s="25" customFormat="1" ht="21.6" hidden="1" customHeight="1" outlineLevel="1">
      <c r="A7" s="1254"/>
      <c r="B7" s="891" t="s">
        <v>42</v>
      </c>
      <c r="C7" s="105">
        <v>3500</v>
      </c>
      <c r="D7" s="105">
        <v>3500</v>
      </c>
      <c r="E7" s="105">
        <v>5000</v>
      </c>
      <c r="F7" s="105">
        <v>6000</v>
      </c>
      <c r="G7" s="105">
        <v>6000</v>
      </c>
      <c r="H7" s="847">
        <v>6500</v>
      </c>
      <c r="I7" s="846">
        <v>8000</v>
      </c>
      <c r="J7" s="845">
        <v>8000</v>
      </c>
      <c r="K7" s="105">
        <v>6000</v>
      </c>
      <c r="L7" s="847">
        <v>6500</v>
      </c>
      <c r="M7" s="846">
        <v>5300</v>
      </c>
      <c r="N7" s="845">
        <v>5700</v>
      </c>
      <c r="O7" s="1164">
        <v>70000</v>
      </c>
      <c r="P7" s="836"/>
      <c r="Q7" s="844"/>
      <c r="R7" s="836"/>
      <c r="S7" s="836"/>
      <c r="T7" s="837"/>
      <c r="U7" s="837"/>
      <c r="V7" s="837"/>
      <c r="W7" s="837"/>
      <c r="X7" s="1003"/>
      <c r="Y7" s="837"/>
      <c r="Z7" s="837"/>
      <c r="AA7" s="1003"/>
      <c r="AB7" s="1003"/>
      <c r="AC7" s="1004"/>
      <c r="AD7" s="1005"/>
      <c r="AE7" s="1006"/>
      <c r="AF7" s="1007"/>
      <c r="AG7" s="1005"/>
      <c r="AH7" s="1003"/>
      <c r="AI7" s="1003"/>
      <c r="AJ7" s="837"/>
      <c r="AK7" s="1003"/>
      <c r="AL7" s="1003"/>
      <c r="AM7" s="837"/>
      <c r="AN7" s="837"/>
      <c r="AO7" s="1003"/>
      <c r="AP7" s="1003"/>
      <c r="AQ7" s="837"/>
      <c r="AR7" s="1003"/>
      <c r="AS7" s="1003"/>
      <c r="AT7" s="837"/>
      <c r="AU7" s="837"/>
      <c r="AV7" s="1003"/>
      <c r="AW7" s="1003"/>
      <c r="AX7" s="837"/>
      <c r="AY7" s="1003"/>
      <c r="AZ7" s="1003"/>
      <c r="BA7" s="837"/>
      <c r="BB7" s="837"/>
      <c r="BC7" s="1003"/>
      <c r="BD7" s="1003"/>
      <c r="BE7" s="837"/>
      <c r="BF7" s="1003"/>
      <c r="BG7" s="1003"/>
      <c r="BH7" s="1004"/>
      <c r="BI7" s="1005"/>
      <c r="BJ7" s="1006"/>
      <c r="BK7" s="1007"/>
      <c r="BL7" s="1005"/>
      <c r="BM7" s="1003"/>
      <c r="BN7" s="1003"/>
      <c r="BO7" s="837"/>
      <c r="BP7" s="837"/>
      <c r="BQ7" s="1003"/>
      <c r="BR7" s="1003"/>
      <c r="BS7" s="837"/>
      <c r="BT7" s="1003"/>
      <c r="BU7" s="1003"/>
      <c r="BV7" s="837"/>
      <c r="BW7" s="837"/>
      <c r="BX7" s="1003"/>
      <c r="BY7" s="1003"/>
      <c r="BZ7" s="837"/>
      <c r="CA7" s="1003"/>
      <c r="CB7" s="1003"/>
      <c r="CC7" s="837"/>
      <c r="CD7" s="837"/>
      <c r="CE7" s="1003"/>
      <c r="CF7" s="1003"/>
      <c r="CG7" s="837"/>
      <c r="CH7" s="1003"/>
      <c r="CI7" s="1003"/>
      <c r="CJ7" s="837"/>
      <c r="CK7" s="837"/>
      <c r="CL7" s="1006"/>
      <c r="CM7" s="1007"/>
      <c r="CN7" s="1005"/>
      <c r="CO7" s="1003"/>
      <c r="CP7" s="1003"/>
      <c r="CQ7" s="837"/>
      <c r="CR7" s="837"/>
      <c r="CS7" s="1003"/>
      <c r="CT7" s="1003"/>
      <c r="CU7" s="837"/>
      <c r="CV7" s="1003"/>
      <c r="CW7" s="1003"/>
      <c r="CX7" s="837"/>
      <c r="CY7" s="837"/>
      <c r="CZ7" s="1003"/>
      <c r="DA7" s="1003"/>
      <c r="DB7" s="837"/>
      <c r="DC7" s="1003"/>
      <c r="DD7" s="1003"/>
      <c r="DE7" s="837"/>
      <c r="DF7" s="837"/>
      <c r="DG7" s="1003"/>
      <c r="DH7" s="1003"/>
      <c r="DI7" s="837"/>
      <c r="DJ7" s="1003"/>
      <c r="DK7" s="1003"/>
      <c r="DL7" s="837"/>
      <c r="DM7" s="837"/>
      <c r="DN7" s="1003"/>
      <c r="DO7" s="1003"/>
      <c r="DP7" s="837"/>
      <c r="DQ7" s="1006"/>
      <c r="DR7" s="1007"/>
      <c r="DS7" s="1007"/>
      <c r="DT7" s="1005"/>
      <c r="DU7" s="1003"/>
      <c r="DV7" s="1003"/>
      <c r="DW7" s="837"/>
      <c r="DX7" s="1003"/>
      <c r="DY7" s="1003"/>
      <c r="DZ7" s="837"/>
      <c r="EA7" s="837"/>
      <c r="EB7" s="1003"/>
      <c r="EC7" s="1003"/>
      <c r="ED7" s="837"/>
      <c r="EE7" s="1003"/>
      <c r="EF7" s="1003"/>
      <c r="EG7" s="837"/>
      <c r="EH7" s="837"/>
      <c r="EI7" s="1003"/>
      <c r="EJ7" s="1003"/>
      <c r="EK7" s="837"/>
      <c r="EL7" s="1003"/>
      <c r="EM7" s="1003"/>
      <c r="EN7" s="837"/>
      <c r="EO7" s="837"/>
      <c r="EP7" s="1003"/>
      <c r="EQ7" s="1003"/>
      <c r="ER7" s="837"/>
      <c r="ES7" s="1003"/>
      <c r="ET7" s="1003"/>
      <c r="EU7" s="1004"/>
      <c r="EV7" s="1007"/>
      <c r="EW7" s="1005"/>
      <c r="EX7" s="1006"/>
      <c r="EY7" s="1005"/>
      <c r="EZ7" s="1003"/>
      <c r="FA7" s="1003"/>
      <c r="FB7" s="837"/>
      <c r="FC7" s="837"/>
      <c r="FD7" s="1003"/>
      <c r="FE7" s="1003"/>
      <c r="FF7" s="837"/>
      <c r="FG7" s="1003"/>
      <c r="FH7" s="1003"/>
      <c r="FI7" s="837"/>
      <c r="FJ7" s="837"/>
      <c r="FK7" s="1003"/>
      <c r="FL7" s="1003"/>
      <c r="FM7" s="837"/>
      <c r="FN7" s="1003"/>
      <c r="FO7" s="1003"/>
      <c r="FP7" s="837"/>
      <c r="FQ7" s="837"/>
      <c r="FR7" s="1003"/>
      <c r="FS7" s="1003"/>
      <c r="FT7" s="837"/>
      <c r="FU7" s="1003"/>
      <c r="FV7" s="1003"/>
      <c r="FW7" s="837"/>
      <c r="FX7" s="837"/>
      <c r="FY7" s="1003"/>
      <c r="FZ7" s="1006"/>
      <c r="GA7" s="1007"/>
      <c r="GB7" s="1005"/>
      <c r="GC7" s="1003"/>
      <c r="GD7" s="837"/>
      <c r="GE7" s="837"/>
      <c r="GF7" s="1003"/>
      <c r="GG7" s="1003"/>
      <c r="GH7" s="837"/>
      <c r="GI7" s="1003"/>
      <c r="GJ7" s="1003"/>
      <c r="GK7" s="837"/>
      <c r="GL7" s="837"/>
      <c r="GM7" s="1003"/>
      <c r="GN7" s="1003"/>
      <c r="GO7" s="837"/>
      <c r="GP7" s="1003"/>
      <c r="GQ7" s="1003"/>
      <c r="GR7" s="837"/>
      <c r="GS7" s="837"/>
      <c r="GT7" s="1003"/>
      <c r="GU7" s="1003"/>
      <c r="GV7" s="837"/>
      <c r="GW7" s="1003"/>
      <c r="GX7" s="1003"/>
      <c r="GY7" s="837"/>
      <c r="GZ7" s="837"/>
      <c r="HA7" s="1003"/>
      <c r="HB7" s="1003"/>
      <c r="HC7" s="837"/>
      <c r="HD7" s="1003"/>
      <c r="HE7" s="1006"/>
      <c r="HF7" s="1005"/>
      <c r="HG7" s="837"/>
      <c r="HH7" s="1003"/>
      <c r="HI7" s="1003"/>
      <c r="HJ7" s="837"/>
      <c r="HK7" s="1003"/>
      <c r="HL7" s="1003"/>
      <c r="HM7" s="837"/>
      <c r="HN7" s="837"/>
      <c r="HO7" s="1003"/>
      <c r="HP7" s="1003"/>
      <c r="HQ7" s="837"/>
      <c r="HR7" s="1003"/>
      <c r="HS7" s="1003"/>
      <c r="HT7" s="837"/>
      <c r="HU7" s="837"/>
      <c r="HV7" s="1003"/>
      <c r="HW7" s="1003"/>
      <c r="HX7" s="837"/>
      <c r="HY7" s="1003"/>
      <c r="HZ7" s="1003"/>
      <c r="IA7" s="837"/>
      <c r="IB7" s="837"/>
      <c r="IC7" s="1003"/>
      <c r="ID7" s="1003"/>
      <c r="IE7" s="837"/>
      <c r="IF7" s="1003"/>
      <c r="IG7" s="1003"/>
      <c r="IH7" s="837"/>
      <c r="II7" s="1004"/>
      <c r="IJ7" s="1007"/>
      <c r="IK7" s="1005"/>
      <c r="IL7" s="837"/>
      <c r="IM7" s="1003"/>
      <c r="IN7" s="1003"/>
      <c r="IO7" s="837"/>
      <c r="IP7" s="837"/>
      <c r="IQ7" s="1003"/>
      <c r="IR7" s="1003"/>
      <c r="IS7" s="837"/>
      <c r="IT7" s="1003"/>
      <c r="IU7" s="1003"/>
      <c r="IV7" s="837"/>
      <c r="IW7" s="837"/>
      <c r="IX7" s="1003"/>
      <c r="IY7" s="1003"/>
      <c r="IZ7" s="837"/>
      <c r="JA7" s="1003"/>
      <c r="JB7" s="1003"/>
      <c r="JC7" s="837"/>
      <c r="JD7" s="837"/>
      <c r="JE7" s="1003"/>
      <c r="JF7" s="1003"/>
      <c r="JG7" s="837"/>
      <c r="JH7" s="1003"/>
      <c r="JI7" s="1003"/>
      <c r="JJ7" s="837"/>
      <c r="JK7" s="837"/>
      <c r="JL7" s="1003"/>
      <c r="JM7" s="1003"/>
      <c r="JN7" s="1004"/>
      <c r="JO7" s="1005"/>
      <c r="JP7" s="1003"/>
      <c r="JQ7" s="837"/>
      <c r="JR7" s="837"/>
      <c r="JS7" s="1003"/>
      <c r="JT7" s="1003"/>
      <c r="JU7" s="837"/>
      <c r="JV7" s="1003"/>
      <c r="JW7" s="1003"/>
      <c r="JX7" s="837"/>
      <c r="JY7" s="837"/>
      <c r="JZ7" s="1003"/>
      <c r="KA7" s="1003"/>
      <c r="KB7" s="837"/>
      <c r="KC7" s="1003"/>
      <c r="KD7" s="1003"/>
      <c r="KE7" s="837"/>
      <c r="KF7" s="837"/>
      <c r="KG7" s="1003"/>
      <c r="KH7" s="1003"/>
      <c r="KI7" s="837"/>
      <c r="KJ7" s="1003"/>
      <c r="KK7" s="1003"/>
      <c r="KL7" s="837"/>
      <c r="KM7" s="837"/>
      <c r="KN7" s="1003"/>
      <c r="KO7" s="1003"/>
      <c r="KP7" s="837"/>
      <c r="KQ7" s="1003"/>
      <c r="KR7" s="1006"/>
      <c r="KS7" s="1007"/>
      <c r="KT7" s="1005"/>
      <c r="KU7" s="1003"/>
      <c r="KV7" s="1003"/>
      <c r="KW7" s="837"/>
      <c r="KX7" s="1003"/>
      <c r="KY7" s="1003"/>
      <c r="KZ7" s="837"/>
      <c r="LA7" s="837"/>
      <c r="LB7" s="1003"/>
      <c r="LC7" s="1003"/>
      <c r="LD7" s="837"/>
      <c r="LE7" s="1003"/>
      <c r="LF7" s="1003"/>
      <c r="LG7" s="837"/>
      <c r="LH7" s="837"/>
      <c r="LI7" s="1003"/>
      <c r="LJ7" s="1003"/>
      <c r="LK7" s="837"/>
      <c r="LL7" s="1003"/>
      <c r="LM7" s="1003"/>
      <c r="LN7" s="837"/>
      <c r="LO7" s="837"/>
      <c r="LP7" s="1003"/>
      <c r="LQ7" s="1003"/>
      <c r="LR7" s="837"/>
      <c r="LS7" s="1003"/>
      <c r="LT7" s="1003"/>
      <c r="LU7" s="837"/>
      <c r="LV7" s="837"/>
      <c r="LW7" s="1006"/>
      <c r="LX7" s="1006"/>
      <c r="LY7" s="837"/>
      <c r="LZ7" s="1003"/>
      <c r="MA7" s="1003"/>
      <c r="MB7" s="837"/>
      <c r="MC7" s="837"/>
      <c r="MD7" s="1003"/>
      <c r="ME7" s="1003"/>
      <c r="MF7" s="837"/>
      <c r="MG7" s="1003"/>
      <c r="MH7" s="1003"/>
      <c r="MI7" s="837"/>
      <c r="MJ7" s="837"/>
      <c r="MK7" s="1003"/>
      <c r="ML7" s="1003"/>
      <c r="MM7" s="837"/>
      <c r="MN7" s="1003"/>
      <c r="MO7" s="1003"/>
      <c r="MP7" s="837"/>
      <c r="MQ7" s="837"/>
      <c r="MR7" s="1003"/>
      <c r="MS7" s="1003"/>
      <c r="MT7" s="837"/>
      <c r="MU7" s="1003"/>
      <c r="MV7" s="1003"/>
      <c r="MW7" s="837"/>
      <c r="MX7" s="837"/>
      <c r="MY7" s="1003"/>
      <c r="MZ7" s="1003"/>
      <c r="NA7" s="837"/>
      <c r="NB7" s="1003"/>
      <c r="NC7" s="1004"/>
      <c r="ND7" s="837"/>
      <c r="NE7" s="837"/>
      <c r="NF7" s="837"/>
      <c r="NG7" s="837"/>
      <c r="NH7" s="837"/>
      <c r="NI7" s="837"/>
      <c r="NJ7" s="837"/>
      <c r="NK7" s="837"/>
      <c r="NL7" s="837"/>
      <c r="NM7" s="837"/>
      <c r="NN7" s="837"/>
      <c r="NO7" s="837"/>
      <c r="NP7" s="837"/>
      <c r="NQ7" s="837"/>
      <c r="NR7" s="837"/>
      <c r="NS7" s="837"/>
      <c r="NT7" s="837"/>
      <c r="NU7" s="837"/>
      <c r="NV7" s="837"/>
      <c r="NW7" s="837"/>
      <c r="NX7" s="837"/>
      <c r="NY7" s="837"/>
      <c r="NZ7" s="837"/>
      <c r="OA7" s="837"/>
      <c r="OB7" s="837"/>
      <c r="OC7" s="837"/>
      <c r="OD7" s="837"/>
      <c r="OE7" s="837"/>
      <c r="OF7" s="837"/>
      <c r="OG7" s="837"/>
      <c r="OH7" s="837"/>
      <c r="OI7" s="837"/>
      <c r="OJ7" s="837"/>
      <c r="OK7" s="837"/>
      <c r="OL7" s="837"/>
      <c r="OM7" s="837"/>
      <c r="ON7" s="837"/>
      <c r="OO7" s="837"/>
      <c r="OP7" s="837"/>
      <c r="OQ7" s="837"/>
      <c r="OR7" s="837"/>
      <c r="OS7" s="837"/>
      <c r="OT7" s="837"/>
      <c r="OU7" s="837"/>
      <c r="OV7" s="837"/>
      <c r="OW7" s="837"/>
      <c r="OX7" s="837"/>
      <c r="OY7" s="837"/>
      <c r="OZ7" s="837"/>
      <c r="PA7" s="837"/>
      <c r="PB7" s="837"/>
      <c r="PC7" s="837"/>
      <c r="PD7" s="837"/>
      <c r="PE7" s="837"/>
      <c r="PF7" s="837"/>
      <c r="PG7" s="837"/>
      <c r="PH7" s="837"/>
      <c r="PI7" s="837"/>
      <c r="PJ7" s="837"/>
      <c r="PK7" s="837"/>
      <c r="PL7" s="837"/>
      <c r="PM7" s="837"/>
      <c r="PN7" s="837"/>
      <c r="PO7" s="837"/>
      <c r="PP7" s="837"/>
      <c r="PQ7" s="837"/>
      <c r="PR7" s="837"/>
      <c r="PS7" s="837"/>
      <c r="PT7" s="837"/>
      <c r="PU7" s="837"/>
      <c r="PV7" s="837"/>
      <c r="PW7" s="837"/>
      <c r="PX7" s="837"/>
      <c r="PY7" s="837"/>
      <c r="PZ7" s="837"/>
      <c r="QA7" s="837"/>
      <c r="QB7" s="837"/>
      <c r="QC7" s="837"/>
      <c r="QD7" s="837"/>
      <c r="QE7" s="837"/>
      <c r="QF7" s="837"/>
      <c r="QG7" s="837"/>
      <c r="QH7" s="837"/>
      <c r="QI7" s="837"/>
      <c r="QJ7" s="837"/>
      <c r="QK7" s="837"/>
      <c r="QL7" s="837"/>
      <c r="QM7" s="837"/>
      <c r="QN7" s="837"/>
      <c r="QO7" s="837"/>
      <c r="QP7" s="837"/>
      <c r="QQ7" s="837"/>
      <c r="QR7" s="837"/>
      <c r="QS7" s="837"/>
      <c r="QT7" s="837"/>
      <c r="QU7" s="837"/>
      <c r="QV7" s="837"/>
      <c r="QW7" s="837"/>
      <c r="QX7" s="837"/>
      <c r="QY7" s="837"/>
      <c r="QZ7" s="837"/>
      <c r="RA7" s="837"/>
      <c r="RB7" s="837"/>
      <c r="RC7" s="837"/>
      <c r="RD7" s="837"/>
      <c r="RE7" s="837"/>
      <c r="RF7" s="837"/>
      <c r="RG7" s="837"/>
      <c r="RH7" s="837"/>
      <c r="RI7" s="837"/>
      <c r="RJ7" s="837"/>
      <c r="RK7" s="837"/>
      <c r="RL7" s="837"/>
      <c r="RM7" s="837"/>
      <c r="RN7" s="837"/>
      <c r="RO7" s="837"/>
      <c r="RP7" s="837"/>
      <c r="RQ7" s="837"/>
      <c r="RR7" s="837"/>
      <c r="RS7" s="837"/>
      <c r="RT7" s="837"/>
      <c r="RU7" s="837"/>
      <c r="RV7" s="837"/>
      <c r="RW7" s="837"/>
      <c r="RX7" s="837"/>
      <c r="RY7" s="837"/>
      <c r="RZ7" s="837"/>
      <c r="SA7" s="837"/>
      <c r="SB7" s="837"/>
      <c r="SC7" s="837"/>
      <c r="SD7" s="837"/>
      <c r="SE7" s="837"/>
      <c r="SF7" s="837"/>
      <c r="SG7" s="837"/>
      <c r="SH7" s="837"/>
      <c r="SI7" s="837"/>
      <c r="SJ7" s="837"/>
      <c r="SK7" s="837"/>
      <c r="SL7" s="837"/>
      <c r="SM7" s="837"/>
      <c r="SN7" s="837"/>
      <c r="SO7" s="837"/>
      <c r="SP7" s="837"/>
      <c r="SQ7" s="837"/>
      <c r="SR7" s="837"/>
      <c r="SS7" s="837"/>
      <c r="ST7" s="837"/>
      <c r="SU7" s="837"/>
      <c r="SV7" s="837"/>
      <c r="SW7" s="837"/>
      <c r="SX7" s="837"/>
      <c r="SY7" s="837"/>
      <c r="SZ7" s="837"/>
      <c r="TA7" s="837"/>
      <c r="TB7" s="837"/>
      <c r="TC7" s="837"/>
      <c r="TD7" s="837"/>
      <c r="TE7" s="837"/>
      <c r="TF7" s="837"/>
      <c r="TG7" s="837"/>
      <c r="TH7" s="837"/>
      <c r="TI7" s="837"/>
      <c r="TJ7" s="837"/>
      <c r="TK7" s="837"/>
      <c r="TL7" s="837"/>
      <c r="TM7" s="837"/>
      <c r="TN7" s="837"/>
      <c r="TO7" s="837"/>
      <c r="TP7" s="837"/>
      <c r="TQ7" s="837"/>
      <c r="TR7" s="837"/>
      <c r="TS7" s="837"/>
      <c r="TT7" s="837"/>
      <c r="TU7" s="837"/>
      <c r="TV7" s="837"/>
      <c r="TW7" s="837"/>
      <c r="TX7" s="837"/>
      <c r="TY7" s="837"/>
      <c r="TZ7" s="837"/>
      <c r="UA7" s="837"/>
      <c r="UB7" s="837"/>
      <c r="UC7" s="837"/>
      <c r="UD7" s="837"/>
      <c r="UE7" s="837"/>
      <c r="UF7" s="837"/>
      <c r="UG7" s="837"/>
      <c r="UH7" s="837"/>
      <c r="UI7" s="837"/>
      <c r="UJ7" s="837"/>
      <c r="UK7" s="837"/>
      <c r="UL7" s="837"/>
      <c r="UM7" s="837"/>
      <c r="UN7" s="837"/>
      <c r="UO7" s="837"/>
      <c r="UP7" s="837"/>
      <c r="UQ7" s="837"/>
      <c r="UR7" s="837"/>
      <c r="US7" s="837"/>
      <c r="UT7" s="837"/>
      <c r="UU7" s="837"/>
      <c r="UV7" s="837"/>
      <c r="UW7" s="837"/>
      <c r="UX7" s="837"/>
      <c r="UY7" s="837"/>
      <c r="UZ7" s="837"/>
      <c r="VA7" s="837"/>
      <c r="VB7" s="837"/>
      <c r="VC7" s="837"/>
      <c r="VD7" s="837"/>
      <c r="VE7" s="837"/>
      <c r="VF7" s="837"/>
      <c r="VG7" s="837"/>
      <c r="VH7" s="837"/>
      <c r="VI7" s="837"/>
      <c r="VJ7" s="837"/>
      <c r="VK7" s="837"/>
      <c r="VL7" s="837"/>
      <c r="VM7" s="837"/>
      <c r="VN7" s="837"/>
      <c r="VO7" s="837"/>
      <c r="VP7" s="837"/>
      <c r="VQ7" s="837"/>
      <c r="VR7" s="837"/>
      <c r="VS7" s="837"/>
      <c r="VT7" s="837"/>
      <c r="VU7" s="837"/>
      <c r="VV7" s="837"/>
      <c r="VW7" s="837"/>
      <c r="VX7" s="837"/>
      <c r="VY7" s="837"/>
      <c r="VZ7" s="837"/>
      <c r="WA7" s="837"/>
      <c r="WB7" s="837"/>
      <c r="WC7" s="837"/>
      <c r="WD7" s="837"/>
      <c r="WE7" s="837"/>
      <c r="WF7" s="837"/>
      <c r="WG7" s="837"/>
      <c r="WH7" s="837"/>
      <c r="WI7" s="837"/>
      <c r="WJ7" s="837"/>
      <c r="WK7" s="837"/>
      <c r="WL7" s="837"/>
      <c r="WM7" s="837"/>
      <c r="WN7" s="837"/>
      <c r="WO7" s="837"/>
      <c r="WP7" s="837"/>
      <c r="WQ7" s="837"/>
      <c r="WR7" s="837"/>
      <c r="WS7" s="837"/>
      <c r="WT7" s="837"/>
      <c r="WU7" s="837"/>
      <c r="WV7" s="837"/>
      <c r="WW7" s="837"/>
      <c r="WX7" s="837"/>
      <c r="WY7" s="837"/>
      <c r="WZ7" s="837"/>
      <c r="XA7" s="837"/>
      <c r="XB7" s="837"/>
      <c r="XC7" s="837"/>
      <c r="XD7" s="837"/>
      <c r="XE7" s="837"/>
      <c r="XF7" s="837"/>
      <c r="XG7" s="837"/>
      <c r="XH7" s="837"/>
      <c r="XI7" s="837"/>
      <c r="XJ7" s="837"/>
      <c r="XK7" s="837"/>
      <c r="XL7" s="837"/>
      <c r="XM7" s="837"/>
      <c r="XN7" s="837"/>
      <c r="XO7" s="837"/>
      <c r="XP7" s="837"/>
      <c r="XQ7" s="837"/>
      <c r="XR7" s="837"/>
      <c r="XS7" s="837"/>
      <c r="XT7" s="837"/>
      <c r="XU7" s="837"/>
      <c r="XV7" s="837"/>
      <c r="XW7" s="837"/>
      <c r="XX7" s="837"/>
      <c r="XY7" s="837"/>
      <c r="XZ7" s="837"/>
      <c r="YA7" s="837"/>
      <c r="YB7" s="837"/>
      <c r="YC7" s="837"/>
      <c r="YD7" s="837"/>
      <c r="YE7" s="837"/>
      <c r="YF7" s="837"/>
      <c r="YG7" s="837"/>
      <c r="YH7" s="837"/>
      <c r="YI7" s="837"/>
      <c r="YJ7" s="837"/>
      <c r="YK7" s="837"/>
      <c r="YL7" s="837"/>
      <c r="YM7" s="837"/>
      <c r="YN7" s="837"/>
      <c r="YO7" s="837"/>
      <c r="YP7" s="837"/>
      <c r="YQ7" s="837"/>
      <c r="YR7" s="837"/>
      <c r="YS7" s="837"/>
      <c r="YT7" s="837"/>
      <c r="YU7" s="837"/>
      <c r="YV7" s="837"/>
      <c r="YW7" s="837"/>
      <c r="YX7" s="837"/>
      <c r="YY7" s="837"/>
      <c r="YZ7" s="837"/>
      <c r="ZA7" s="837"/>
      <c r="ZB7" s="837"/>
      <c r="ZC7" s="837"/>
      <c r="ZD7" s="837"/>
      <c r="ZE7" s="837"/>
      <c r="ZF7" s="837"/>
      <c r="ZG7" s="837"/>
      <c r="ZH7" s="837"/>
      <c r="ZI7" s="837"/>
      <c r="ZJ7" s="837"/>
      <c r="ZK7" s="837"/>
      <c r="ZL7" s="837"/>
      <c r="ZM7" s="837"/>
      <c r="ZN7" s="837"/>
      <c r="ZO7" s="837"/>
      <c r="ZP7" s="837"/>
      <c r="ZQ7" s="837"/>
      <c r="ZR7" s="837"/>
      <c r="ZS7" s="837"/>
      <c r="ZT7" s="837"/>
      <c r="ZU7" s="837"/>
      <c r="ZV7" s="837"/>
      <c r="ZW7" s="837"/>
      <c r="ZX7" s="837"/>
      <c r="ZY7" s="837"/>
      <c r="ZZ7" s="837"/>
      <c r="AAA7" s="837"/>
      <c r="AAB7" s="837"/>
      <c r="AAC7" s="837"/>
      <c r="AAD7" s="837"/>
      <c r="AAE7" s="837"/>
      <c r="AAF7" s="837"/>
      <c r="AAG7" s="837"/>
      <c r="AAH7" s="837"/>
      <c r="AAI7" s="837"/>
      <c r="AAJ7" s="837"/>
      <c r="AAK7" s="837"/>
      <c r="AAL7" s="837"/>
      <c r="AAM7" s="837"/>
      <c r="AAN7" s="837"/>
      <c r="AAO7" s="837"/>
      <c r="AAP7" s="837"/>
      <c r="AAQ7" s="837"/>
      <c r="AAR7" s="837"/>
      <c r="AAS7" s="837"/>
      <c r="AAT7" s="837"/>
      <c r="AAU7" s="837"/>
      <c r="AAV7" s="837"/>
      <c r="AAW7" s="837"/>
      <c r="AAX7" s="837"/>
      <c r="AAY7" s="837"/>
      <c r="AAZ7" s="837"/>
      <c r="ABA7" s="837"/>
      <c r="ABB7" s="837"/>
      <c r="ABC7" s="837"/>
      <c r="ABD7" s="837"/>
      <c r="ABE7" s="837"/>
      <c r="ABF7" s="837"/>
      <c r="ABG7" s="837"/>
      <c r="ABH7" s="837"/>
      <c r="ABI7" s="837"/>
      <c r="ABJ7" s="837"/>
      <c r="ABK7" s="837"/>
      <c r="ABL7" s="837"/>
      <c r="ABM7" s="837"/>
      <c r="ABN7" s="837"/>
      <c r="ABO7" s="837"/>
      <c r="ABP7" s="837"/>
      <c r="ABQ7" s="837"/>
      <c r="ABR7" s="837"/>
      <c r="ABS7" s="837"/>
      <c r="ABT7" s="837"/>
      <c r="ABU7" s="837"/>
      <c r="ABV7" s="837"/>
      <c r="ABW7" s="837"/>
      <c r="ABX7" s="837"/>
      <c r="ABY7" s="837"/>
      <c r="ABZ7" s="837"/>
      <c r="ACA7" s="837"/>
      <c r="ACB7" s="837"/>
      <c r="ACC7" s="837"/>
      <c r="ACD7" s="837"/>
      <c r="ACE7" s="837"/>
      <c r="ACF7" s="837"/>
      <c r="ACG7" s="837"/>
      <c r="ACH7" s="837"/>
      <c r="ACI7" s="837"/>
      <c r="ACJ7" s="837"/>
      <c r="ACK7" s="837"/>
      <c r="ACL7" s="837"/>
      <c r="ACM7" s="837"/>
      <c r="ACN7" s="837"/>
      <c r="ACO7" s="837"/>
      <c r="ACP7" s="837"/>
      <c r="ACQ7" s="837"/>
      <c r="ACR7" s="837"/>
      <c r="ACS7" s="837"/>
      <c r="ACT7" s="837"/>
      <c r="ACU7" s="837"/>
      <c r="ACV7" s="837"/>
      <c r="ACW7" s="837"/>
      <c r="ACX7" s="837"/>
      <c r="ACY7" s="837"/>
      <c r="ACZ7" s="837"/>
      <c r="ADA7" s="837"/>
      <c r="ADB7" s="837"/>
      <c r="ADC7" s="837"/>
      <c r="ADD7" s="837"/>
      <c r="ADE7" s="837"/>
      <c r="ADF7" s="837"/>
      <c r="ADG7" s="837"/>
      <c r="ADH7" s="837"/>
      <c r="ADI7" s="837"/>
      <c r="ADJ7" s="837"/>
      <c r="ADK7" s="837"/>
      <c r="ADL7" s="837"/>
      <c r="ADM7" s="837"/>
      <c r="ADN7" s="837"/>
      <c r="ADO7" s="837"/>
      <c r="ADP7" s="837"/>
      <c r="ADQ7" s="837"/>
      <c r="ADR7" s="837"/>
      <c r="ADS7" s="837"/>
      <c r="ADT7" s="837"/>
      <c r="ADU7" s="837"/>
      <c r="ADV7" s="837"/>
      <c r="ADW7" s="837"/>
      <c r="ADX7" s="837"/>
      <c r="ADY7" s="837"/>
      <c r="ADZ7" s="837"/>
      <c r="AEA7" s="837"/>
      <c r="AEB7" s="837"/>
      <c r="AEC7" s="837"/>
      <c r="AED7" s="837"/>
      <c r="AEE7" s="837"/>
      <c r="AEF7" s="837"/>
      <c r="AEG7" s="837"/>
      <c r="AEH7" s="837"/>
      <c r="AEI7" s="837"/>
      <c r="AEJ7" s="837"/>
      <c r="AEK7" s="837"/>
      <c r="AEL7" s="837"/>
      <c r="AEM7" s="837"/>
      <c r="AEN7" s="837"/>
      <c r="AEO7" s="837"/>
      <c r="AEP7" s="837"/>
      <c r="AEQ7" s="837"/>
      <c r="AER7" s="837"/>
      <c r="AES7" s="837"/>
      <c r="AET7" s="837"/>
      <c r="AEU7" s="837"/>
      <c r="AEV7" s="837"/>
      <c r="AEW7" s="837"/>
      <c r="AEX7" s="837"/>
      <c r="AEY7" s="837"/>
      <c r="AEZ7" s="837"/>
      <c r="AFA7" s="837"/>
      <c r="AFB7" s="837"/>
      <c r="AFC7" s="837"/>
      <c r="AFD7" s="837"/>
      <c r="AFE7" s="837"/>
      <c r="AFF7" s="837"/>
      <c r="AFG7" s="837"/>
      <c r="AFH7" s="837"/>
      <c r="AFI7" s="837"/>
      <c r="AFJ7" s="837"/>
      <c r="AFK7" s="837"/>
      <c r="AFL7" s="837"/>
      <c r="AFM7" s="837"/>
      <c r="AFN7" s="837"/>
      <c r="AFO7" s="837"/>
      <c r="AFP7" s="837"/>
      <c r="AFQ7" s="837"/>
      <c r="AFR7" s="837"/>
      <c r="AFS7" s="837"/>
      <c r="AFT7" s="837"/>
      <c r="AFU7" s="837"/>
      <c r="AFV7" s="837"/>
      <c r="AFW7" s="837"/>
      <c r="AFX7" s="837"/>
      <c r="AFY7" s="837"/>
      <c r="AFZ7" s="837"/>
      <c r="AGA7" s="837"/>
      <c r="AGB7" s="837"/>
      <c r="AGC7" s="837"/>
      <c r="AGD7" s="837"/>
      <c r="AGE7" s="837"/>
      <c r="AGF7" s="837"/>
      <c r="AGG7" s="837"/>
      <c r="AGH7" s="837"/>
      <c r="AGI7" s="837"/>
      <c r="AGJ7" s="837"/>
      <c r="AGK7" s="837"/>
      <c r="AGL7" s="837"/>
      <c r="AGM7" s="837"/>
      <c r="AGN7" s="837"/>
      <c r="AGO7" s="837"/>
      <c r="AGP7" s="837"/>
      <c r="AGQ7" s="837"/>
      <c r="AGR7" s="837"/>
      <c r="AGS7" s="837"/>
      <c r="AGT7" s="837"/>
      <c r="AGU7" s="837"/>
      <c r="AGV7" s="837"/>
      <c r="AGW7" s="837"/>
      <c r="AGX7" s="837"/>
      <c r="AGY7" s="837"/>
      <c r="AGZ7" s="837"/>
      <c r="AHA7" s="837"/>
      <c r="AHB7" s="837"/>
      <c r="AHC7" s="837"/>
      <c r="AHD7" s="837"/>
      <c r="AHE7" s="837"/>
      <c r="AHF7" s="837"/>
      <c r="AHG7" s="837"/>
      <c r="AHH7" s="837"/>
      <c r="AHI7" s="837"/>
      <c r="AHJ7" s="837"/>
      <c r="AHK7" s="837"/>
      <c r="AHL7" s="837"/>
      <c r="AHM7" s="837"/>
      <c r="AHN7" s="837"/>
      <c r="AHO7" s="837"/>
      <c r="AHP7" s="837"/>
      <c r="AHQ7" s="837"/>
      <c r="AHR7" s="837"/>
      <c r="AHS7" s="837"/>
      <c r="AHT7" s="837"/>
      <c r="AHU7" s="837"/>
      <c r="AHV7" s="837"/>
      <c r="AHW7" s="837"/>
      <c r="AHX7" s="837"/>
      <c r="AHY7" s="837"/>
      <c r="AHZ7" s="837"/>
      <c r="AIA7" s="837"/>
      <c r="AIB7" s="837"/>
      <c r="AIC7" s="837"/>
      <c r="AID7" s="837"/>
      <c r="AIE7" s="837"/>
      <c r="AIF7" s="837"/>
      <c r="AIG7" s="837"/>
      <c r="AIH7" s="837"/>
      <c r="AII7" s="837"/>
      <c r="AIJ7" s="837"/>
      <c r="AIK7" s="837"/>
      <c r="AIL7" s="837"/>
      <c r="AIM7" s="837"/>
      <c r="AIN7" s="837"/>
      <c r="AIO7" s="837"/>
      <c r="AIP7" s="837"/>
      <c r="AIQ7" s="837"/>
      <c r="AIR7" s="837"/>
      <c r="AIS7" s="837"/>
      <c r="AIT7" s="837"/>
      <c r="AIU7" s="837"/>
      <c r="AIV7" s="837"/>
      <c r="AIW7" s="837"/>
      <c r="AIX7" s="837"/>
      <c r="AIY7" s="837"/>
      <c r="AIZ7" s="837"/>
      <c r="AJA7" s="837"/>
      <c r="AJB7" s="837"/>
      <c r="AJC7" s="837"/>
      <c r="AJD7" s="837"/>
      <c r="AJE7" s="837"/>
      <c r="AJF7" s="837"/>
      <c r="AJG7" s="837"/>
      <c r="AJH7" s="837"/>
      <c r="AJI7" s="837"/>
      <c r="AJJ7" s="837"/>
      <c r="AJK7" s="837"/>
      <c r="AJL7" s="837"/>
      <c r="AJM7" s="837"/>
      <c r="AJN7" s="837"/>
      <c r="AJO7" s="837"/>
      <c r="AJP7" s="837"/>
      <c r="AJQ7" s="837"/>
      <c r="AJR7" s="837"/>
      <c r="AJS7" s="837"/>
      <c r="AJT7" s="837"/>
      <c r="AJU7" s="837"/>
      <c r="AJV7" s="837"/>
      <c r="AJW7" s="837"/>
      <c r="AJX7" s="837"/>
      <c r="AJY7" s="837"/>
      <c r="AJZ7" s="837"/>
      <c r="AKA7" s="837"/>
      <c r="AKB7" s="837"/>
      <c r="AKC7" s="837"/>
      <c r="AKD7" s="837"/>
      <c r="AKE7" s="837"/>
      <c r="AKF7" s="837"/>
      <c r="AKG7" s="837"/>
      <c r="AKH7" s="837"/>
      <c r="AKI7" s="837"/>
      <c r="AKJ7" s="837"/>
      <c r="AKK7" s="837"/>
      <c r="AKL7" s="837"/>
      <c r="AKM7" s="837"/>
      <c r="AKN7" s="837"/>
      <c r="AKO7" s="837"/>
      <c r="AKP7" s="837"/>
      <c r="AKQ7" s="837"/>
      <c r="AKR7" s="837"/>
      <c r="AKS7" s="837"/>
      <c r="AKT7" s="837"/>
      <c r="AKU7" s="837"/>
      <c r="AKV7" s="837"/>
      <c r="AKW7" s="837"/>
      <c r="AKX7" s="837"/>
      <c r="AKY7" s="837"/>
      <c r="AKZ7" s="837"/>
      <c r="ALA7" s="837"/>
      <c r="ALB7" s="837"/>
      <c r="ALC7" s="837"/>
      <c r="ALD7" s="837"/>
      <c r="ALE7" s="837"/>
      <c r="ALF7" s="837"/>
      <c r="ALG7" s="837"/>
      <c r="ALH7" s="837"/>
      <c r="ALI7" s="837"/>
      <c r="ALJ7" s="837"/>
      <c r="ALK7" s="837"/>
      <c r="ALL7" s="837"/>
    </row>
    <row r="8" spans="1:1000" s="454" customFormat="1" ht="33" hidden="1" customHeight="1" outlineLevel="1">
      <c r="A8" s="1254"/>
      <c r="B8" s="858" t="s">
        <v>37</v>
      </c>
      <c r="C8" s="457" t="s">
        <v>3798</v>
      </c>
      <c r="D8" s="457" t="s">
        <v>3799</v>
      </c>
      <c r="E8" s="859" t="s">
        <v>3800</v>
      </c>
      <c r="F8" s="860" t="s">
        <v>3801</v>
      </c>
      <c r="G8" s="861" t="s">
        <v>3802</v>
      </c>
      <c r="H8" s="862" t="s">
        <v>3803</v>
      </c>
      <c r="I8" s="861" t="s">
        <v>3804</v>
      </c>
      <c r="J8" s="457" t="s">
        <v>3805</v>
      </c>
      <c r="K8" s="457" t="s">
        <v>3806</v>
      </c>
      <c r="L8" s="862" t="s">
        <v>3807</v>
      </c>
      <c r="M8" s="863" t="s">
        <v>3808</v>
      </c>
      <c r="N8" s="861" t="s">
        <v>3900</v>
      </c>
      <c r="O8" s="1165" t="s">
        <v>3809</v>
      </c>
      <c r="P8" s="453"/>
      <c r="Q8" s="838"/>
      <c r="R8" s="838"/>
      <c r="S8" s="838"/>
      <c r="AA8" s="495"/>
      <c r="AB8" s="495"/>
      <c r="AD8" s="495"/>
      <c r="AE8" s="487"/>
      <c r="AF8" s="637"/>
      <c r="AG8" s="498"/>
      <c r="AH8" s="495"/>
      <c r="AI8" s="495"/>
      <c r="AK8" s="495"/>
      <c r="AO8" s="495"/>
      <c r="AP8" s="495"/>
      <c r="AR8" s="495"/>
      <c r="AV8" s="495"/>
      <c r="AW8" s="495"/>
      <c r="AY8" s="495"/>
      <c r="BC8" s="495"/>
      <c r="BD8" s="495"/>
      <c r="BF8" s="495"/>
      <c r="BH8" s="487"/>
      <c r="BI8" s="498"/>
      <c r="BJ8" s="634"/>
      <c r="BK8" s="637"/>
      <c r="BL8" s="498"/>
      <c r="BM8" s="495"/>
      <c r="BQ8" s="495"/>
      <c r="BR8" s="495"/>
      <c r="BT8" s="495"/>
      <c r="BX8" s="495"/>
      <c r="BY8" s="495"/>
      <c r="CA8" s="495"/>
      <c r="CE8" s="495"/>
      <c r="CF8" s="495"/>
      <c r="CH8" s="495"/>
      <c r="CL8" s="495"/>
      <c r="CM8" s="634"/>
      <c r="CN8" s="498"/>
      <c r="CO8" s="634"/>
      <c r="CP8" s="498"/>
      <c r="CS8" s="495"/>
      <c r="CT8" s="495"/>
      <c r="CV8" s="495"/>
      <c r="CZ8" s="495"/>
      <c r="DA8" s="495"/>
      <c r="DC8" s="495"/>
      <c r="DG8" s="495"/>
      <c r="DH8" s="495"/>
      <c r="DJ8" s="495"/>
      <c r="DN8" s="495"/>
      <c r="DO8" s="495"/>
      <c r="DQ8" s="634"/>
      <c r="DR8" s="637"/>
      <c r="DS8" s="637"/>
      <c r="DT8" s="498"/>
      <c r="DU8" s="495"/>
      <c r="DV8" s="495"/>
      <c r="DX8" s="495"/>
      <c r="EB8" s="495"/>
      <c r="EC8" s="495"/>
      <c r="EE8" s="495"/>
      <c r="EI8" s="495"/>
      <c r="EJ8" s="495"/>
      <c r="EL8" s="495"/>
      <c r="EP8" s="495"/>
      <c r="EQ8" s="495"/>
      <c r="ES8" s="495"/>
      <c r="EV8" s="487"/>
      <c r="EW8" s="498"/>
      <c r="EX8" s="634"/>
      <c r="EY8" s="498"/>
      <c r="EZ8" s="495"/>
      <c r="FD8" s="495"/>
      <c r="FE8" s="495"/>
      <c r="FG8" s="495"/>
      <c r="FK8" s="495"/>
      <c r="FL8" s="495"/>
      <c r="FN8" s="495"/>
      <c r="FR8" s="495"/>
      <c r="FS8" s="495"/>
      <c r="FU8" s="495"/>
      <c r="FY8" s="495"/>
      <c r="FZ8" s="634"/>
      <c r="GA8" s="637"/>
      <c r="GB8" s="498"/>
      <c r="GF8" s="495"/>
      <c r="GG8" s="495"/>
      <c r="GI8" s="495"/>
      <c r="GM8" s="495"/>
      <c r="GN8" s="495"/>
      <c r="GP8" s="495"/>
      <c r="GT8" s="495"/>
      <c r="GU8" s="495"/>
      <c r="GW8" s="495"/>
      <c r="HA8" s="495"/>
      <c r="HB8" s="495"/>
      <c r="HD8" s="495"/>
      <c r="HE8" s="487"/>
      <c r="HF8" s="498"/>
      <c r="HH8" s="495"/>
      <c r="HI8" s="495"/>
      <c r="HK8" s="495"/>
      <c r="HO8" s="495"/>
      <c r="HP8" s="495"/>
      <c r="HR8" s="495"/>
      <c r="HV8" s="495"/>
      <c r="HW8" s="495"/>
      <c r="HY8" s="495"/>
      <c r="IC8" s="495"/>
      <c r="ID8" s="495"/>
      <c r="IF8" s="495"/>
      <c r="IJ8" s="634"/>
      <c r="IK8" s="498"/>
      <c r="IM8" s="495"/>
      <c r="IQ8" s="495"/>
      <c r="IR8" s="495"/>
      <c r="IT8" s="495"/>
      <c r="IX8" s="495"/>
      <c r="IY8" s="495"/>
      <c r="JA8" s="495"/>
      <c r="JE8" s="495"/>
      <c r="JF8" s="495"/>
      <c r="JH8" s="495"/>
      <c r="JL8" s="495"/>
      <c r="JM8" s="495"/>
      <c r="JN8" s="487"/>
      <c r="JO8" s="637"/>
      <c r="JP8" s="498"/>
      <c r="JS8" s="495"/>
      <c r="JT8" s="495"/>
      <c r="JV8" s="495"/>
      <c r="JZ8" s="495"/>
      <c r="KA8" s="495"/>
      <c r="KC8" s="495"/>
      <c r="KG8" s="495"/>
      <c r="KH8" s="495"/>
      <c r="KJ8" s="495"/>
      <c r="KN8" s="495"/>
      <c r="KO8" s="495"/>
      <c r="KQ8" s="495"/>
      <c r="KR8" s="487"/>
      <c r="KS8" s="637"/>
      <c r="KT8" s="498"/>
      <c r="KU8" s="495"/>
      <c r="KV8" s="495"/>
      <c r="KX8" s="495"/>
      <c r="LB8" s="495"/>
      <c r="LC8" s="495"/>
      <c r="LE8" s="495"/>
      <c r="LI8" s="495"/>
      <c r="LJ8" s="495"/>
      <c r="LL8" s="495"/>
      <c r="LP8" s="495"/>
      <c r="LQ8" s="495"/>
      <c r="LS8" s="495"/>
      <c r="LW8" s="634"/>
      <c r="LX8" s="634"/>
      <c r="LZ8" s="495"/>
      <c r="MD8" s="495"/>
      <c r="ME8" s="495"/>
      <c r="MG8" s="495"/>
      <c r="MK8" s="495"/>
      <c r="ML8" s="495"/>
      <c r="MN8" s="495"/>
      <c r="MR8" s="495"/>
      <c r="MS8" s="495"/>
      <c r="MU8" s="495"/>
      <c r="MY8" s="495"/>
      <c r="MZ8" s="495"/>
      <c r="NB8" s="495"/>
      <c r="NC8" s="487"/>
    </row>
    <row r="9" spans="1:1000" s="27" customFormat="1" ht="16.350000000000001" hidden="1" customHeight="1" outlineLevel="1">
      <c r="A9" s="1168"/>
      <c r="B9" s="1009" t="s">
        <v>38</v>
      </c>
      <c r="C9" s="1010">
        <v>0.90322580645161288</v>
      </c>
      <c r="D9" s="1010">
        <v>0.96551724137931039</v>
      </c>
      <c r="E9" s="1010">
        <v>0.967741935483871</v>
      </c>
      <c r="F9" s="1010">
        <v>1</v>
      </c>
      <c r="G9" s="1010">
        <v>1</v>
      </c>
      <c r="H9" s="1010">
        <v>0.96666666666666667</v>
      </c>
      <c r="I9" s="1010">
        <v>0.87096774193548387</v>
      </c>
      <c r="J9" s="1010">
        <v>0.87096774193548387</v>
      </c>
      <c r="K9" s="1010">
        <v>0.9</v>
      </c>
      <c r="L9" s="1010">
        <v>0.93548387096774188</v>
      </c>
      <c r="M9" s="1010">
        <v>0.8666666666666667</v>
      </c>
      <c r="N9" s="1010">
        <v>0.93548387096774188</v>
      </c>
      <c r="O9" s="1167">
        <v>0.9342465753424658</v>
      </c>
      <c r="P9" s="488"/>
      <c r="Q9" s="839"/>
      <c r="R9" s="488"/>
      <c r="S9" s="488"/>
      <c r="T9" s="489"/>
      <c r="U9" s="489"/>
      <c r="V9" s="489"/>
      <c r="W9" s="489"/>
      <c r="X9" s="489"/>
      <c r="Y9" s="489"/>
      <c r="Z9" s="489"/>
      <c r="AA9" s="489"/>
      <c r="AB9" s="489"/>
      <c r="AC9" s="489"/>
      <c r="AD9" s="489"/>
      <c r="AE9" s="489"/>
      <c r="AF9" s="489"/>
      <c r="AG9" s="489"/>
      <c r="AH9" s="489"/>
      <c r="AI9" s="489"/>
      <c r="AJ9" s="489"/>
      <c r="AK9" s="489"/>
      <c r="AL9" s="489"/>
      <c r="AM9" s="489"/>
      <c r="AN9" s="489"/>
      <c r="AO9" s="489"/>
      <c r="AP9" s="489"/>
      <c r="AQ9" s="489"/>
      <c r="AR9" s="489"/>
      <c r="AS9" s="489"/>
      <c r="AT9" s="489"/>
      <c r="AU9" s="489"/>
      <c r="AV9" s="489"/>
      <c r="AW9" s="489"/>
      <c r="AX9" s="489"/>
      <c r="AY9" s="489"/>
      <c r="AZ9" s="489"/>
      <c r="BA9" s="489"/>
      <c r="BB9" s="489"/>
      <c r="BC9" s="489"/>
      <c r="BD9" s="489"/>
      <c r="BE9" s="489"/>
      <c r="BF9" s="489"/>
      <c r="BG9" s="489"/>
      <c r="BH9" s="489"/>
      <c r="BI9" s="489"/>
      <c r="BJ9" s="489"/>
      <c r="BK9" s="489"/>
      <c r="BL9" s="489"/>
      <c r="BM9" s="489"/>
      <c r="BN9" s="489"/>
      <c r="BO9" s="489"/>
      <c r="BP9" s="489"/>
      <c r="BQ9" s="489"/>
      <c r="BR9" s="489"/>
      <c r="BS9" s="489"/>
      <c r="BT9" s="489"/>
      <c r="BU9" s="489"/>
      <c r="BV9" s="489"/>
      <c r="BW9" s="489"/>
      <c r="BX9" s="489"/>
      <c r="BY9" s="489"/>
      <c r="BZ9" s="489"/>
      <c r="CA9" s="489"/>
      <c r="CB9" s="489"/>
      <c r="CC9" s="489"/>
      <c r="CD9" s="489"/>
      <c r="CE9" s="489"/>
      <c r="CF9" s="489"/>
      <c r="CG9" s="489"/>
      <c r="CH9" s="489"/>
      <c r="CI9" s="489"/>
      <c r="CJ9" s="489"/>
      <c r="CK9" s="489"/>
      <c r="CL9" s="489"/>
      <c r="CM9" s="489"/>
      <c r="CN9" s="489"/>
      <c r="CO9" s="489"/>
      <c r="CP9" s="489"/>
      <c r="CQ9" s="489"/>
      <c r="CR9" s="489"/>
      <c r="CS9" s="489"/>
      <c r="CT9" s="489"/>
      <c r="CU9" s="489"/>
      <c r="CV9" s="489"/>
      <c r="CW9" s="489"/>
      <c r="CX9" s="489"/>
      <c r="CY9" s="489"/>
      <c r="CZ9" s="489"/>
      <c r="DA9" s="489"/>
      <c r="DB9" s="489"/>
      <c r="DC9" s="489"/>
      <c r="DD9" s="489"/>
      <c r="DE9" s="489"/>
      <c r="DF9" s="489"/>
      <c r="DG9" s="489"/>
      <c r="DH9" s="489"/>
      <c r="DI9" s="489"/>
      <c r="DJ9" s="489"/>
      <c r="DK9" s="489"/>
      <c r="DL9" s="489"/>
      <c r="DM9" s="489"/>
      <c r="DN9" s="489"/>
      <c r="DO9" s="489"/>
      <c r="DP9" s="489"/>
      <c r="DQ9" s="489"/>
      <c r="DR9" s="489"/>
      <c r="DS9" s="489"/>
      <c r="DT9" s="489"/>
      <c r="DU9" s="489"/>
      <c r="DV9" s="489"/>
      <c r="DW9" s="489"/>
      <c r="DX9" s="489"/>
      <c r="DY9" s="489"/>
      <c r="DZ9" s="489"/>
      <c r="EA9" s="489"/>
      <c r="EB9" s="489"/>
      <c r="EC9" s="489"/>
      <c r="ED9" s="489"/>
      <c r="EE9" s="489"/>
      <c r="EF9" s="489"/>
      <c r="EG9" s="489"/>
      <c r="EH9" s="489"/>
      <c r="EI9" s="489"/>
      <c r="EJ9" s="489"/>
      <c r="EK9" s="489"/>
      <c r="EL9" s="489"/>
      <c r="EM9" s="489"/>
      <c r="EN9" s="489"/>
      <c r="EO9" s="489"/>
      <c r="EP9" s="489"/>
      <c r="EQ9" s="489"/>
      <c r="ER9" s="489"/>
      <c r="ES9" s="489"/>
      <c r="ET9" s="489"/>
      <c r="EU9" s="489"/>
      <c r="EV9" s="489"/>
      <c r="EW9" s="489"/>
      <c r="EX9" s="489"/>
      <c r="EY9" s="489"/>
      <c r="EZ9" s="489"/>
      <c r="FA9" s="489"/>
      <c r="FB9" s="489"/>
      <c r="FC9" s="489"/>
      <c r="FD9" s="489"/>
      <c r="FE9" s="489"/>
      <c r="FF9" s="489"/>
      <c r="FG9" s="489"/>
      <c r="FH9" s="489"/>
      <c r="FI9" s="489"/>
      <c r="FJ9" s="489"/>
      <c r="FK9" s="489"/>
      <c r="FL9" s="489"/>
      <c r="FM9" s="489"/>
      <c r="FN9" s="489"/>
      <c r="FO9" s="489"/>
      <c r="FP9" s="489"/>
      <c r="FQ9" s="489"/>
      <c r="FR9" s="489"/>
      <c r="FS9" s="489"/>
      <c r="FT9" s="489"/>
      <c r="FU9" s="489"/>
      <c r="FV9" s="489"/>
      <c r="FW9" s="489"/>
      <c r="FX9" s="489"/>
      <c r="FY9" s="489"/>
      <c r="FZ9" s="489"/>
      <c r="GA9" s="489"/>
      <c r="GB9" s="489"/>
      <c r="GC9" s="489"/>
      <c r="GD9" s="489"/>
      <c r="GE9" s="489"/>
      <c r="GF9" s="489"/>
      <c r="GG9" s="489"/>
      <c r="GH9" s="489"/>
      <c r="GI9" s="489"/>
      <c r="GJ9" s="489"/>
      <c r="GK9" s="489"/>
      <c r="GL9" s="489"/>
      <c r="GM9" s="489"/>
      <c r="GN9" s="489"/>
      <c r="GO9" s="489"/>
      <c r="GP9" s="489"/>
      <c r="GQ9" s="489"/>
      <c r="GR9" s="489"/>
      <c r="GS9" s="489"/>
      <c r="GT9" s="489"/>
      <c r="GU9" s="489"/>
      <c r="GV9" s="489"/>
      <c r="GW9" s="489"/>
      <c r="GX9" s="489"/>
      <c r="GY9" s="489"/>
      <c r="GZ9" s="489"/>
      <c r="HA9" s="489"/>
      <c r="HB9" s="489"/>
      <c r="HC9" s="489"/>
      <c r="HD9" s="489"/>
      <c r="HE9" s="489"/>
      <c r="HF9" s="489"/>
      <c r="HG9" s="489"/>
      <c r="HH9" s="489"/>
      <c r="HI9" s="489"/>
      <c r="HJ9" s="489"/>
      <c r="HK9" s="489"/>
      <c r="HL9" s="489"/>
      <c r="HM9" s="489"/>
      <c r="HN9" s="489"/>
      <c r="HO9" s="489"/>
      <c r="HP9" s="489"/>
      <c r="HQ9" s="489"/>
      <c r="HR9" s="489"/>
      <c r="HS9" s="489"/>
      <c r="HT9" s="489"/>
      <c r="HU9" s="489"/>
      <c r="HV9" s="489"/>
      <c r="HW9" s="489"/>
      <c r="HX9" s="489"/>
      <c r="HY9" s="489"/>
      <c r="HZ9" s="489"/>
      <c r="IA9" s="489"/>
      <c r="IB9" s="489"/>
      <c r="IC9" s="489"/>
      <c r="ID9" s="489"/>
      <c r="IE9" s="489"/>
      <c r="IF9" s="489"/>
      <c r="IG9" s="489"/>
      <c r="IH9" s="489"/>
      <c r="II9" s="489"/>
      <c r="IJ9" s="489"/>
      <c r="IK9" s="489"/>
      <c r="IL9" s="489"/>
      <c r="IM9" s="489"/>
      <c r="IN9" s="489"/>
      <c r="IO9" s="489"/>
      <c r="IP9" s="489"/>
      <c r="IQ9" s="489"/>
      <c r="IR9" s="489"/>
      <c r="IS9" s="489"/>
      <c r="IT9" s="489"/>
      <c r="IU9" s="489"/>
      <c r="IV9" s="489"/>
      <c r="IW9" s="489"/>
      <c r="IX9" s="489"/>
      <c r="IY9" s="489"/>
      <c r="IZ9" s="489"/>
      <c r="JA9" s="489"/>
      <c r="JB9" s="489"/>
      <c r="JC9" s="489"/>
      <c r="JD9" s="489"/>
      <c r="JE9" s="489"/>
      <c r="JF9" s="489"/>
      <c r="JG9" s="489"/>
      <c r="JH9" s="489"/>
      <c r="JI9" s="489"/>
      <c r="JJ9" s="489"/>
      <c r="JK9" s="489"/>
      <c r="JL9" s="489"/>
      <c r="JM9" s="489"/>
      <c r="JN9" s="489"/>
      <c r="JO9" s="489"/>
      <c r="JP9" s="489"/>
      <c r="JQ9" s="489"/>
      <c r="JR9" s="489"/>
      <c r="JS9" s="489"/>
      <c r="JT9" s="489"/>
      <c r="JU9" s="489"/>
      <c r="JV9" s="489"/>
      <c r="JW9" s="489"/>
      <c r="JX9" s="489"/>
      <c r="JY9" s="489"/>
      <c r="JZ9" s="489"/>
      <c r="KA9" s="489"/>
      <c r="KB9" s="489"/>
      <c r="KC9" s="489"/>
      <c r="KD9" s="489"/>
      <c r="KE9" s="489"/>
      <c r="KF9" s="489"/>
      <c r="KG9" s="489"/>
      <c r="KH9" s="489"/>
      <c r="KI9" s="489"/>
      <c r="KJ9" s="489"/>
      <c r="KK9" s="489"/>
      <c r="KL9" s="489"/>
      <c r="KM9" s="489"/>
      <c r="KN9" s="489"/>
      <c r="KO9" s="489"/>
      <c r="KP9" s="489"/>
      <c r="KQ9" s="489"/>
      <c r="KR9" s="489"/>
      <c r="KS9" s="489"/>
      <c r="KT9" s="489"/>
      <c r="KU9" s="489"/>
      <c r="KV9" s="489"/>
      <c r="KW9" s="489"/>
      <c r="KX9" s="489"/>
      <c r="KY9" s="489"/>
      <c r="KZ9" s="489"/>
      <c r="LA9" s="489"/>
      <c r="LB9" s="489"/>
      <c r="LC9" s="489"/>
      <c r="LD9" s="489"/>
      <c r="LE9" s="489"/>
      <c r="LF9" s="489"/>
      <c r="LG9" s="489"/>
      <c r="LH9" s="489"/>
      <c r="LI9" s="489"/>
      <c r="LJ9" s="489"/>
      <c r="LK9" s="489"/>
      <c r="LL9" s="489"/>
      <c r="LM9" s="489"/>
      <c r="LN9" s="489"/>
      <c r="LO9" s="489"/>
      <c r="LP9" s="489"/>
      <c r="LQ9" s="489"/>
      <c r="LR9" s="489"/>
      <c r="LS9" s="489"/>
      <c r="LT9" s="489"/>
      <c r="LU9" s="489"/>
      <c r="LV9" s="489"/>
      <c r="LW9" s="489"/>
      <c r="LX9" s="489"/>
      <c r="LY9" s="489"/>
      <c r="LZ9" s="489"/>
      <c r="MA9" s="489"/>
      <c r="MB9" s="489"/>
      <c r="MC9" s="489"/>
      <c r="MD9" s="489"/>
      <c r="ME9" s="489"/>
      <c r="MF9" s="489"/>
      <c r="MG9" s="489"/>
      <c r="MH9" s="489"/>
      <c r="MI9" s="489"/>
      <c r="MJ9" s="489"/>
      <c r="MK9" s="489"/>
      <c r="ML9" s="489"/>
      <c r="MM9" s="489"/>
      <c r="MN9" s="489"/>
      <c r="MO9" s="489"/>
      <c r="MP9" s="489"/>
      <c r="MQ9" s="489"/>
      <c r="MR9" s="489"/>
      <c r="MS9" s="489"/>
      <c r="MT9" s="489"/>
      <c r="MU9" s="489"/>
      <c r="MV9" s="489"/>
      <c r="MW9" s="489"/>
      <c r="MX9" s="489"/>
      <c r="MY9" s="489"/>
      <c r="MZ9" s="489"/>
      <c r="NA9" s="489"/>
      <c r="NB9" s="489"/>
      <c r="NC9" s="489"/>
      <c r="ND9" s="489"/>
      <c r="NE9" s="489"/>
      <c r="NF9" s="489"/>
      <c r="NG9" s="489"/>
      <c r="NH9" s="489"/>
      <c r="NI9" s="489"/>
      <c r="NJ9" s="489"/>
      <c r="NK9" s="489"/>
      <c r="NL9" s="489"/>
      <c r="NM9" s="489"/>
      <c r="NN9" s="489"/>
      <c r="NO9" s="489"/>
      <c r="NP9" s="489"/>
      <c r="NQ9" s="489"/>
      <c r="NR9" s="489"/>
      <c r="NS9" s="489"/>
      <c r="NT9" s="489"/>
      <c r="NU9" s="489"/>
      <c r="NV9" s="489"/>
      <c r="NW9" s="489"/>
      <c r="NX9" s="489"/>
      <c r="NY9" s="489"/>
      <c r="NZ9" s="489"/>
      <c r="OA9" s="489"/>
      <c r="OB9" s="489"/>
      <c r="OC9" s="489"/>
      <c r="OD9" s="489"/>
      <c r="OE9" s="489"/>
      <c r="OF9" s="489"/>
      <c r="OG9" s="489"/>
      <c r="OH9" s="489"/>
      <c r="OI9" s="489"/>
      <c r="OJ9" s="489"/>
      <c r="OK9" s="489"/>
      <c r="OL9" s="489"/>
      <c r="OM9" s="489"/>
      <c r="ON9" s="489"/>
      <c r="OO9" s="489"/>
      <c r="OP9" s="489"/>
      <c r="OQ9" s="489"/>
      <c r="OR9" s="489"/>
      <c r="OS9" s="489"/>
      <c r="OT9" s="489"/>
      <c r="OU9" s="489"/>
      <c r="OV9" s="489"/>
      <c r="OW9" s="489"/>
      <c r="OX9" s="489"/>
      <c r="OY9" s="489"/>
      <c r="OZ9" s="489"/>
      <c r="PA9" s="489"/>
      <c r="PB9" s="489"/>
      <c r="PC9" s="489"/>
      <c r="PD9" s="489"/>
      <c r="PE9" s="489"/>
      <c r="PF9" s="489"/>
      <c r="PG9" s="489"/>
      <c r="PH9" s="489"/>
      <c r="PI9" s="489"/>
      <c r="PJ9" s="489"/>
      <c r="PK9" s="489"/>
      <c r="PL9" s="489"/>
      <c r="PM9" s="489"/>
      <c r="PN9" s="489"/>
      <c r="PO9" s="489"/>
      <c r="PP9" s="489"/>
      <c r="PQ9" s="489"/>
      <c r="PR9" s="489"/>
      <c r="PS9" s="489"/>
      <c r="PT9" s="489"/>
      <c r="PU9" s="489"/>
      <c r="PV9" s="489"/>
      <c r="PW9" s="489"/>
      <c r="PX9" s="489"/>
      <c r="PY9" s="489"/>
      <c r="PZ9" s="489"/>
      <c r="QA9" s="489"/>
      <c r="QB9" s="489"/>
      <c r="QC9" s="489"/>
      <c r="QD9" s="489"/>
      <c r="QE9" s="489"/>
      <c r="QF9" s="489"/>
      <c r="QG9" s="489"/>
      <c r="QH9" s="489"/>
      <c r="QI9" s="489"/>
      <c r="QJ9" s="489"/>
      <c r="QK9" s="489"/>
      <c r="QL9" s="489"/>
      <c r="QM9" s="489"/>
      <c r="QN9" s="489"/>
      <c r="QO9" s="489"/>
      <c r="QP9" s="489"/>
      <c r="QQ9" s="489"/>
      <c r="QR9" s="489"/>
      <c r="QS9" s="489"/>
      <c r="QT9" s="489"/>
      <c r="QU9" s="489"/>
      <c r="QV9" s="489"/>
      <c r="QW9" s="489"/>
      <c r="QX9" s="489"/>
      <c r="QY9" s="489"/>
      <c r="QZ9" s="489"/>
      <c r="RA9" s="489"/>
      <c r="RB9" s="489"/>
      <c r="RC9" s="489"/>
      <c r="RD9" s="489"/>
      <c r="RE9" s="489"/>
      <c r="RF9" s="489"/>
      <c r="RG9" s="489"/>
      <c r="RH9" s="489"/>
      <c r="RI9" s="489"/>
      <c r="RJ9" s="489"/>
      <c r="RK9" s="489"/>
      <c r="RL9" s="489"/>
      <c r="RM9" s="489"/>
      <c r="RN9" s="489"/>
      <c r="RO9" s="489"/>
      <c r="RP9" s="489"/>
      <c r="RQ9" s="489"/>
      <c r="RR9" s="489"/>
      <c r="RS9" s="489"/>
      <c r="RT9" s="489"/>
      <c r="RU9" s="489"/>
      <c r="RV9" s="489"/>
      <c r="RW9" s="489"/>
      <c r="RX9" s="489"/>
      <c r="RY9" s="489"/>
      <c r="RZ9" s="489"/>
      <c r="SA9" s="489"/>
      <c r="SB9" s="489"/>
      <c r="SC9" s="489"/>
      <c r="SD9" s="489"/>
      <c r="SE9" s="489"/>
      <c r="SF9" s="489"/>
      <c r="SG9" s="489"/>
      <c r="SH9" s="489"/>
      <c r="SI9" s="489"/>
      <c r="SJ9" s="489"/>
      <c r="SK9" s="489"/>
      <c r="SL9" s="489"/>
      <c r="SM9" s="489"/>
      <c r="SN9" s="489"/>
      <c r="SO9" s="489"/>
      <c r="SP9" s="489"/>
      <c r="SQ9" s="489"/>
      <c r="SR9" s="489"/>
      <c r="SS9" s="489"/>
      <c r="ST9" s="489"/>
      <c r="SU9" s="489"/>
      <c r="SV9" s="489"/>
      <c r="SW9" s="489"/>
      <c r="SX9" s="489"/>
      <c r="SY9" s="489"/>
      <c r="SZ9" s="489"/>
      <c r="TA9" s="489"/>
      <c r="TB9" s="489"/>
      <c r="TC9" s="489"/>
      <c r="TD9" s="489"/>
      <c r="TE9" s="489"/>
      <c r="TF9" s="489"/>
      <c r="TG9" s="489"/>
      <c r="TH9" s="489"/>
      <c r="TI9" s="489"/>
      <c r="TJ9" s="489"/>
      <c r="TK9" s="489"/>
      <c r="TL9" s="489"/>
      <c r="TM9" s="489"/>
      <c r="TN9" s="489"/>
      <c r="TO9" s="489"/>
      <c r="TP9" s="489"/>
      <c r="TQ9" s="489"/>
      <c r="TR9" s="489"/>
      <c r="TS9" s="489"/>
      <c r="TT9" s="489"/>
      <c r="TU9" s="489"/>
      <c r="TV9" s="489"/>
      <c r="TW9" s="489"/>
      <c r="TX9" s="489"/>
      <c r="TY9" s="489"/>
      <c r="TZ9" s="489"/>
      <c r="UA9" s="489"/>
      <c r="UB9" s="489"/>
      <c r="UC9" s="489"/>
      <c r="UD9" s="489"/>
      <c r="UE9" s="489"/>
      <c r="UF9" s="489"/>
      <c r="UG9" s="489"/>
      <c r="UH9" s="489"/>
      <c r="UI9" s="489"/>
      <c r="UJ9" s="489"/>
      <c r="UK9" s="489"/>
      <c r="UL9" s="489"/>
      <c r="UM9" s="489"/>
      <c r="UN9" s="489"/>
      <c r="UO9" s="489"/>
      <c r="UP9" s="489"/>
      <c r="UQ9" s="489"/>
      <c r="UR9" s="489"/>
      <c r="US9" s="489"/>
      <c r="UT9" s="489"/>
      <c r="UU9" s="489"/>
      <c r="UV9" s="489"/>
      <c r="UW9" s="489"/>
      <c r="UX9" s="489"/>
      <c r="UY9" s="489"/>
      <c r="UZ9" s="489"/>
      <c r="VA9" s="489"/>
      <c r="VB9" s="489"/>
      <c r="VC9" s="489"/>
      <c r="VD9" s="489"/>
      <c r="VE9" s="489"/>
      <c r="VF9" s="489"/>
      <c r="VG9" s="489"/>
      <c r="VH9" s="489"/>
      <c r="VI9" s="489"/>
      <c r="VJ9" s="489"/>
      <c r="VK9" s="489"/>
      <c r="VL9" s="489"/>
      <c r="VM9" s="489"/>
      <c r="VN9" s="489"/>
      <c r="VO9" s="489"/>
      <c r="VP9" s="489"/>
      <c r="VQ9" s="489"/>
      <c r="VR9" s="489"/>
      <c r="VS9" s="489"/>
      <c r="VT9" s="489"/>
      <c r="VU9" s="489"/>
      <c r="VV9" s="489"/>
      <c r="VW9" s="489"/>
      <c r="VX9" s="489"/>
      <c r="VY9" s="489"/>
      <c r="VZ9" s="489"/>
      <c r="WA9" s="489"/>
      <c r="WB9" s="489"/>
      <c r="WC9" s="489"/>
      <c r="WD9" s="489"/>
      <c r="WE9" s="489"/>
      <c r="WF9" s="489"/>
      <c r="WG9" s="489"/>
      <c r="WH9" s="489"/>
      <c r="WI9" s="489"/>
      <c r="WJ9" s="489"/>
      <c r="WK9" s="489"/>
      <c r="WL9" s="489"/>
      <c r="WM9" s="489"/>
      <c r="WN9" s="489"/>
      <c r="WO9" s="489"/>
      <c r="WP9" s="489"/>
      <c r="WQ9" s="489"/>
      <c r="WR9" s="489"/>
      <c r="WS9" s="489"/>
      <c r="WT9" s="489"/>
      <c r="WU9" s="489"/>
      <c r="WV9" s="489"/>
      <c r="WW9" s="489"/>
      <c r="WX9" s="489"/>
      <c r="WY9" s="489"/>
      <c r="WZ9" s="489"/>
      <c r="XA9" s="489"/>
      <c r="XB9" s="489"/>
      <c r="XC9" s="489"/>
      <c r="XD9" s="489"/>
      <c r="XE9" s="489"/>
      <c r="XF9" s="489"/>
      <c r="XG9" s="489"/>
      <c r="XH9" s="489"/>
      <c r="XI9" s="489"/>
      <c r="XJ9" s="489"/>
      <c r="XK9" s="489"/>
      <c r="XL9" s="489"/>
      <c r="XM9" s="489"/>
      <c r="XN9" s="489"/>
      <c r="XO9" s="489"/>
      <c r="XP9" s="489"/>
      <c r="XQ9" s="489"/>
      <c r="XR9" s="489"/>
      <c r="XS9" s="489"/>
      <c r="XT9" s="489"/>
      <c r="XU9" s="489"/>
      <c r="XV9" s="489"/>
      <c r="XW9" s="489"/>
      <c r="XX9" s="489"/>
      <c r="XY9" s="489"/>
      <c r="XZ9" s="489"/>
      <c r="YA9" s="489"/>
      <c r="YB9" s="489"/>
      <c r="YC9" s="489"/>
      <c r="YD9" s="489"/>
      <c r="YE9" s="489"/>
      <c r="YF9" s="489"/>
      <c r="YG9" s="489"/>
      <c r="YH9" s="489"/>
      <c r="YI9" s="489"/>
      <c r="YJ9" s="489"/>
      <c r="YK9" s="489"/>
      <c r="YL9" s="489"/>
      <c r="YM9" s="489"/>
      <c r="YN9" s="489"/>
      <c r="YO9" s="489"/>
      <c r="YP9" s="489"/>
      <c r="YQ9" s="489"/>
      <c r="YR9" s="489"/>
      <c r="YS9" s="489"/>
      <c r="YT9" s="489"/>
      <c r="YU9" s="489"/>
      <c r="YV9" s="489"/>
      <c r="YW9" s="489"/>
      <c r="YX9" s="489"/>
      <c r="YY9" s="489"/>
      <c r="YZ9" s="489"/>
      <c r="ZA9" s="489"/>
      <c r="ZB9" s="489"/>
      <c r="ZC9" s="489"/>
      <c r="ZD9" s="489"/>
      <c r="ZE9" s="489"/>
      <c r="ZF9" s="489"/>
      <c r="ZG9" s="489"/>
      <c r="ZH9" s="489"/>
      <c r="ZI9" s="489"/>
      <c r="ZJ9" s="489"/>
      <c r="ZK9" s="489"/>
      <c r="ZL9" s="489"/>
      <c r="ZM9" s="489"/>
      <c r="ZN9" s="489"/>
      <c r="ZO9" s="489"/>
      <c r="ZP9" s="489"/>
      <c r="ZQ9" s="489"/>
      <c r="ZR9" s="489"/>
      <c r="ZS9" s="489"/>
      <c r="ZT9" s="489"/>
      <c r="ZU9" s="489"/>
      <c r="ZV9" s="489"/>
      <c r="ZW9" s="489"/>
      <c r="ZX9" s="489"/>
      <c r="ZY9" s="489"/>
      <c r="ZZ9" s="489"/>
      <c r="AAA9" s="489"/>
      <c r="AAB9" s="489"/>
      <c r="AAC9" s="489"/>
      <c r="AAD9" s="489"/>
      <c r="AAE9" s="489"/>
      <c r="AAF9" s="489"/>
      <c r="AAG9" s="489"/>
      <c r="AAH9" s="489"/>
      <c r="AAI9" s="489"/>
      <c r="AAJ9" s="489"/>
      <c r="AAK9" s="489"/>
      <c r="AAL9" s="489"/>
      <c r="AAM9" s="489"/>
      <c r="AAN9" s="489"/>
      <c r="AAO9" s="489"/>
      <c r="AAP9" s="489"/>
      <c r="AAQ9" s="489"/>
      <c r="AAR9" s="489"/>
      <c r="AAS9" s="489"/>
      <c r="AAT9" s="489"/>
      <c r="AAU9" s="489"/>
      <c r="AAV9" s="489"/>
      <c r="AAW9" s="489"/>
      <c r="AAX9" s="489"/>
      <c r="AAY9" s="489"/>
      <c r="AAZ9" s="489"/>
      <c r="ABA9" s="489"/>
      <c r="ABB9" s="489"/>
      <c r="ABC9" s="489"/>
      <c r="ABD9" s="489"/>
      <c r="ABE9" s="489"/>
      <c r="ABF9" s="489"/>
      <c r="ABG9" s="489"/>
      <c r="ABH9" s="489"/>
      <c r="ABI9" s="489"/>
      <c r="ABJ9" s="489"/>
      <c r="ABK9" s="489"/>
      <c r="ABL9" s="489"/>
      <c r="ABM9" s="489"/>
      <c r="ABN9" s="489"/>
      <c r="ABO9" s="489"/>
      <c r="ABP9" s="489"/>
      <c r="ABQ9" s="489"/>
      <c r="ABR9" s="489"/>
      <c r="ABS9" s="489"/>
      <c r="ABT9" s="489"/>
      <c r="ABU9" s="489"/>
      <c r="ABV9" s="489"/>
      <c r="ABW9" s="489"/>
      <c r="ABX9" s="489"/>
      <c r="ABY9" s="489"/>
      <c r="ABZ9" s="489"/>
      <c r="ACA9" s="489"/>
      <c r="ACB9" s="489"/>
      <c r="ACC9" s="489"/>
      <c r="ACD9" s="489"/>
      <c r="ACE9" s="489"/>
      <c r="ACF9" s="489"/>
      <c r="ACG9" s="489"/>
      <c r="ACH9" s="489"/>
      <c r="ACI9" s="489"/>
      <c r="ACJ9" s="489"/>
      <c r="ACK9" s="489"/>
      <c r="ACL9" s="489"/>
      <c r="ACM9" s="489"/>
      <c r="ACN9" s="489"/>
      <c r="ACO9" s="489"/>
      <c r="ACP9" s="489"/>
      <c r="ACQ9" s="489"/>
      <c r="ACR9" s="489"/>
      <c r="ACS9" s="489"/>
      <c r="ACT9" s="489"/>
      <c r="ACU9" s="489"/>
      <c r="ACV9" s="489"/>
      <c r="ACW9" s="489"/>
      <c r="ACX9" s="489"/>
      <c r="ACY9" s="489"/>
      <c r="ACZ9" s="489"/>
      <c r="ADA9" s="489"/>
      <c r="ADB9" s="489"/>
      <c r="ADC9" s="489"/>
      <c r="ADD9" s="489"/>
      <c r="ADE9" s="489"/>
      <c r="ADF9" s="489"/>
      <c r="ADG9" s="489"/>
      <c r="ADH9" s="489"/>
      <c r="ADI9" s="489"/>
      <c r="ADJ9" s="489"/>
      <c r="ADK9" s="489"/>
      <c r="ADL9" s="489"/>
      <c r="ADM9" s="489"/>
      <c r="ADN9" s="489"/>
      <c r="ADO9" s="489"/>
      <c r="ADP9" s="489"/>
      <c r="ADQ9" s="489"/>
      <c r="ADR9" s="489"/>
      <c r="ADS9" s="489"/>
      <c r="ADT9" s="489"/>
      <c r="ADU9" s="489"/>
      <c r="ADV9" s="489"/>
      <c r="ADW9" s="489"/>
      <c r="ADX9" s="489"/>
      <c r="ADY9" s="489"/>
      <c r="ADZ9" s="489"/>
      <c r="AEA9" s="489"/>
      <c r="AEB9" s="489"/>
      <c r="AEC9" s="489"/>
      <c r="AED9" s="489"/>
      <c r="AEE9" s="489"/>
      <c r="AEF9" s="489"/>
      <c r="AEG9" s="489"/>
      <c r="AEH9" s="489"/>
      <c r="AEI9" s="489"/>
      <c r="AEJ9" s="489"/>
      <c r="AEK9" s="489"/>
      <c r="AEL9" s="489"/>
      <c r="AEM9" s="489"/>
      <c r="AEN9" s="489"/>
      <c r="AEO9" s="489"/>
      <c r="AEP9" s="489"/>
      <c r="AEQ9" s="489"/>
      <c r="AER9" s="489"/>
      <c r="AES9" s="489"/>
      <c r="AET9" s="489"/>
      <c r="AEU9" s="489"/>
      <c r="AEV9" s="489"/>
      <c r="AEW9" s="489"/>
      <c r="AEX9" s="489"/>
      <c r="AEY9" s="489"/>
      <c r="AEZ9" s="489"/>
      <c r="AFA9" s="489"/>
      <c r="AFB9" s="489"/>
      <c r="AFC9" s="489"/>
      <c r="AFD9" s="489"/>
      <c r="AFE9" s="489"/>
      <c r="AFF9" s="489"/>
      <c r="AFG9" s="489"/>
      <c r="AFH9" s="489"/>
      <c r="AFI9" s="489"/>
      <c r="AFJ9" s="489"/>
      <c r="AFK9" s="489"/>
      <c r="AFL9" s="489"/>
      <c r="AFM9" s="489"/>
      <c r="AFN9" s="489"/>
      <c r="AFO9" s="489"/>
      <c r="AFP9" s="489"/>
      <c r="AFQ9" s="489"/>
      <c r="AFR9" s="489"/>
      <c r="AFS9" s="489"/>
      <c r="AFT9" s="489"/>
      <c r="AFU9" s="489"/>
      <c r="AFV9" s="489"/>
      <c r="AFW9" s="489"/>
      <c r="AFX9" s="489"/>
      <c r="AFY9" s="489"/>
      <c r="AFZ9" s="489"/>
      <c r="AGA9" s="489"/>
      <c r="AGB9" s="489"/>
      <c r="AGC9" s="489"/>
      <c r="AGD9" s="489"/>
      <c r="AGE9" s="489"/>
      <c r="AGF9" s="489"/>
      <c r="AGG9" s="489"/>
      <c r="AGH9" s="489"/>
      <c r="AGI9" s="489"/>
      <c r="AGJ9" s="489"/>
      <c r="AGK9" s="489"/>
      <c r="AGL9" s="489"/>
      <c r="AGM9" s="489"/>
      <c r="AGN9" s="489"/>
      <c r="AGO9" s="489"/>
      <c r="AGP9" s="489"/>
      <c r="AGQ9" s="489"/>
      <c r="AGR9" s="489"/>
      <c r="AGS9" s="489"/>
      <c r="AGT9" s="489"/>
      <c r="AGU9" s="489"/>
      <c r="AGV9" s="489"/>
      <c r="AGW9" s="489"/>
      <c r="AGX9" s="489"/>
      <c r="AGY9" s="489"/>
      <c r="AGZ9" s="489"/>
      <c r="AHA9" s="489"/>
      <c r="AHB9" s="489"/>
      <c r="AHC9" s="489"/>
      <c r="AHD9" s="489"/>
      <c r="AHE9" s="489"/>
      <c r="AHF9" s="489"/>
      <c r="AHG9" s="489"/>
      <c r="AHH9" s="489"/>
      <c r="AHI9" s="489"/>
      <c r="AHJ9" s="489"/>
      <c r="AHK9" s="489"/>
      <c r="AHL9" s="489"/>
      <c r="AHM9" s="489"/>
      <c r="AHN9" s="489"/>
      <c r="AHO9" s="489"/>
      <c r="AHP9" s="489"/>
      <c r="AHQ9" s="489"/>
      <c r="AHR9" s="489"/>
      <c r="AHS9" s="489"/>
      <c r="AHT9" s="489"/>
      <c r="AHU9" s="489"/>
      <c r="AHV9" s="489"/>
      <c r="AHW9" s="489"/>
      <c r="AHX9" s="489"/>
      <c r="AHY9" s="489"/>
      <c r="AHZ9" s="489"/>
      <c r="AIA9" s="489"/>
      <c r="AIB9" s="489"/>
      <c r="AIC9" s="489"/>
      <c r="AID9" s="489"/>
      <c r="AIE9" s="489"/>
      <c r="AIF9" s="489"/>
      <c r="AIG9" s="489"/>
      <c r="AIH9" s="489"/>
      <c r="AII9" s="489"/>
      <c r="AIJ9" s="489"/>
      <c r="AIK9" s="489"/>
      <c r="AIL9" s="489"/>
      <c r="AIM9" s="489"/>
      <c r="AIN9" s="489"/>
      <c r="AIO9" s="489"/>
      <c r="AIP9" s="489"/>
      <c r="AIQ9" s="489"/>
      <c r="AIR9" s="489"/>
      <c r="AIS9" s="489"/>
      <c r="AIT9" s="489"/>
      <c r="AIU9" s="489"/>
      <c r="AIV9" s="489"/>
      <c r="AIW9" s="489"/>
      <c r="AIX9" s="489"/>
      <c r="AIY9" s="489"/>
      <c r="AIZ9" s="489"/>
      <c r="AJA9" s="489"/>
      <c r="AJB9" s="489"/>
      <c r="AJC9" s="489"/>
      <c r="AJD9" s="489"/>
      <c r="AJE9" s="489"/>
      <c r="AJF9" s="489"/>
      <c r="AJG9" s="489"/>
      <c r="AJH9" s="489"/>
      <c r="AJI9" s="489"/>
      <c r="AJJ9" s="489"/>
      <c r="AJK9" s="489"/>
      <c r="AJL9" s="489"/>
      <c r="AJM9" s="489"/>
      <c r="AJN9" s="489"/>
      <c r="AJO9" s="489"/>
      <c r="AJP9" s="489"/>
      <c r="AJQ9" s="489"/>
      <c r="AJR9" s="489"/>
      <c r="AJS9" s="489"/>
      <c r="AJT9" s="489"/>
      <c r="AJU9" s="489"/>
      <c r="AJV9" s="489"/>
      <c r="AJW9" s="489"/>
      <c r="AJX9" s="489"/>
      <c r="AJY9" s="489"/>
      <c r="AJZ9" s="489"/>
      <c r="AKA9" s="489"/>
      <c r="AKB9" s="489"/>
      <c r="AKC9" s="489"/>
      <c r="AKD9" s="489"/>
      <c r="AKE9" s="489"/>
      <c r="AKF9" s="489"/>
      <c r="AKG9" s="489"/>
      <c r="AKH9" s="489"/>
      <c r="AKI9" s="489"/>
      <c r="AKJ9" s="489"/>
      <c r="AKK9" s="489"/>
      <c r="AKL9" s="489"/>
      <c r="AKM9" s="489"/>
      <c r="AKN9" s="489"/>
      <c r="AKO9" s="489"/>
      <c r="AKP9" s="489"/>
      <c r="AKQ9" s="489"/>
      <c r="AKR9" s="489"/>
      <c r="AKS9" s="489"/>
      <c r="AKT9" s="489"/>
      <c r="AKU9" s="489"/>
      <c r="AKV9" s="489"/>
      <c r="AKW9" s="489"/>
      <c r="AKX9" s="489"/>
      <c r="AKY9" s="489"/>
      <c r="AKZ9" s="489"/>
      <c r="ALA9" s="489"/>
      <c r="ALB9" s="489"/>
      <c r="ALC9" s="489"/>
      <c r="ALD9" s="489"/>
      <c r="ALE9" s="489"/>
      <c r="ALF9" s="489"/>
      <c r="ALG9" s="489"/>
      <c r="ALH9" s="489"/>
      <c r="ALI9" s="489"/>
      <c r="ALJ9" s="489"/>
      <c r="ALK9" s="489"/>
      <c r="ALL9" s="489"/>
    </row>
    <row r="10" spans="1:1000" ht="16.350000000000001" customHeight="1" collapsed="1">
      <c r="A10" s="1256">
        <v>2025</v>
      </c>
      <c r="B10" s="1008" t="s">
        <v>36</v>
      </c>
      <c r="C10" s="849">
        <v>4168.76</v>
      </c>
      <c r="D10" s="849">
        <v>4069.84</v>
      </c>
      <c r="E10" s="849">
        <v>5183.41</v>
      </c>
      <c r="F10" s="849">
        <v>5187.51</v>
      </c>
      <c r="G10" s="849">
        <v>6248.39</v>
      </c>
      <c r="H10" s="849">
        <v>7527.69</v>
      </c>
      <c r="I10" s="849">
        <v>6788.34</v>
      </c>
      <c r="J10" s="849">
        <v>6437.18</v>
      </c>
      <c r="K10" s="849">
        <v>6306.07</v>
      </c>
      <c r="L10" s="849">
        <v>6686.1</v>
      </c>
      <c r="M10" s="849">
        <v>3476.37</v>
      </c>
      <c r="N10" s="849">
        <v>5163.1400000000003</v>
      </c>
      <c r="O10" s="1000">
        <v>67242.81</v>
      </c>
      <c r="P10" s="48"/>
      <c r="Q10" s="48"/>
      <c r="R10" s="48"/>
      <c r="S10" s="48"/>
    </row>
    <row r="11" spans="1:1000" s="28" customFormat="1" ht="16.350000000000001" customHeight="1">
      <c r="A11" s="1256"/>
      <c r="B11" s="108" t="s">
        <v>42</v>
      </c>
      <c r="C11" s="109">
        <v>5000</v>
      </c>
      <c r="D11" s="109">
        <v>4400</v>
      </c>
      <c r="E11" s="109">
        <v>5900</v>
      </c>
      <c r="F11" s="109">
        <v>6000</v>
      </c>
      <c r="G11" s="109">
        <v>6500</v>
      </c>
      <c r="H11" s="109">
        <v>6500</v>
      </c>
      <c r="I11" s="109">
        <v>5000</v>
      </c>
      <c r="J11" s="109">
        <v>5000</v>
      </c>
      <c r="K11" s="109">
        <v>6000</v>
      </c>
      <c r="L11" s="109">
        <v>6000</v>
      </c>
      <c r="M11" s="109">
        <v>5300</v>
      </c>
      <c r="N11" s="109">
        <v>5700</v>
      </c>
      <c r="O11" s="106">
        <v>67300</v>
      </c>
      <c r="P11" s="51"/>
      <c r="Q11" s="51"/>
      <c r="R11" s="51"/>
      <c r="S11" s="51"/>
    </row>
    <row r="12" spans="1:1000" s="454" customFormat="1" ht="31.95" customHeight="1">
      <c r="A12" s="1256"/>
      <c r="B12" s="451" t="s">
        <v>37</v>
      </c>
      <c r="C12" s="456" t="s">
        <v>3810</v>
      </c>
      <c r="D12" s="458" t="s">
        <v>3811</v>
      </c>
      <c r="E12" s="458" t="s">
        <v>3812</v>
      </c>
      <c r="F12" s="458" t="s">
        <v>3813</v>
      </c>
      <c r="G12" s="458" t="s">
        <v>3814</v>
      </c>
      <c r="H12" s="458" t="s">
        <v>3815</v>
      </c>
      <c r="I12" s="458" t="s">
        <v>3816</v>
      </c>
      <c r="J12" s="458" t="s">
        <v>3817</v>
      </c>
      <c r="K12" s="458" t="s">
        <v>3818</v>
      </c>
      <c r="L12" s="458" t="s">
        <v>3819</v>
      </c>
      <c r="M12" s="458" t="s">
        <v>3820</v>
      </c>
      <c r="N12" s="458" t="s">
        <v>3821</v>
      </c>
      <c r="O12" s="459" t="s">
        <v>3822</v>
      </c>
      <c r="P12" s="453"/>
      <c r="Q12" s="453"/>
      <c r="R12" s="453"/>
      <c r="S12" s="453"/>
    </row>
    <row r="13" spans="1:1000" s="27" customFormat="1" ht="16.350000000000001" customHeight="1">
      <c r="A13" s="1257"/>
      <c r="B13" s="98" t="s">
        <v>38</v>
      </c>
      <c r="C13" s="107">
        <v>0.80645161290322576</v>
      </c>
      <c r="D13" s="107">
        <v>0.9642857142857143</v>
      </c>
      <c r="E13" s="107">
        <v>0.967741935483871</v>
      </c>
      <c r="F13" s="107">
        <v>0.8666666666666667</v>
      </c>
      <c r="G13" s="107">
        <v>0.90322580645161288</v>
      </c>
      <c r="H13" s="107">
        <v>0.96666666666666667</v>
      </c>
      <c r="I13" s="107">
        <v>0.967741935483871</v>
      </c>
      <c r="J13" s="107">
        <v>0.87096774193548387</v>
      </c>
      <c r="K13" s="107">
        <v>1</v>
      </c>
      <c r="L13" s="107">
        <v>0.93548387096774188</v>
      </c>
      <c r="M13" s="107">
        <v>0.7</v>
      </c>
      <c r="N13" s="107">
        <v>0.90322580645161288</v>
      </c>
      <c r="O13" s="100">
        <v>0.90410958904109584</v>
      </c>
      <c r="P13" s="49"/>
      <c r="Q13" s="488"/>
      <c r="R13" s="488"/>
      <c r="S13" s="488"/>
      <c r="T13" s="489"/>
      <c r="U13" s="489"/>
      <c r="V13" s="489"/>
      <c r="W13" s="489"/>
    </row>
    <row r="14" spans="1:1000" ht="16.350000000000001" customHeight="1">
      <c r="A14" s="1258">
        <v>2026</v>
      </c>
      <c r="B14" s="101" t="s">
        <v>36</v>
      </c>
      <c r="C14" s="102">
        <v>3430.55</v>
      </c>
      <c r="D14" s="102">
        <v>3724.66</v>
      </c>
      <c r="E14" s="102">
        <v>4756.32</v>
      </c>
      <c r="F14" s="102">
        <v>4916.3900000000003</v>
      </c>
      <c r="G14" s="102">
        <v>5626.7</v>
      </c>
      <c r="H14" s="102">
        <v>5071.18</v>
      </c>
      <c r="I14" s="102">
        <v>4494.3500000000004</v>
      </c>
      <c r="J14" s="102">
        <v>667.1</v>
      </c>
      <c r="K14" s="102">
        <v>1289.01</v>
      </c>
      <c r="L14" s="102"/>
      <c r="M14" s="102"/>
      <c r="N14" s="102">
        <v>1029.6199999999999</v>
      </c>
      <c r="O14" s="103">
        <v>35005.870000000003</v>
      </c>
      <c r="P14" s="48"/>
      <c r="Q14" s="48"/>
      <c r="R14" s="48"/>
      <c r="S14" s="48"/>
    </row>
    <row r="15" spans="1:1000" s="26" customFormat="1" ht="16.350000000000001" customHeight="1">
      <c r="A15" s="1256"/>
      <c r="B15" s="110" t="s">
        <v>42</v>
      </c>
      <c r="C15" s="109">
        <v>4168.76</v>
      </c>
      <c r="D15" s="109">
        <v>4069.84</v>
      </c>
      <c r="E15" s="109">
        <v>5183.41</v>
      </c>
      <c r="F15" s="109">
        <v>5187.51</v>
      </c>
      <c r="G15" s="109">
        <v>6248.39</v>
      </c>
      <c r="H15" s="109">
        <v>7527.69</v>
      </c>
      <c r="I15" s="109">
        <v>6788.34</v>
      </c>
      <c r="J15" s="109">
        <v>6437.18</v>
      </c>
      <c r="K15" s="109">
        <v>6306.07</v>
      </c>
      <c r="L15" s="109">
        <v>6686.1</v>
      </c>
      <c r="M15" s="109">
        <v>3476.37</v>
      </c>
      <c r="N15" s="109">
        <v>5163.1400000000003</v>
      </c>
      <c r="O15" s="106">
        <v>67242.8</v>
      </c>
      <c r="P15" s="52"/>
      <c r="Q15" s="52"/>
      <c r="R15" s="52"/>
      <c r="S15" s="52"/>
    </row>
    <row r="16" spans="1:1000" s="454" customFormat="1" ht="31.95" customHeight="1">
      <c r="A16" s="1256"/>
      <c r="B16" s="451" t="s">
        <v>37</v>
      </c>
      <c r="C16" s="458" t="s">
        <v>3823</v>
      </c>
      <c r="D16" s="458" t="s">
        <v>3910</v>
      </c>
      <c r="E16" s="458" t="s">
        <v>4039</v>
      </c>
      <c r="F16" s="458" t="s">
        <v>3979</v>
      </c>
      <c r="G16" s="458" t="s">
        <v>3980</v>
      </c>
      <c r="H16" s="458" t="s">
        <v>3824</v>
      </c>
      <c r="I16" s="458" t="s">
        <v>3925</v>
      </c>
      <c r="J16" s="458" t="s">
        <v>3948</v>
      </c>
      <c r="K16" s="458" t="s">
        <v>3901</v>
      </c>
      <c r="L16" s="452"/>
      <c r="M16" s="452"/>
      <c r="N16" s="458" t="s">
        <v>3958</v>
      </c>
      <c r="O16" s="460" t="s">
        <v>4040</v>
      </c>
      <c r="P16" s="453"/>
      <c r="Q16" s="453"/>
      <c r="R16" s="453"/>
      <c r="S16" s="453"/>
    </row>
    <row r="17" spans="1:23" s="27" customFormat="1" ht="16.350000000000001" customHeight="1">
      <c r="A17" s="1257"/>
      <c r="B17" s="98" t="s">
        <v>38</v>
      </c>
      <c r="C17" s="107">
        <v>0.64516129032258063</v>
      </c>
      <c r="D17" s="107">
        <v>0.8928571428571429</v>
      </c>
      <c r="E17" s="107" t="s">
        <v>4041</v>
      </c>
      <c r="F17" s="107" t="s">
        <v>4014</v>
      </c>
      <c r="G17" s="107" t="s">
        <v>4015</v>
      </c>
      <c r="H17" s="107" t="s">
        <v>4016</v>
      </c>
      <c r="I17" s="107" t="s">
        <v>4017</v>
      </c>
      <c r="J17" s="107" t="s">
        <v>4018</v>
      </c>
      <c r="K17" s="107" t="s">
        <v>4019</v>
      </c>
      <c r="L17" s="107" t="s">
        <v>3994</v>
      </c>
      <c r="M17" s="107" t="s">
        <v>3721</v>
      </c>
      <c r="N17" s="107" t="s">
        <v>4020</v>
      </c>
      <c r="O17" s="100" t="s">
        <v>4042</v>
      </c>
      <c r="P17" s="49" t="s">
        <v>699</v>
      </c>
      <c r="Q17" s="488"/>
      <c r="R17" s="488"/>
      <c r="S17" s="488"/>
      <c r="T17" s="489"/>
      <c r="U17" s="489"/>
      <c r="V17" s="489"/>
      <c r="W17" s="489"/>
    </row>
    <row r="18" spans="1:23" ht="16.350000000000001" hidden="1" customHeight="1" outlineLevel="1">
      <c r="A18" s="1258">
        <v>2027</v>
      </c>
      <c r="B18" s="101" t="s">
        <v>36</v>
      </c>
      <c r="C18" s="102"/>
      <c r="D18" s="102"/>
      <c r="E18" s="102"/>
      <c r="F18" s="102"/>
      <c r="G18" s="102"/>
      <c r="H18" s="102"/>
      <c r="I18" s="102"/>
      <c r="J18" s="102"/>
      <c r="K18" s="102"/>
      <c r="L18" s="102"/>
      <c r="M18" s="102"/>
      <c r="N18" s="102"/>
      <c r="O18" s="103">
        <v>0</v>
      </c>
      <c r="P18" s="48"/>
      <c r="Q18" s="48"/>
      <c r="R18" s="48"/>
      <c r="S18" s="48"/>
    </row>
    <row r="19" spans="1:23" s="26" customFormat="1" ht="16.350000000000001" hidden="1" customHeight="1" outlineLevel="1">
      <c r="A19" s="1256"/>
      <c r="B19" s="110" t="s">
        <v>42</v>
      </c>
      <c r="C19" s="109">
        <v>4168.76</v>
      </c>
      <c r="D19" s="109">
        <v>4069.84</v>
      </c>
      <c r="E19" s="109">
        <v>5183.41</v>
      </c>
      <c r="F19" s="109">
        <v>5187.51</v>
      </c>
      <c r="G19" s="109">
        <v>6248.39</v>
      </c>
      <c r="H19" s="109">
        <v>7527.69</v>
      </c>
      <c r="I19" s="109">
        <v>6788.34</v>
      </c>
      <c r="J19" s="109">
        <v>6437.18</v>
      </c>
      <c r="K19" s="109">
        <v>6306.07</v>
      </c>
      <c r="L19" s="109">
        <v>6686.1</v>
      </c>
      <c r="M19" s="109">
        <v>3476.37</v>
      </c>
      <c r="N19" s="109">
        <v>5163.1400000000003</v>
      </c>
      <c r="O19" s="106">
        <v>67242.8</v>
      </c>
      <c r="P19" s="52"/>
      <c r="Q19" s="52"/>
      <c r="R19" s="52"/>
      <c r="S19" s="52"/>
    </row>
    <row r="20" spans="1:23" s="454" customFormat="1" ht="31.95" hidden="1" customHeight="1" outlineLevel="1">
      <c r="A20" s="1256"/>
      <c r="B20" s="451" t="s">
        <v>37</v>
      </c>
      <c r="C20" s="452"/>
      <c r="D20" s="452"/>
      <c r="E20" s="452"/>
      <c r="F20" s="452"/>
      <c r="G20" s="452"/>
      <c r="H20" s="452"/>
      <c r="I20" s="452"/>
      <c r="J20" s="452"/>
      <c r="K20" s="452"/>
      <c r="L20" s="452"/>
      <c r="M20" s="452"/>
      <c r="N20" s="452"/>
      <c r="O20" s="455"/>
      <c r="P20" s="453"/>
      <c r="Q20" s="453"/>
      <c r="R20" s="453"/>
      <c r="S20" s="453"/>
    </row>
    <row r="21" spans="1:23" s="27" customFormat="1" ht="16.350000000000001" hidden="1" customHeight="1" outlineLevel="1" thickBot="1">
      <c r="A21" s="1259"/>
      <c r="B21" s="111" t="s">
        <v>38</v>
      </c>
      <c r="C21" s="112" t="s">
        <v>3920</v>
      </c>
      <c r="D21" s="112" t="s">
        <v>4021</v>
      </c>
      <c r="E21" s="112"/>
      <c r="F21" s="112"/>
      <c r="G21" s="112"/>
      <c r="H21" s="112"/>
      <c r="I21" s="112"/>
      <c r="J21" s="112"/>
      <c r="K21" s="112"/>
      <c r="L21" s="112"/>
      <c r="M21" s="112"/>
      <c r="N21" s="112"/>
      <c r="O21" s="113"/>
      <c r="P21" s="49"/>
      <c r="Q21" s="488"/>
      <c r="R21" s="488"/>
      <c r="S21" s="488"/>
      <c r="T21" s="489"/>
      <c r="U21" s="489"/>
      <c r="V21" s="489"/>
      <c r="W21" s="489"/>
    </row>
    <row r="22" spans="1:23" ht="16.350000000000001" hidden="1" customHeight="1" outlineLevel="1">
      <c r="A22" s="1258">
        <v>2028</v>
      </c>
      <c r="B22" s="101" t="s">
        <v>36</v>
      </c>
      <c r="C22" s="102"/>
      <c r="D22" s="102"/>
      <c r="E22" s="102"/>
      <c r="F22" s="102"/>
      <c r="G22" s="102"/>
      <c r="H22" s="102"/>
      <c r="I22" s="102"/>
      <c r="J22" s="102"/>
      <c r="K22" s="102"/>
      <c r="L22" s="102"/>
      <c r="M22" s="102"/>
      <c r="N22" s="102"/>
      <c r="O22" s="103">
        <v>0</v>
      </c>
      <c r="P22" s="48"/>
      <c r="Q22" s="48"/>
      <c r="R22" s="48"/>
      <c r="S22" s="48"/>
    </row>
    <row r="23" spans="1:23" s="26" customFormat="1" ht="16.350000000000001" hidden="1" customHeight="1" outlineLevel="1">
      <c r="A23" s="1256"/>
      <c r="B23" s="110" t="s">
        <v>42</v>
      </c>
      <c r="C23" s="109">
        <v>4168.76</v>
      </c>
      <c r="D23" s="109">
        <v>4069.84</v>
      </c>
      <c r="E23" s="109">
        <v>5183.41</v>
      </c>
      <c r="F23" s="109">
        <v>5187.51</v>
      </c>
      <c r="G23" s="109">
        <v>6248.39</v>
      </c>
      <c r="H23" s="109">
        <v>7527.69</v>
      </c>
      <c r="I23" s="109">
        <v>6788.34</v>
      </c>
      <c r="J23" s="109">
        <v>6437.18</v>
      </c>
      <c r="K23" s="109">
        <v>6306.07</v>
      </c>
      <c r="L23" s="109">
        <v>6686.1</v>
      </c>
      <c r="M23" s="109">
        <v>3476.37</v>
      </c>
      <c r="N23" s="109">
        <v>5163.1400000000003</v>
      </c>
      <c r="O23" s="106">
        <v>67242.8</v>
      </c>
      <c r="P23" s="52"/>
      <c r="Q23" s="52"/>
      <c r="R23" s="52"/>
      <c r="S23" s="52"/>
    </row>
    <row r="24" spans="1:23" s="454" customFormat="1" ht="31.95" hidden="1" customHeight="1" outlineLevel="1">
      <c r="A24" s="1256"/>
      <c r="B24" s="451" t="s">
        <v>37</v>
      </c>
      <c r="C24" s="452"/>
      <c r="D24" s="452"/>
      <c r="E24" s="452"/>
      <c r="F24" s="452"/>
      <c r="G24" s="452"/>
      <c r="H24" s="452"/>
      <c r="I24" s="452"/>
      <c r="J24" s="452"/>
      <c r="K24" s="452"/>
      <c r="L24" s="452"/>
      <c r="M24" s="452"/>
      <c r="N24" s="452"/>
      <c r="O24" s="455"/>
      <c r="P24" s="453"/>
      <c r="Q24" s="453"/>
      <c r="R24" s="453"/>
      <c r="S24" s="453"/>
    </row>
    <row r="25" spans="1:23" s="27" customFormat="1" ht="16.350000000000001" hidden="1" customHeight="1" outlineLevel="1" thickBot="1">
      <c r="A25" s="1259"/>
      <c r="B25" s="111" t="s">
        <v>38</v>
      </c>
      <c r="C25" s="112"/>
      <c r="D25" s="112"/>
      <c r="E25" s="112"/>
      <c r="F25" s="112"/>
      <c r="G25" s="112"/>
      <c r="H25" s="112"/>
      <c r="I25" s="112"/>
      <c r="J25" s="112"/>
      <c r="K25" s="112"/>
      <c r="L25" s="112"/>
      <c r="M25" s="112"/>
      <c r="N25" s="112"/>
      <c r="O25" s="113"/>
      <c r="P25" s="49"/>
      <c r="Q25" s="488"/>
      <c r="R25" s="488"/>
      <c r="S25" s="488"/>
      <c r="T25" s="489"/>
      <c r="U25" s="489"/>
      <c r="V25" s="489"/>
      <c r="W25" s="489"/>
    </row>
    <row r="26" spans="1:23" ht="16.350000000000001" hidden="1" customHeight="1" outlineLevel="1">
      <c r="A26" s="1258">
        <v>2029</v>
      </c>
      <c r="B26" s="101" t="s">
        <v>36</v>
      </c>
      <c r="C26" s="102"/>
      <c r="D26" s="102"/>
      <c r="E26" s="102"/>
      <c r="F26" s="102"/>
      <c r="G26" s="102"/>
      <c r="H26" s="102"/>
      <c r="I26" s="102"/>
      <c r="J26" s="102"/>
      <c r="K26" s="102"/>
      <c r="L26" s="102"/>
      <c r="M26" s="102"/>
      <c r="N26" s="102"/>
      <c r="O26" s="103">
        <v>0</v>
      </c>
      <c r="P26" s="48"/>
      <c r="Q26" s="48"/>
      <c r="R26" s="48"/>
      <c r="S26" s="48"/>
    </row>
    <row r="27" spans="1:23" s="26" customFormat="1" ht="16.350000000000001" hidden="1" customHeight="1" outlineLevel="1">
      <c r="A27" s="1256"/>
      <c r="B27" s="110" t="s">
        <v>42</v>
      </c>
      <c r="C27" s="109">
        <v>4168.76</v>
      </c>
      <c r="D27" s="109">
        <v>4069.84</v>
      </c>
      <c r="E27" s="109">
        <v>5183.41</v>
      </c>
      <c r="F27" s="109">
        <v>5187.51</v>
      </c>
      <c r="G27" s="109">
        <v>6248.39</v>
      </c>
      <c r="H27" s="109">
        <v>7527.69</v>
      </c>
      <c r="I27" s="109">
        <v>6788.34</v>
      </c>
      <c r="J27" s="109">
        <v>6437.18</v>
      </c>
      <c r="K27" s="109">
        <v>6306.07</v>
      </c>
      <c r="L27" s="109">
        <v>6686.1</v>
      </c>
      <c r="M27" s="109">
        <v>3476.37</v>
      </c>
      <c r="N27" s="109">
        <v>5163.1400000000003</v>
      </c>
      <c r="O27" s="106">
        <v>67242.8</v>
      </c>
      <c r="P27" s="52"/>
      <c r="Q27" s="52"/>
      <c r="R27" s="52"/>
      <c r="S27" s="52"/>
    </row>
    <row r="28" spans="1:23" s="454" customFormat="1" ht="31.95" hidden="1" customHeight="1" outlineLevel="1">
      <c r="A28" s="1256"/>
      <c r="B28" s="451" t="s">
        <v>37</v>
      </c>
      <c r="C28" s="452"/>
      <c r="D28" s="452"/>
      <c r="E28" s="452"/>
      <c r="F28" s="452"/>
      <c r="G28" s="452"/>
      <c r="H28" s="452"/>
      <c r="I28" s="452"/>
      <c r="J28" s="452"/>
      <c r="K28" s="452"/>
      <c r="L28" s="452"/>
      <c r="M28" s="452"/>
      <c r="N28" s="452"/>
      <c r="O28" s="455"/>
      <c r="P28" s="453"/>
      <c r="Q28" s="453"/>
      <c r="R28" s="453"/>
      <c r="S28" s="453"/>
    </row>
    <row r="29" spans="1:23" s="27" customFormat="1" ht="16.350000000000001" hidden="1" customHeight="1" outlineLevel="1" thickBot="1">
      <c r="A29" s="1259"/>
      <c r="B29" s="111" t="s">
        <v>38</v>
      </c>
      <c r="C29" s="112"/>
      <c r="D29" s="112"/>
      <c r="E29" s="112"/>
      <c r="F29" s="112"/>
      <c r="G29" s="112"/>
      <c r="H29" s="112"/>
      <c r="I29" s="112"/>
      <c r="J29" s="112"/>
      <c r="K29" s="112"/>
      <c r="L29" s="112"/>
      <c r="M29" s="112"/>
      <c r="N29" s="112"/>
      <c r="O29" s="113"/>
      <c r="P29" s="49"/>
      <c r="Q29" s="488"/>
      <c r="R29" s="488"/>
      <c r="S29" s="488"/>
      <c r="T29" s="489"/>
      <c r="U29" s="489"/>
      <c r="V29" s="489"/>
      <c r="W29" s="489"/>
    </row>
    <row r="30" spans="1:23" ht="16.350000000000001" hidden="1" customHeight="1" outlineLevel="1">
      <c r="A30" s="1258">
        <v>2030</v>
      </c>
      <c r="B30" s="101" t="s">
        <v>36</v>
      </c>
      <c r="C30" s="102"/>
      <c r="D30" s="102"/>
      <c r="E30" s="102"/>
      <c r="F30" s="102"/>
      <c r="G30" s="102"/>
      <c r="H30" s="102"/>
      <c r="I30" s="102"/>
      <c r="J30" s="102"/>
      <c r="K30" s="102"/>
      <c r="L30" s="102"/>
      <c r="M30" s="102"/>
      <c r="N30" s="102"/>
      <c r="O30" s="103">
        <v>0</v>
      </c>
      <c r="P30" s="48"/>
      <c r="Q30" s="48"/>
      <c r="R30" s="48"/>
      <c r="S30" s="48"/>
    </row>
    <row r="31" spans="1:23" s="26" customFormat="1" ht="16.350000000000001" hidden="1" customHeight="1" outlineLevel="1">
      <c r="A31" s="1256"/>
      <c r="B31" s="110" t="s">
        <v>42</v>
      </c>
      <c r="C31" s="109">
        <v>4168.76</v>
      </c>
      <c r="D31" s="109">
        <v>4069.84</v>
      </c>
      <c r="E31" s="109">
        <v>5183.41</v>
      </c>
      <c r="F31" s="109">
        <v>5187.51</v>
      </c>
      <c r="G31" s="109">
        <v>6248.39</v>
      </c>
      <c r="H31" s="109">
        <v>7527.69</v>
      </c>
      <c r="I31" s="109">
        <v>6788.34</v>
      </c>
      <c r="J31" s="109">
        <v>6437.18</v>
      </c>
      <c r="K31" s="109">
        <v>6306.07</v>
      </c>
      <c r="L31" s="109">
        <v>6686.1</v>
      </c>
      <c r="M31" s="109">
        <v>3476.37</v>
      </c>
      <c r="N31" s="109">
        <v>5163.1400000000003</v>
      </c>
      <c r="O31" s="106">
        <v>67242.8</v>
      </c>
      <c r="P31" s="52"/>
      <c r="Q31" s="52"/>
      <c r="R31" s="52"/>
      <c r="S31" s="52"/>
    </row>
    <row r="32" spans="1:23" s="454" customFormat="1" ht="31.95" hidden="1" customHeight="1" outlineLevel="1">
      <c r="A32" s="1256"/>
      <c r="B32" s="451" t="s">
        <v>37</v>
      </c>
      <c r="C32" s="452"/>
      <c r="D32" s="452"/>
      <c r="E32" s="452"/>
      <c r="F32" s="452"/>
      <c r="G32" s="452"/>
      <c r="H32" s="452"/>
      <c r="I32" s="452"/>
      <c r="J32" s="452"/>
      <c r="K32" s="452"/>
      <c r="L32" s="452"/>
      <c r="M32" s="452"/>
      <c r="N32" s="452"/>
      <c r="O32" s="455"/>
      <c r="P32" s="453"/>
      <c r="Q32" s="453"/>
      <c r="R32" s="453"/>
      <c r="S32" s="453"/>
    </row>
    <row r="33" spans="1:23" s="27" customFormat="1" ht="16.350000000000001" hidden="1" customHeight="1" outlineLevel="1" thickBot="1">
      <c r="A33" s="1259"/>
      <c r="B33" s="111" t="s">
        <v>38</v>
      </c>
      <c r="C33" s="112"/>
      <c r="D33" s="112"/>
      <c r="E33" s="112"/>
      <c r="F33" s="112"/>
      <c r="G33" s="112"/>
      <c r="H33" s="112"/>
      <c r="I33" s="112"/>
      <c r="J33" s="112"/>
      <c r="K33" s="112"/>
      <c r="L33" s="112"/>
      <c r="M33" s="112"/>
      <c r="N33" s="112"/>
      <c r="O33" s="113"/>
      <c r="P33" s="49"/>
      <c r="Q33" s="488"/>
      <c r="R33" s="488"/>
      <c r="S33" s="488"/>
      <c r="T33" s="489"/>
      <c r="U33" s="489"/>
      <c r="V33" s="489"/>
      <c r="W33" s="489"/>
    </row>
    <row r="34" spans="1:23" collapsed="1">
      <c r="A34" s="48"/>
      <c r="B34" s="48"/>
      <c r="C34" s="48"/>
      <c r="D34" s="48"/>
      <c r="E34" s="48"/>
      <c r="F34" s="48"/>
      <c r="G34" s="48"/>
      <c r="H34" s="48"/>
      <c r="I34" s="48"/>
      <c r="J34" s="48"/>
      <c r="K34" s="48"/>
      <c r="L34" s="48"/>
      <c r="M34" s="48"/>
      <c r="N34" s="48"/>
      <c r="O34" s="53"/>
      <c r="P34" s="48"/>
      <c r="Q34" s="48"/>
      <c r="R34" s="48"/>
      <c r="S34" s="48"/>
    </row>
    <row r="35" spans="1:23" ht="16.8" thickBot="1">
      <c r="A35" s="48"/>
      <c r="B35" s="48"/>
      <c r="C35" s="48"/>
      <c r="D35" s="48"/>
      <c r="E35" s="48"/>
      <c r="F35" s="48"/>
      <c r="G35" s="48"/>
      <c r="H35" s="48"/>
      <c r="I35" s="48"/>
      <c r="J35" s="48"/>
      <c r="K35" s="48"/>
      <c r="L35" s="48"/>
      <c r="M35" s="48"/>
      <c r="N35" s="48"/>
      <c r="O35" s="53"/>
      <c r="P35" s="48"/>
      <c r="Q35" s="48"/>
      <c r="R35" s="48"/>
      <c r="S35" s="48"/>
    </row>
    <row r="36" spans="1:23" s="4" customFormat="1" ht="27" thickBot="1">
      <c r="A36" s="829" t="s">
        <v>10</v>
      </c>
      <c r="B36" s="92"/>
      <c r="C36" s="93" t="s">
        <v>52</v>
      </c>
      <c r="D36" s="93" t="s">
        <v>53</v>
      </c>
      <c r="E36" s="93" t="s">
        <v>26</v>
      </c>
      <c r="F36" s="93" t="s">
        <v>27</v>
      </c>
      <c r="G36" s="93" t="s">
        <v>28</v>
      </c>
      <c r="H36" s="93" t="s">
        <v>29</v>
      </c>
      <c r="I36" s="93" t="s">
        <v>54</v>
      </c>
      <c r="J36" s="93" t="s">
        <v>55</v>
      </c>
      <c r="K36" s="93" t="s">
        <v>56</v>
      </c>
      <c r="L36" s="93" t="s">
        <v>57</v>
      </c>
      <c r="M36" s="93" t="s">
        <v>58</v>
      </c>
      <c r="N36" s="93" t="s">
        <v>59</v>
      </c>
      <c r="O36" s="94"/>
      <c r="P36" s="47"/>
      <c r="Q36" s="47"/>
      <c r="R36" s="47"/>
      <c r="S36" s="47"/>
    </row>
    <row r="37" spans="1:23" ht="16.350000000000001" hidden="1" customHeight="1" outlineLevel="1">
      <c r="A37" s="1261">
        <f>Annee1</f>
        <v>2023</v>
      </c>
      <c r="B37" s="95" t="s">
        <v>36</v>
      </c>
      <c r="C37" s="96"/>
      <c r="D37" s="96"/>
      <c r="E37" s="96"/>
      <c r="F37" s="96"/>
      <c r="G37" s="96"/>
      <c r="H37" s="96"/>
      <c r="I37" s="96"/>
      <c r="J37" s="96">
        <v>2243.4499999999998</v>
      </c>
      <c r="K37" s="96">
        <v>4831.3900000000003</v>
      </c>
      <c r="L37" s="96">
        <v>5481.45</v>
      </c>
      <c r="M37" s="96">
        <v>3206.85</v>
      </c>
      <c r="N37" s="96">
        <v>4142.09</v>
      </c>
      <c r="O37" s="97">
        <v>19905.23</v>
      </c>
      <c r="P37" s="48"/>
      <c r="Q37" s="48"/>
      <c r="R37" s="48"/>
      <c r="S37" s="48"/>
    </row>
    <row r="38" spans="1:23" s="26" customFormat="1" ht="16.350000000000001" hidden="1" customHeight="1" outlineLevel="1">
      <c r="A38" s="1256"/>
      <c r="B38" s="108" t="s">
        <v>42</v>
      </c>
      <c r="C38" s="109"/>
      <c r="D38" s="109"/>
      <c r="E38" s="109"/>
      <c r="F38" s="109"/>
      <c r="G38" s="109"/>
      <c r="H38" s="109"/>
      <c r="I38" s="109"/>
      <c r="J38" s="109"/>
      <c r="K38" s="109"/>
      <c r="L38" s="109"/>
      <c r="M38" s="109"/>
      <c r="N38" s="109"/>
      <c r="O38" s="106"/>
      <c r="P38" s="52"/>
      <c r="Q38" s="52"/>
      <c r="R38" s="52"/>
      <c r="S38" s="52"/>
    </row>
    <row r="39" spans="1:23" s="454" customFormat="1" ht="31.95" hidden="1" customHeight="1" outlineLevel="1">
      <c r="A39" s="1256"/>
      <c r="B39" s="461" t="s">
        <v>3350</v>
      </c>
      <c r="C39" s="452"/>
      <c r="D39" s="452"/>
      <c r="E39" s="452"/>
      <c r="F39" s="452"/>
      <c r="G39" s="452"/>
      <c r="H39" s="452"/>
      <c r="I39" s="452"/>
      <c r="J39" s="456" t="s">
        <v>3825</v>
      </c>
      <c r="K39" s="456" t="s">
        <v>3826</v>
      </c>
      <c r="L39" s="456" t="s">
        <v>3827</v>
      </c>
      <c r="M39" s="456" t="s">
        <v>3828</v>
      </c>
      <c r="N39" s="456" t="s">
        <v>3902</v>
      </c>
      <c r="O39" s="459" t="s">
        <v>3903</v>
      </c>
      <c r="P39" s="453"/>
      <c r="Q39" s="453"/>
      <c r="R39" s="453"/>
      <c r="S39" s="453"/>
    </row>
    <row r="40" spans="1:23" s="27" customFormat="1" ht="16.350000000000001" hidden="1" customHeight="1" outlineLevel="1">
      <c r="A40" s="1257"/>
      <c r="B40" s="98" t="s">
        <v>38</v>
      </c>
      <c r="C40" s="99"/>
      <c r="D40" s="99"/>
      <c r="E40" s="99"/>
      <c r="F40" s="99"/>
      <c r="G40" s="99"/>
      <c r="H40" s="99"/>
      <c r="I40" s="99"/>
      <c r="J40" s="99">
        <v>0.58064516129032262</v>
      </c>
      <c r="K40" s="99">
        <v>0.76666666666666672</v>
      </c>
      <c r="L40" s="99">
        <v>0.93548387096774188</v>
      </c>
      <c r="M40" s="99">
        <v>0.8</v>
      </c>
      <c r="N40" s="99">
        <v>1</v>
      </c>
      <c r="O40" s="100">
        <v>0.34246575342465752</v>
      </c>
      <c r="P40" s="49"/>
      <c r="Q40" s="488"/>
      <c r="R40" s="488"/>
      <c r="S40" s="488"/>
      <c r="T40" s="489"/>
      <c r="U40" s="489"/>
      <c r="V40" s="489"/>
      <c r="W40" s="489"/>
    </row>
    <row r="41" spans="1:23" ht="16.350000000000001" hidden="1" customHeight="1" outlineLevel="1">
      <c r="A41" s="1258">
        <f>Annee2</f>
        <v>2024</v>
      </c>
      <c r="B41" s="101" t="s">
        <v>36</v>
      </c>
      <c r="C41" s="102">
        <v>3024.15</v>
      </c>
      <c r="D41" s="102">
        <v>2675.9</v>
      </c>
      <c r="E41" s="102">
        <v>4483.1000000000004</v>
      </c>
      <c r="F41" s="102">
        <v>4697.18</v>
      </c>
      <c r="G41" s="102">
        <v>4571.47</v>
      </c>
      <c r="H41" s="102">
        <v>5460.95</v>
      </c>
      <c r="I41" s="102">
        <v>4687.6899999999996</v>
      </c>
      <c r="J41" s="102">
        <v>4248.93</v>
      </c>
      <c r="K41" s="102">
        <v>4270.99</v>
      </c>
      <c r="L41" s="102">
        <v>5048.24</v>
      </c>
      <c r="M41" s="102">
        <v>4096.16</v>
      </c>
      <c r="N41" s="102">
        <v>3578.88</v>
      </c>
      <c r="O41" s="103">
        <v>50843.62</v>
      </c>
      <c r="P41" s="48"/>
      <c r="Q41" s="835"/>
      <c r="R41" s="835"/>
      <c r="S41" s="835"/>
    </row>
    <row r="42" spans="1:23" s="29" customFormat="1" ht="16.350000000000001" hidden="1" customHeight="1" outlineLevel="1">
      <c r="A42" s="1256"/>
      <c r="B42" s="104" t="s">
        <v>42</v>
      </c>
      <c r="C42" s="105">
        <v>2300</v>
      </c>
      <c r="D42" s="105">
        <v>2500</v>
      </c>
      <c r="E42" s="105">
        <v>3000</v>
      </c>
      <c r="F42" s="105">
        <v>4000</v>
      </c>
      <c r="G42" s="105">
        <v>4500</v>
      </c>
      <c r="H42" s="105">
        <v>4500</v>
      </c>
      <c r="I42" s="105">
        <v>5000</v>
      </c>
      <c r="J42" s="105">
        <v>5000</v>
      </c>
      <c r="K42" s="105">
        <v>4800</v>
      </c>
      <c r="L42" s="105">
        <v>5100</v>
      </c>
      <c r="M42" s="105">
        <v>2900</v>
      </c>
      <c r="N42" s="105">
        <v>3100</v>
      </c>
      <c r="O42" s="106">
        <v>46700</v>
      </c>
      <c r="P42" s="54"/>
      <c r="Q42" s="840"/>
      <c r="R42" s="840"/>
      <c r="S42" s="840"/>
      <c r="T42" s="841"/>
      <c r="U42" s="841"/>
      <c r="V42" s="841"/>
      <c r="W42" s="841"/>
    </row>
    <row r="43" spans="1:23" s="454" customFormat="1" ht="31.95" hidden="1" customHeight="1" outlineLevel="1">
      <c r="A43" s="1256"/>
      <c r="B43" s="461" t="s">
        <v>3350</v>
      </c>
      <c r="C43" s="457" t="s">
        <v>3829</v>
      </c>
      <c r="D43" s="457" t="s">
        <v>3830</v>
      </c>
      <c r="E43" s="457" t="s">
        <v>3831</v>
      </c>
      <c r="F43" s="457" t="s">
        <v>3832</v>
      </c>
      <c r="G43" s="457" t="s">
        <v>3833</v>
      </c>
      <c r="H43" s="457" t="s">
        <v>3834</v>
      </c>
      <c r="I43" s="457" t="s">
        <v>3835</v>
      </c>
      <c r="J43" s="457" t="s">
        <v>3836</v>
      </c>
      <c r="K43" s="457" t="s">
        <v>3837</v>
      </c>
      <c r="L43" s="457" t="s">
        <v>3838</v>
      </c>
      <c r="M43" s="458" t="s">
        <v>3904</v>
      </c>
      <c r="N43" s="457" t="s">
        <v>3839</v>
      </c>
      <c r="O43" s="459" t="s">
        <v>3840</v>
      </c>
      <c r="P43" s="453"/>
      <c r="Q43" s="838"/>
      <c r="R43" s="838"/>
      <c r="S43" s="838"/>
    </row>
    <row r="44" spans="1:23" s="27" customFormat="1" ht="16.350000000000001" hidden="1" customHeight="1" outlineLevel="1">
      <c r="A44" s="1257"/>
      <c r="B44" s="98" t="s">
        <v>38</v>
      </c>
      <c r="C44" s="107">
        <v>0.87096774193548387</v>
      </c>
      <c r="D44" s="107">
        <v>0.82758620689655171</v>
      </c>
      <c r="E44" s="107">
        <v>0.90322580645161288</v>
      </c>
      <c r="F44" s="107">
        <v>0.93333333333333335</v>
      </c>
      <c r="G44" s="107">
        <v>0.87096774193548387</v>
      </c>
      <c r="H44" s="107">
        <v>0.93333333333333335</v>
      </c>
      <c r="I44" s="107">
        <v>0.90322580645161288</v>
      </c>
      <c r="J44" s="107">
        <v>0.90322580645161288</v>
      </c>
      <c r="K44" s="107">
        <v>0.93333333333333335</v>
      </c>
      <c r="L44" s="107">
        <v>0.967741935483871</v>
      </c>
      <c r="M44" s="107">
        <v>0.96666666666666667</v>
      </c>
      <c r="N44" s="107">
        <v>1</v>
      </c>
      <c r="O44" s="100">
        <v>0.92054794520547945</v>
      </c>
      <c r="P44" s="49"/>
      <c r="Q44" s="488"/>
      <c r="R44" s="488"/>
      <c r="S44" s="488"/>
      <c r="T44" s="489"/>
      <c r="U44" s="489"/>
      <c r="V44" s="489"/>
      <c r="W44" s="489"/>
    </row>
    <row r="45" spans="1:23" ht="16.350000000000001" customHeight="1" collapsed="1">
      <c r="A45" s="1260" t="s">
        <v>48</v>
      </c>
      <c r="B45" s="101" t="s">
        <v>36</v>
      </c>
      <c r="C45" s="102">
        <v>3334.57</v>
      </c>
      <c r="D45" s="102">
        <v>3399.26</v>
      </c>
      <c r="E45" s="102">
        <v>2963.08</v>
      </c>
      <c r="F45" s="102">
        <v>3845.29</v>
      </c>
      <c r="G45" s="102">
        <v>4413.55</v>
      </c>
      <c r="H45" s="102">
        <v>4611.71</v>
      </c>
      <c r="I45" s="102">
        <v>5307.92</v>
      </c>
      <c r="J45" s="102">
        <v>3395.31</v>
      </c>
      <c r="K45" s="102">
        <v>5036.26</v>
      </c>
      <c r="L45" s="102">
        <v>4821.91</v>
      </c>
      <c r="M45" s="102">
        <v>3710.43</v>
      </c>
      <c r="N45" s="102">
        <v>4122.58</v>
      </c>
      <c r="O45" s="103">
        <v>48961.86</v>
      </c>
      <c r="P45" s="48"/>
      <c r="Q45" s="48"/>
      <c r="R45" s="48"/>
      <c r="S45" s="48"/>
    </row>
    <row r="46" spans="1:23" s="28" customFormat="1" ht="16.350000000000001" customHeight="1">
      <c r="A46" s="1256"/>
      <c r="B46" s="108" t="s">
        <v>42</v>
      </c>
      <c r="C46" s="109">
        <v>3000</v>
      </c>
      <c r="D46" s="109">
        <v>3000</v>
      </c>
      <c r="E46" s="109">
        <v>4500</v>
      </c>
      <c r="F46" s="109">
        <v>4500</v>
      </c>
      <c r="G46" s="109">
        <v>4500</v>
      </c>
      <c r="H46" s="109">
        <v>5000</v>
      </c>
      <c r="I46" s="109">
        <v>4000</v>
      </c>
      <c r="J46" s="109">
        <v>4000</v>
      </c>
      <c r="K46" s="109">
        <v>4800</v>
      </c>
      <c r="L46" s="109">
        <v>5100</v>
      </c>
      <c r="M46" s="109">
        <v>4000</v>
      </c>
      <c r="N46" s="109">
        <v>3500</v>
      </c>
      <c r="O46" s="106">
        <v>49900</v>
      </c>
      <c r="P46" s="51"/>
      <c r="Q46" s="51"/>
      <c r="R46" s="51"/>
      <c r="S46" s="51"/>
    </row>
    <row r="47" spans="1:23" s="454" customFormat="1" ht="31.95" customHeight="1">
      <c r="A47" s="1256"/>
      <c r="B47" s="461" t="s">
        <v>3350</v>
      </c>
      <c r="C47" s="456" t="s">
        <v>3841</v>
      </c>
      <c r="D47" s="458" t="s">
        <v>3842</v>
      </c>
      <c r="E47" s="458" t="s">
        <v>3843</v>
      </c>
      <c r="F47" s="458" t="s">
        <v>3844</v>
      </c>
      <c r="G47" s="458" t="s">
        <v>3845</v>
      </c>
      <c r="H47" s="458" t="s">
        <v>3846</v>
      </c>
      <c r="I47" s="458" t="s">
        <v>3847</v>
      </c>
      <c r="J47" s="458" t="s">
        <v>3848</v>
      </c>
      <c r="K47" s="458" t="s">
        <v>3849</v>
      </c>
      <c r="L47" s="458" t="s">
        <v>3850</v>
      </c>
      <c r="M47" s="458" t="s">
        <v>3851</v>
      </c>
      <c r="N47" s="458" t="s">
        <v>3852</v>
      </c>
      <c r="O47" s="459" t="s">
        <v>3853</v>
      </c>
      <c r="P47" s="453"/>
      <c r="Q47" s="453"/>
      <c r="R47" s="453"/>
      <c r="S47" s="453"/>
    </row>
    <row r="48" spans="1:23" ht="16.350000000000001" customHeight="1">
      <c r="A48" s="1257"/>
      <c r="B48" s="114" t="s">
        <v>38</v>
      </c>
      <c r="C48" s="107">
        <v>0.87096774193548387</v>
      </c>
      <c r="D48" s="107">
        <v>0.9642857142857143</v>
      </c>
      <c r="E48" s="107">
        <v>0.74193548387096775</v>
      </c>
      <c r="F48" s="107">
        <v>0.8</v>
      </c>
      <c r="G48" s="107">
        <v>0.83870967741935487</v>
      </c>
      <c r="H48" s="107">
        <v>0.9</v>
      </c>
      <c r="I48" s="107">
        <v>1</v>
      </c>
      <c r="J48" s="107">
        <v>0.70967741935483875</v>
      </c>
      <c r="K48" s="107">
        <v>0.96666666666666667</v>
      </c>
      <c r="L48" s="107">
        <v>0.93548387096774188</v>
      </c>
      <c r="M48" s="107">
        <v>0.9</v>
      </c>
      <c r="N48" s="107">
        <v>0.93548387096774188</v>
      </c>
      <c r="O48" s="100">
        <v>0.8794520547945206</v>
      </c>
      <c r="P48" s="48"/>
      <c r="Q48" s="48"/>
      <c r="R48" s="48"/>
      <c r="S48" s="48"/>
    </row>
    <row r="49" spans="1:19" ht="16.350000000000001" customHeight="1">
      <c r="A49" s="1260" t="s">
        <v>1054</v>
      </c>
      <c r="B49" s="101" t="s">
        <v>36</v>
      </c>
      <c r="C49" s="102">
        <v>3047.95</v>
      </c>
      <c r="D49" s="102">
        <v>2850.76</v>
      </c>
      <c r="E49" s="102">
        <v>2930.5</v>
      </c>
      <c r="F49" s="102">
        <v>3123.4</v>
      </c>
      <c r="G49" s="102">
        <v>2781.18</v>
      </c>
      <c r="H49" s="102">
        <v>1940.49</v>
      </c>
      <c r="I49" s="102">
        <v>2611.88</v>
      </c>
      <c r="J49" s="102">
        <v>511.85</v>
      </c>
      <c r="K49" s="102">
        <v>1366.63</v>
      </c>
      <c r="L49" s="102">
        <v>756.75</v>
      </c>
      <c r="M49" s="102"/>
      <c r="N49" s="102"/>
      <c r="O49" s="103">
        <v>21921.39</v>
      </c>
      <c r="P49" s="48"/>
      <c r="Q49" s="48"/>
      <c r="R49" s="48"/>
      <c r="S49" s="48"/>
    </row>
    <row r="50" spans="1:19" s="26" customFormat="1" ht="16.350000000000001" customHeight="1">
      <c r="A50" s="1256"/>
      <c r="B50" s="110" t="s">
        <v>42</v>
      </c>
      <c r="C50" s="109">
        <v>3334.57</v>
      </c>
      <c r="D50" s="109">
        <v>3399.26</v>
      </c>
      <c r="E50" s="109">
        <v>2963.08</v>
      </c>
      <c r="F50" s="109">
        <v>3845.29</v>
      </c>
      <c r="G50" s="109">
        <v>4413.55</v>
      </c>
      <c r="H50" s="109">
        <v>4611.71</v>
      </c>
      <c r="I50" s="109">
        <v>5307.92</v>
      </c>
      <c r="J50" s="109">
        <v>3395.31</v>
      </c>
      <c r="K50" s="109">
        <v>5036.26</v>
      </c>
      <c r="L50" s="109">
        <v>4821.91</v>
      </c>
      <c r="M50" s="109">
        <v>3710.43</v>
      </c>
      <c r="N50" s="109">
        <v>4122.58</v>
      </c>
      <c r="O50" s="106">
        <v>48961.87</v>
      </c>
      <c r="P50" s="52"/>
      <c r="Q50" s="52"/>
      <c r="R50" s="52"/>
      <c r="S50" s="52"/>
    </row>
    <row r="51" spans="1:19" s="454" customFormat="1" ht="31.95" customHeight="1">
      <c r="A51" s="1256"/>
      <c r="B51" s="461" t="s">
        <v>3350</v>
      </c>
      <c r="C51" s="458" t="s">
        <v>3854</v>
      </c>
      <c r="D51" s="458" t="s">
        <v>3952</v>
      </c>
      <c r="E51" s="458" t="s">
        <v>4043</v>
      </c>
      <c r="F51" s="458" t="s">
        <v>3990</v>
      </c>
      <c r="G51" s="458" t="s">
        <v>3985</v>
      </c>
      <c r="H51" s="458" t="s">
        <v>4004</v>
      </c>
      <c r="I51" s="458" t="s">
        <v>4022</v>
      </c>
      <c r="J51" s="458" t="s">
        <v>3949</v>
      </c>
      <c r="K51" s="458" t="s">
        <v>3963</v>
      </c>
      <c r="L51" s="458" t="s">
        <v>3955</v>
      </c>
      <c r="M51" s="452"/>
      <c r="N51" s="452"/>
      <c r="O51" s="460" t="s">
        <v>4044</v>
      </c>
      <c r="P51" s="453"/>
      <c r="Q51" s="453"/>
      <c r="R51" s="453"/>
      <c r="S51" s="453"/>
    </row>
    <row r="52" spans="1:19" ht="16.350000000000001" customHeight="1">
      <c r="A52" s="1257"/>
      <c r="B52" s="114" t="s">
        <v>38</v>
      </c>
      <c r="C52" s="107">
        <v>0.90322580645161288</v>
      </c>
      <c r="D52" s="107">
        <v>0.9285714285714286</v>
      </c>
      <c r="E52" s="107" t="s">
        <v>4023</v>
      </c>
      <c r="F52" s="107" t="s">
        <v>4024</v>
      </c>
      <c r="G52" s="107" t="s">
        <v>4025</v>
      </c>
      <c r="H52" s="107" t="s">
        <v>4026</v>
      </c>
      <c r="I52" s="107" t="s">
        <v>4027</v>
      </c>
      <c r="J52" s="107" t="s">
        <v>4018</v>
      </c>
      <c r="K52" s="107" t="s">
        <v>4028</v>
      </c>
      <c r="L52" s="107" t="s">
        <v>3995</v>
      </c>
      <c r="M52" s="107" t="s">
        <v>3721</v>
      </c>
      <c r="N52" s="107" t="s">
        <v>4029</v>
      </c>
      <c r="O52" s="100" t="s">
        <v>4030</v>
      </c>
      <c r="P52" s="48"/>
      <c r="Q52" s="48"/>
      <c r="R52" s="48"/>
      <c r="S52" s="48"/>
    </row>
    <row r="53" spans="1:19" ht="16.350000000000001" hidden="1" customHeight="1" outlineLevel="2">
      <c r="A53" s="1260" t="s">
        <v>1603</v>
      </c>
      <c r="B53" s="101" t="s">
        <v>36</v>
      </c>
      <c r="C53" s="102"/>
      <c r="D53" s="102"/>
      <c r="E53" s="102"/>
      <c r="F53" s="102"/>
      <c r="G53" s="102"/>
      <c r="H53" s="102"/>
      <c r="I53" s="102"/>
      <c r="J53" s="102"/>
      <c r="K53" s="102"/>
      <c r="L53" s="102"/>
      <c r="M53" s="102"/>
      <c r="N53" s="102"/>
      <c r="O53" s="103">
        <v>0</v>
      </c>
      <c r="P53" s="48"/>
      <c r="Q53" s="48"/>
      <c r="R53" s="48"/>
      <c r="S53" s="48"/>
    </row>
    <row r="54" spans="1:19" s="26" customFormat="1" ht="16.350000000000001" hidden="1" customHeight="1" outlineLevel="2">
      <c r="A54" s="1256"/>
      <c r="B54" s="110" t="s">
        <v>42</v>
      </c>
      <c r="C54" s="109">
        <v>3334.57</v>
      </c>
      <c r="D54" s="109">
        <v>3399.26</v>
      </c>
      <c r="E54" s="109">
        <v>2963.08</v>
      </c>
      <c r="F54" s="109">
        <v>3845.29</v>
      </c>
      <c r="G54" s="109">
        <v>4413.55</v>
      </c>
      <c r="H54" s="109">
        <v>4611.71</v>
      </c>
      <c r="I54" s="109">
        <v>5307.92</v>
      </c>
      <c r="J54" s="109">
        <v>3395.31</v>
      </c>
      <c r="K54" s="109">
        <v>5036.26</v>
      </c>
      <c r="L54" s="109">
        <v>4821.91</v>
      </c>
      <c r="M54" s="109">
        <v>3710.43</v>
      </c>
      <c r="N54" s="109">
        <v>4122.58</v>
      </c>
      <c r="O54" s="106">
        <v>48961.87</v>
      </c>
      <c r="P54" s="52"/>
      <c r="Q54" s="52"/>
      <c r="R54" s="52"/>
      <c r="S54" s="52"/>
    </row>
    <row r="55" spans="1:19" s="454" customFormat="1" ht="31.95" hidden="1" customHeight="1" outlineLevel="2">
      <c r="A55" s="1256"/>
      <c r="B55" s="461" t="s">
        <v>3350</v>
      </c>
      <c r="C55" s="452"/>
      <c r="D55" s="452"/>
      <c r="E55" s="452"/>
      <c r="F55" s="452"/>
      <c r="G55" s="452"/>
      <c r="H55" s="452"/>
      <c r="I55" s="452"/>
      <c r="J55" s="452"/>
      <c r="K55" s="452"/>
      <c r="L55" s="452"/>
      <c r="M55" s="452"/>
      <c r="N55" s="452"/>
      <c r="O55" s="455"/>
      <c r="P55" s="453"/>
      <c r="Q55" s="453"/>
      <c r="R55" s="453"/>
      <c r="S55" s="453"/>
    </row>
    <row r="56" spans="1:19" ht="16.350000000000001" hidden="1" customHeight="1" outlineLevel="2" thickBot="1">
      <c r="A56" s="1259"/>
      <c r="B56" s="115" t="s">
        <v>38</v>
      </c>
      <c r="C56" s="112" t="s">
        <v>3920</v>
      </c>
      <c r="D56" s="112" t="s">
        <v>4021</v>
      </c>
      <c r="E56" s="112"/>
      <c r="F56" s="112"/>
      <c r="G56" s="112"/>
      <c r="H56" s="112"/>
      <c r="I56" s="112"/>
      <c r="J56" s="112"/>
      <c r="K56" s="112"/>
      <c r="L56" s="112"/>
      <c r="M56" s="112"/>
      <c r="N56" s="112"/>
      <c r="O56" s="113"/>
      <c r="P56" s="48"/>
      <c r="Q56" s="48"/>
      <c r="R56" s="48"/>
      <c r="S56" s="48"/>
    </row>
    <row r="57" spans="1:19" ht="16.350000000000001" hidden="1" customHeight="1" outlineLevel="2">
      <c r="A57" s="1260" t="s">
        <v>1604</v>
      </c>
      <c r="B57" s="101" t="s">
        <v>36</v>
      </c>
      <c r="C57" s="102"/>
      <c r="D57" s="102"/>
      <c r="E57" s="102"/>
      <c r="F57" s="102"/>
      <c r="G57" s="102"/>
      <c r="H57" s="102"/>
      <c r="I57" s="102"/>
      <c r="J57" s="102"/>
      <c r="K57" s="102"/>
      <c r="L57" s="102"/>
      <c r="M57" s="102"/>
      <c r="N57" s="102"/>
      <c r="O57" s="103">
        <v>0</v>
      </c>
      <c r="P57" s="48"/>
      <c r="Q57" s="48"/>
      <c r="R57" s="48"/>
      <c r="S57" s="48"/>
    </row>
    <row r="58" spans="1:19" s="28" customFormat="1" ht="16.350000000000001" hidden="1" customHeight="1" outlineLevel="2">
      <c r="A58" s="1256"/>
      <c r="B58" s="108" t="s">
        <v>42</v>
      </c>
      <c r="C58" s="109">
        <v>3334.57</v>
      </c>
      <c r="D58" s="109">
        <v>3399.26</v>
      </c>
      <c r="E58" s="109">
        <v>2963.08</v>
      </c>
      <c r="F58" s="109">
        <v>3845.29</v>
      </c>
      <c r="G58" s="109">
        <v>4413.55</v>
      </c>
      <c r="H58" s="109">
        <v>4611.71</v>
      </c>
      <c r="I58" s="109">
        <v>5307.92</v>
      </c>
      <c r="J58" s="109">
        <v>3395.31</v>
      </c>
      <c r="K58" s="109">
        <v>5036.26</v>
      </c>
      <c r="L58" s="109">
        <v>4821.91</v>
      </c>
      <c r="M58" s="109">
        <v>3710.43</v>
      </c>
      <c r="N58" s="109">
        <v>4122.58</v>
      </c>
      <c r="O58" s="106">
        <v>48961.87</v>
      </c>
      <c r="P58" s="51"/>
      <c r="Q58" s="51"/>
      <c r="R58" s="51"/>
      <c r="S58" s="51"/>
    </row>
    <row r="59" spans="1:19" s="454" customFormat="1" ht="31.95" hidden="1" customHeight="1" outlineLevel="2">
      <c r="A59" s="1256"/>
      <c r="B59" s="461" t="s">
        <v>3350</v>
      </c>
      <c r="C59" s="456"/>
      <c r="D59" s="458"/>
      <c r="E59" s="458"/>
      <c r="F59" s="458"/>
      <c r="G59" s="458"/>
      <c r="H59" s="458"/>
      <c r="I59" s="458"/>
      <c r="J59" s="458"/>
      <c r="K59" s="458"/>
      <c r="L59" s="458"/>
      <c r="M59" s="458"/>
      <c r="N59" s="458"/>
      <c r="O59" s="459"/>
      <c r="P59" s="453"/>
      <c r="Q59" s="453"/>
      <c r="R59" s="453"/>
      <c r="S59" s="453"/>
    </row>
    <row r="60" spans="1:19" ht="16.350000000000001" hidden="1" customHeight="1" outlineLevel="2">
      <c r="A60" s="1257"/>
      <c r="B60" s="114" t="s">
        <v>38</v>
      </c>
      <c r="C60" s="107"/>
      <c r="D60" s="107"/>
      <c r="E60" s="107"/>
      <c r="F60" s="107"/>
      <c r="G60" s="107"/>
      <c r="H60" s="107"/>
      <c r="I60" s="107"/>
      <c r="J60" s="107"/>
      <c r="K60" s="107"/>
      <c r="L60" s="107"/>
      <c r="M60" s="107"/>
      <c r="N60" s="107"/>
      <c r="O60" s="100"/>
      <c r="P60" s="48"/>
      <c r="Q60" s="48"/>
      <c r="R60" s="48"/>
      <c r="S60" s="48"/>
    </row>
    <row r="61" spans="1:19" ht="16.350000000000001" hidden="1" customHeight="1" outlineLevel="2">
      <c r="A61" s="1260" t="s">
        <v>1701</v>
      </c>
      <c r="B61" s="101" t="s">
        <v>36</v>
      </c>
      <c r="C61" s="102"/>
      <c r="D61" s="102"/>
      <c r="E61" s="102"/>
      <c r="F61" s="102"/>
      <c r="G61" s="102"/>
      <c r="H61" s="102"/>
      <c r="I61" s="102"/>
      <c r="J61" s="102"/>
      <c r="K61" s="102"/>
      <c r="L61" s="102"/>
      <c r="M61" s="102"/>
      <c r="N61" s="102"/>
      <c r="O61" s="103">
        <v>0</v>
      </c>
      <c r="P61" s="48"/>
      <c r="Q61" s="48"/>
      <c r="R61" s="48"/>
      <c r="S61" s="48"/>
    </row>
    <row r="62" spans="1:19" s="26" customFormat="1" ht="16.350000000000001" hidden="1" customHeight="1" outlineLevel="2">
      <c r="A62" s="1256"/>
      <c r="B62" s="110" t="s">
        <v>42</v>
      </c>
      <c r="C62" s="109">
        <v>3334.57</v>
      </c>
      <c r="D62" s="109">
        <v>3399.26</v>
      </c>
      <c r="E62" s="109">
        <v>2963.08</v>
      </c>
      <c r="F62" s="109">
        <v>3845.29</v>
      </c>
      <c r="G62" s="109">
        <v>4413.55</v>
      </c>
      <c r="H62" s="109">
        <v>4611.71</v>
      </c>
      <c r="I62" s="109">
        <v>5307.92</v>
      </c>
      <c r="J62" s="109">
        <v>3395.31</v>
      </c>
      <c r="K62" s="109">
        <v>5036.26</v>
      </c>
      <c r="L62" s="109">
        <v>4821.91</v>
      </c>
      <c r="M62" s="109">
        <v>3710.43</v>
      </c>
      <c r="N62" s="109">
        <v>4122.58</v>
      </c>
      <c r="O62" s="106">
        <v>48961.87</v>
      </c>
      <c r="P62" s="52"/>
      <c r="Q62" s="52"/>
      <c r="R62" s="52"/>
      <c r="S62" s="52"/>
    </row>
    <row r="63" spans="1:19" s="454" customFormat="1" ht="31.95" hidden="1" customHeight="1" outlineLevel="2">
      <c r="A63" s="1256"/>
      <c r="B63" s="461" t="s">
        <v>3350</v>
      </c>
      <c r="C63" s="458"/>
      <c r="D63" s="458"/>
      <c r="E63" s="458"/>
      <c r="F63" s="458"/>
      <c r="G63" s="458"/>
      <c r="H63" s="458"/>
      <c r="I63" s="458"/>
      <c r="J63" s="458"/>
      <c r="K63" s="458"/>
      <c r="L63" s="458"/>
      <c r="M63" s="452"/>
      <c r="N63" s="452"/>
      <c r="O63" s="460"/>
      <c r="P63" s="453"/>
      <c r="Q63" s="453"/>
      <c r="R63" s="453"/>
      <c r="S63" s="453"/>
    </row>
    <row r="64" spans="1:19" ht="16.350000000000001" hidden="1" customHeight="1" outlineLevel="2">
      <c r="A64" s="1257"/>
      <c r="B64" s="114" t="s">
        <v>38</v>
      </c>
      <c r="C64" s="107"/>
      <c r="D64" s="107"/>
      <c r="E64" s="107"/>
      <c r="F64" s="107"/>
      <c r="G64" s="107"/>
      <c r="H64" s="107"/>
      <c r="I64" s="107"/>
      <c r="J64" s="107"/>
      <c r="K64" s="107"/>
      <c r="L64" s="107"/>
      <c r="M64" s="107"/>
      <c r="N64" s="107"/>
      <c r="O64" s="100"/>
      <c r="P64" s="48"/>
      <c r="Q64" s="48"/>
      <c r="R64" s="48"/>
      <c r="S64" s="48"/>
    </row>
    <row r="65" spans="1:23" ht="16.350000000000001" hidden="1" customHeight="1" outlineLevel="2">
      <c r="A65" s="1260" t="s">
        <v>1605</v>
      </c>
      <c r="B65" s="101" t="s">
        <v>36</v>
      </c>
      <c r="C65" s="102"/>
      <c r="D65" s="102"/>
      <c r="E65" s="102"/>
      <c r="F65" s="102"/>
      <c r="G65" s="102"/>
      <c r="H65" s="102"/>
      <c r="I65" s="102"/>
      <c r="J65" s="102"/>
      <c r="K65" s="102"/>
      <c r="L65" s="102"/>
      <c r="M65" s="102"/>
      <c r="N65" s="102"/>
      <c r="O65" s="103">
        <v>0</v>
      </c>
      <c r="P65" s="48"/>
      <c r="Q65" s="48"/>
      <c r="R65" s="48"/>
      <c r="S65" s="48"/>
    </row>
    <row r="66" spans="1:23" s="26" customFormat="1" ht="16.350000000000001" hidden="1" customHeight="1" outlineLevel="2">
      <c r="A66" s="1256"/>
      <c r="B66" s="110" t="s">
        <v>42</v>
      </c>
      <c r="C66" s="109">
        <v>3334.57</v>
      </c>
      <c r="D66" s="109">
        <v>3399.26</v>
      </c>
      <c r="E66" s="109">
        <v>2963.08</v>
      </c>
      <c r="F66" s="109">
        <v>3845.29</v>
      </c>
      <c r="G66" s="109">
        <v>4413.55</v>
      </c>
      <c r="H66" s="109">
        <v>4611.71</v>
      </c>
      <c r="I66" s="109">
        <v>5307.92</v>
      </c>
      <c r="J66" s="109">
        <v>3395.31</v>
      </c>
      <c r="K66" s="109">
        <v>5036.26</v>
      </c>
      <c r="L66" s="109">
        <v>4821.91</v>
      </c>
      <c r="M66" s="109">
        <v>3710.43</v>
      </c>
      <c r="N66" s="109">
        <v>4122.58</v>
      </c>
      <c r="O66" s="106">
        <v>48961.87</v>
      </c>
      <c r="P66" s="52"/>
      <c r="Q66" s="52"/>
      <c r="R66" s="52"/>
      <c r="S66" s="52"/>
    </row>
    <row r="67" spans="1:23" s="454" customFormat="1" ht="31.95" hidden="1" customHeight="1" outlineLevel="2">
      <c r="A67" s="1256"/>
      <c r="B67" s="461" t="s">
        <v>3350</v>
      </c>
      <c r="C67" s="452"/>
      <c r="D67" s="452"/>
      <c r="E67" s="452"/>
      <c r="F67" s="452"/>
      <c r="G67" s="452"/>
      <c r="H67" s="452"/>
      <c r="I67" s="452"/>
      <c r="J67" s="452"/>
      <c r="K67" s="452"/>
      <c r="L67" s="452"/>
      <c r="M67" s="452"/>
      <c r="N67" s="452"/>
      <c r="O67" s="455"/>
      <c r="P67" s="453"/>
      <c r="Q67" s="453"/>
      <c r="R67" s="453"/>
      <c r="S67" s="453"/>
    </row>
    <row r="68" spans="1:23" ht="16.350000000000001" hidden="1" customHeight="1" outlineLevel="2" thickBot="1">
      <c r="A68" s="1259"/>
      <c r="B68" s="115" t="s">
        <v>38</v>
      </c>
      <c r="C68" s="112"/>
      <c r="D68" s="112"/>
      <c r="E68" s="112"/>
      <c r="F68" s="112"/>
      <c r="G68" s="112"/>
      <c r="H68" s="112"/>
      <c r="I68" s="112"/>
      <c r="J68" s="112"/>
      <c r="K68" s="112"/>
      <c r="L68" s="112"/>
      <c r="M68" s="112"/>
      <c r="N68" s="112"/>
      <c r="O68" s="113"/>
      <c r="P68" s="48"/>
      <c r="Q68" s="48"/>
      <c r="R68" s="48"/>
      <c r="S68" s="48"/>
    </row>
    <row r="69" spans="1:23" collapsed="1">
      <c r="A69" s="48"/>
      <c r="B69" s="48"/>
      <c r="C69" s="48"/>
      <c r="D69" s="48"/>
      <c r="E69" s="48"/>
      <c r="F69" s="48"/>
      <c r="G69" s="48"/>
      <c r="H69" s="48"/>
      <c r="I69" s="48"/>
      <c r="J69" s="48"/>
      <c r="K69" s="48"/>
      <c r="L69" s="48"/>
      <c r="M69" s="48"/>
      <c r="N69" s="48"/>
      <c r="O69" s="53"/>
      <c r="P69" s="48"/>
      <c r="Q69" s="48"/>
      <c r="R69" s="48"/>
      <c r="S69" s="48"/>
    </row>
    <row r="70" spans="1:23">
      <c r="A70" s="48"/>
      <c r="B70" s="48"/>
      <c r="C70" s="48"/>
      <c r="D70" s="48"/>
      <c r="E70" s="48"/>
      <c r="F70" s="48"/>
      <c r="H70" s="48"/>
      <c r="I70" s="48"/>
      <c r="J70" s="48"/>
      <c r="K70" s="48"/>
      <c r="L70" s="48"/>
      <c r="M70" s="48"/>
      <c r="N70" s="48"/>
      <c r="O70" s="53"/>
      <c r="P70" s="48"/>
      <c r="Q70" s="48"/>
      <c r="R70" s="48"/>
      <c r="S70" s="48"/>
    </row>
    <row r="71" spans="1:23" s="4" customFormat="1" ht="21" hidden="1" thickBot="1">
      <c r="A71" s="91" t="s">
        <v>13</v>
      </c>
      <c r="B71" s="92"/>
      <c r="C71" s="93" t="s">
        <v>24</v>
      </c>
      <c r="D71" s="93" t="s">
        <v>25</v>
      </c>
      <c r="E71" s="93" t="s">
        <v>26</v>
      </c>
      <c r="F71" s="93" t="s">
        <v>27</v>
      </c>
      <c r="G71" s="93" t="s">
        <v>28</v>
      </c>
      <c r="H71" s="93" t="s">
        <v>29</v>
      </c>
      <c r="I71" s="93" t="s">
        <v>30</v>
      </c>
      <c r="J71" s="93" t="s">
        <v>31</v>
      </c>
      <c r="K71" s="93" t="s">
        <v>32</v>
      </c>
      <c r="L71" s="93" t="s">
        <v>33</v>
      </c>
      <c r="M71" s="93" t="s">
        <v>34</v>
      </c>
      <c r="N71" s="93" t="s">
        <v>35</v>
      </c>
      <c r="O71" s="94"/>
      <c r="P71" s="47"/>
      <c r="Q71" s="47"/>
      <c r="R71" s="47"/>
      <c r="S71" s="47"/>
    </row>
    <row r="72" spans="1:23" ht="16.350000000000001" hidden="1" customHeight="1">
      <c r="A72" s="1261">
        <f>Annee1</f>
        <v>2023</v>
      </c>
      <c r="B72" s="95" t="s">
        <v>36</v>
      </c>
      <c r="C72" s="96"/>
      <c r="D72" s="96"/>
      <c r="E72" s="96"/>
      <c r="F72" s="96"/>
      <c r="G72" s="96"/>
      <c r="H72" s="96"/>
      <c r="I72" s="96"/>
      <c r="J72" s="96"/>
      <c r="K72" s="96"/>
      <c r="L72" s="96"/>
      <c r="M72" s="96"/>
      <c r="N72" s="96"/>
      <c r="O72" s="97">
        <v>0</v>
      </c>
      <c r="P72" s="48"/>
      <c r="Q72" s="48"/>
      <c r="R72" s="48"/>
      <c r="S72" s="48"/>
    </row>
    <row r="73" spans="1:23" s="26" customFormat="1" ht="16.350000000000001" hidden="1" customHeight="1">
      <c r="A73" s="1256"/>
      <c r="B73" s="108" t="s">
        <v>42</v>
      </c>
      <c r="C73" s="109"/>
      <c r="D73" s="109"/>
      <c r="E73" s="109"/>
      <c r="F73" s="109"/>
      <c r="G73" s="109"/>
      <c r="H73" s="109"/>
      <c r="I73" s="109"/>
      <c r="J73" s="109"/>
      <c r="K73" s="109"/>
      <c r="L73" s="109"/>
      <c r="M73" s="109"/>
      <c r="N73" s="109"/>
      <c r="O73" s="106"/>
      <c r="P73" s="52"/>
      <c r="Q73" s="52"/>
      <c r="R73" s="52"/>
      <c r="S73" s="52"/>
    </row>
    <row r="74" spans="1:23" s="454" customFormat="1" ht="33" hidden="1" customHeight="1">
      <c r="A74" s="1256"/>
      <c r="B74" s="451" t="s">
        <v>37</v>
      </c>
      <c r="C74" s="458"/>
      <c r="D74" s="458"/>
      <c r="E74" s="458"/>
      <c r="F74" s="458"/>
      <c r="G74" s="458"/>
      <c r="H74" s="458"/>
      <c r="I74" s="458"/>
      <c r="J74" s="456"/>
      <c r="K74" s="456"/>
      <c r="L74" s="456"/>
      <c r="M74" s="456"/>
      <c r="N74" s="456"/>
      <c r="O74" s="460"/>
      <c r="P74" s="453"/>
      <c r="Q74" s="453"/>
      <c r="R74" s="453"/>
      <c r="S74" s="453"/>
    </row>
    <row r="75" spans="1:23" ht="16.350000000000001" hidden="1" customHeight="1">
      <c r="A75" s="1257"/>
      <c r="B75" s="461" t="s">
        <v>3350</v>
      </c>
      <c r="C75" s="99"/>
      <c r="D75" s="99"/>
      <c r="E75" s="99"/>
      <c r="F75" s="99"/>
      <c r="G75" s="99"/>
      <c r="H75" s="99"/>
      <c r="I75" s="116"/>
      <c r="J75" s="116"/>
      <c r="K75" s="99"/>
      <c r="L75" s="99"/>
      <c r="M75" s="99"/>
      <c r="N75" s="99"/>
      <c r="O75" s="117"/>
      <c r="P75" s="48"/>
      <c r="Q75" s="48"/>
      <c r="R75" s="48"/>
      <c r="S75" s="48"/>
    </row>
    <row r="76" spans="1:23" ht="16.350000000000001" hidden="1" customHeight="1">
      <c r="A76" s="1258">
        <f>Annee2</f>
        <v>2024</v>
      </c>
      <c r="B76" s="101" t="s">
        <v>36</v>
      </c>
      <c r="C76" s="102"/>
      <c r="D76" s="102"/>
      <c r="E76" s="102"/>
      <c r="F76" s="102"/>
      <c r="G76" s="102"/>
      <c r="H76" s="102"/>
      <c r="I76" s="102">
        <v>7286.16</v>
      </c>
      <c r="J76" s="102">
        <v>4855.49</v>
      </c>
      <c r="K76" s="102"/>
      <c r="L76" s="102"/>
      <c r="M76" s="102"/>
      <c r="N76" s="102">
        <v>1604.1</v>
      </c>
      <c r="O76" s="103">
        <v>13745.75</v>
      </c>
      <c r="P76" s="48"/>
      <c r="Q76" s="48"/>
      <c r="R76" s="48"/>
      <c r="S76" s="48"/>
    </row>
    <row r="77" spans="1:23" s="30" customFormat="1" ht="16.350000000000001" hidden="1" customHeight="1">
      <c r="A77" s="1256"/>
      <c r="B77" s="118" t="s">
        <v>42</v>
      </c>
      <c r="C77" s="119">
        <v>0</v>
      </c>
      <c r="D77" s="119">
        <v>0</v>
      </c>
      <c r="E77" s="119">
        <v>0</v>
      </c>
      <c r="F77" s="119">
        <v>0</v>
      </c>
      <c r="G77" s="119">
        <v>0</v>
      </c>
      <c r="H77" s="119">
        <v>0</v>
      </c>
      <c r="I77" s="119">
        <v>7286.16</v>
      </c>
      <c r="J77" s="119">
        <v>4855.49</v>
      </c>
      <c r="K77" s="119">
        <v>0</v>
      </c>
      <c r="L77" s="119">
        <v>0</v>
      </c>
      <c r="M77" s="119">
        <v>0</v>
      </c>
      <c r="N77" s="119">
        <v>0</v>
      </c>
      <c r="O77" s="120">
        <v>12141.65</v>
      </c>
      <c r="P77" s="55"/>
      <c r="Q77" s="842"/>
      <c r="R77" s="842"/>
      <c r="S77" s="842"/>
      <c r="T77" s="843"/>
      <c r="U77" s="843"/>
      <c r="V77" s="843"/>
      <c r="W77" s="843"/>
    </row>
    <row r="78" spans="1:23" s="454" customFormat="1" ht="33" hidden="1" customHeight="1">
      <c r="A78" s="1256"/>
      <c r="B78" s="451" t="s">
        <v>37</v>
      </c>
      <c r="C78" s="458"/>
      <c r="D78" s="458"/>
      <c r="E78" s="458"/>
      <c r="F78" s="458"/>
      <c r="G78" s="458"/>
      <c r="H78" s="458"/>
      <c r="I78" s="457" t="s">
        <v>3748</v>
      </c>
      <c r="J78" s="457" t="s">
        <v>3749</v>
      </c>
      <c r="K78" s="458"/>
      <c r="L78" s="458"/>
      <c r="M78" s="458"/>
      <c r="N78" s="458" t="s">
        <v>3750</v>
      </c>
      <c r="O78" s="459" t="s">
        <v>3751</v>
      </c>
      <c r="P78" s="453"/>
      <c r="Q78" s="453"/>
      <c r="R78" s="453"/>
      <c r="S78" s="453"/>
    </row>
    <row r="79" spans="1:23" ht="16.350000000000001" hidden="1" customHeight="1">
      <c r="A79" s="1257"/>
      <c r="B79" s="114" t="s">
        <v>38</v>
      </c>
      <c r="C79" s="107"/>
      <c r="D79" s="107"/>
      <c r="E79" s="107"/>
      <c r="F79" s="107"/>
      <c r="G79" s="107"/>
      <c r="H79" s="107"/>
      <c r="I79" s="107">
        <v>0.22410645161290299</v>
      </c>
      <c r="J79" s="107">
        <v>0.22410645161290299</v>
      </c>
      <c r="K79" s="107"/>
      <c r="L79" s="107"/>
      <c r="M79" s="107"/>
      <c r="N79" s="107">
        <v>0.25806451612903225</v>
      </c>
      <c r="O79" s="100">
        <v>6.0273972602739728E-2</v>
      </c>
      <c r="P79" s="48"/>
      <c r="Q79" s="48"/>
      <c r="R79" s="48"/>
      <c r="S79" s="48"/>
    </row>
    <row r="80" spans="1:23" ht="16.350000000000001" hidden="1" customHeight="1">
      <c r="A80" s="1258">
        <f>Annee3</f>
        <v>2025</v>
      </c>
      <c r="B80" s="101" t="s">
        <v>36</v>
      </c>
      <c r="C80" s="102">
        <v>200.51</v>
      </c>
      <c r="D80" s="102"/>
      <c r="E80" s="102"/>
      <c r="F80" s="102"/>
      <c r="G80" s="102"/>
      <c r="H80" s="102"/>
      <c r="I80" s="102">
        <v>1711.49</v>
      </c>
      <c r="J80" s="102">
        <v>3050.84</v>
      </c>
      <c r="K80" s="102"/>
      <c r="L80" s="102"/>
      <c r="M80" s="102"/>
      <c r="N80" s="102"/>
      <c r="O80" s="103">
        <v>4962.84</v>
      </c>
      <c r="P80" s="48"/>
      <c r="Q80" s="48"/>
      <c r="R80" s="48"/>
      <c r="S80" s="48"/>
    </row>
    <row r="81" spans="1:23" s="30" customFormat="1" ht="16.350000000000001" hidden="1" customHeight="1">
      <c r="A81" s="1256"/>
      <c r="B81" s="118" t="s">
        <v>42</v>
      </c>
      <c r="C81" s="119">
        <v>200.51</v>
      </c>
      <c r="D81" s="119"/>
      <c r="E81" s="119"/>
      <c r="F81" s="119"/>
      <c r="G81" s="119"/>
      <c r="H81" s="119"/>
      <c r="I81" s="119">
        <v>1711.49</v>
      </c>
      <c r="J81" s="119">
        <v>3050.84</v>
      </c>
      <c r="K81" s="119"/>
      <c r="L81" s="119"/>
      <c r="M81" s="119"/>
      <c r="N81" s="119">
        <v>0</v>
      </c>
      <c r="O81" s="120">
        <v>4962.84</v>
      </c>
      <c r="P81" s="55"/>
      <c r="Q81" s="842"/>
      <c r="R81" s="842"/>
      <c r="S81" s="842"/>
      <c r="T81" s="843"/>
      <c r="U81" s="843"/>
      <c r="V81" s="843"/>
      <c r="W81" s="843"/>
    </row>
    <row r="82" spans="1:23" s="454" customFormat="1" ht="33" hidden="1" customHeight="1">
      <c r="A82" s="1256"/>
      <c r="B82" s="451" t="s">
        <v>37</v>
      </c>
      <c r="C82" s="456" t="s">
        <v>3752</v>
      </c>
      <c r="D82" s="458"/>
      <c r="E82" s="458"/>
      <c r="F82" s="458"/>
      <c r="G82" s="458"/>
      <c r="H82" s="458"/>
      <c r="I82" s="458" t="s">
        <v>3753</v>
      </c>
      <c r="J82" s="458" t="s">
        <v>3754</v>
      </c>
      <c r="K82" s="458"/>
      <c r="L82" s="458"/>
      <c r="M82" s="458"/>
      <c r="N82" s="458"/>
      <c r="O82" s="460" t="s">
        <v>3755</v>
      </c>
      <c r="P82" s="453"/>
      <c r="Q82" s="453"/>
      <c r="R82" s="453"/>
      <c r="S82" s="453"/>
    </row>
    <row r="83" spans="1:23" ht="16.350000000000001" hidden="1" customHeight="1">
      <c r="A83" s="1257"/>
      <c r="B83" s="114" t="s">
        <v>38</v>
      </c>
      <c r="C83" s="107">
        <v>3.2241064516129E-2</v>
      </c>
      <c r="D83" s="107"/>
      <c r="E83" s="107"/>
      <c r="F83" s="107"/>
      <c r="G83" s="107"/>
      <c r="H83" s="107"/>
      <c r="I83" s="107">
        <v>0.161290322410645</v>
      </c>
      <c r="J83" s="107">
        <v>0.29032241064516101</v>
      </c>
      <c r="K83" s="107"/>
      <c r="L83" s="107"/>
      <c r="M83" s="107"/>
      <c r="N83" s="107"/>
      <c r="O83" s="100">
        <v>4.1094190410941901E-2</v>
      </c>
      <c r="P83" s="48"/>
      <c r="Q83" s="48"/>
      <c r="R83" s="48"/>
      <c r="S83" s="48"/>
    </row>
    <row r="84" spans="1:23" ht="16.350000000000001" hidden="1" customHeight="1">
      <c r="A84" s="1258">
        <f>IF(Annee4&gt;0,Annee4,"")</f>
        <v>2026</v>
      </c>
      <c r="B84" s="101" t="s">
        <v>36</v>
      </c>
      <c r="C84" s="102"/>
      <c r="D84" s="102"/>
      <c r="E84" s="102"/>
      <c r="F84" s="102"/>
      <c r="G84" s="102"/>
      <c r="H84" s="102"/>
      <c r="I84" s="102"/>
      <c r="J84" s="102"/>
      <c r="K84" s="102"/>
      <c r="L84" s="102"/>
      <c r="M84" s="102"/>
      <c r="N84" s="102"/>
      <c r="O84" s="103">
        <v>0</v>
      </c>
      <c r="P84" s="48"/>
      <c r="Q84" s="48"/>
      <c r="R84" s="48"/>
      <c r="S84" s="48"/>
    </row>
    <row r="85" spans="1:23" s="26" customFormat="1" ht="16.350000000000001" hidden="1" customHeight="1">
      <c r="A85" s="1256"/>
      <c r="B85" s="108" t="s">
        <v>42</v>
      </c>
      <c r="C85" s="109"/>
      <c r="D85" s="109"/>
      <c r="E85" s="109"/>
      <c r="F85" s="109"/>
      <c r="G85" s="109"/>
      <c r="H85" s="109"/>
      <c r="I85" s="109"/>
      <c r="J85" s="109"/>
      <c r="K85" s="109"/>
      <c r="L85" s="109"/>
      <c r="M85" s="109"/>
      <c r="N85" s="109"/>
      <c r="O85" s="106">
        <v>0</v>
      </c>
      <c r="P85" s="52"/>
      <c r="Q85" s="52"/>
      <c r="R85" s="52"/>
      <c r="S85" s="52"/>
    </row>
    <row r="86" spans="1:23" s="454" customFormat="1" ht="33" hidden="1" customHeight="1">
      <c r="A86" s="1256"/>
      <c r="B86" s="451" t="s">
        <v>37</v>
      </c>
      <c r="C86" s="458"/>
      <c r="D86" s="458"/>
      <c r="E86" s="458"/>
      <c r="F86" s="458"/>
      <c r="G86" s="458"/>
      <c r="H86" s="458"/>
      <c r="I86" s="458"/>
      <c r="J86" s="458"/>
      <c r="K86" s="458"/>
      <c r="L86" s="452"/>
      <c r="M86" s="452"/>
      <c r="N86" s="452"/>
      <c r="O86" s="460"/>
      <c r="P86" s="453"/>
      <c r="Q86" s="453"/>
      <c r="R86" s="453"/>
      <c r="S86" s="453"/>
    </row>
    <row r="87" spans="1:23" ht="16.350000000000001" hidden="1" customHeight="1">
      <c r="A87" s="1257"/>
      <c r="B87" s="114" t="s">
        <v>38</v>
      </c>
      <c r="C87" s="107"/>
      <c r="D87" s="107"/>
      <c r="E87" s="107"/>
      <c r="F87" s="107"/>
      <c r="G87" s="107" t="s">
        <v>3756</v>
      </c>
      <c r="H87" s="107" t="s">
        <v>3757</v>
      </c>
      <c r="I87" s="107"/>
      <c r="J87" s="107"/>
      <c r="K87" s="107" t="s">
        <v>3758</v>
      </c>
      <c r="L87" s="107" t="s">
        <v>3759</v>
      </c>
      <c r="M87" s="107" t="s">
        <v>3760</v>
      </c>
      <c r="N87" s="107" t="s">
        <v>3761</v>
      </c>
      <c r="O87" s="100"/>
      <c r="P87" s="48"/>
      <c r="Q87" s="48"/>
      <c r="R87" s="48"/>
      <c r="S87" s="48"/>
    </row>
    <row r="88" spans="1:23" ht="16.350000000000001" hidden="1" customHeight="1">
      <c r="A88" s="1265">
        <f>IF(Annee5&gt;0,Annee5,"")</f>
        <v>2030</v>
      </c>
      <c r="B88" s="101" t="s">
        <v>36</v>
      </c>
      <c r="C88" s="102"/>
      <c r="D88" s="102"/>
      <c r="E88" s="102"/>
      <c r="F88" s="102"/>
      <c r="G88" s="102"/>
      <c r="H88" s="102"/>
      <c r="I88" s="102"/>
      <c r="J88" s="102"/>
      <c r="K88" s="102"/>
      <c r="L88" s="102"/>
      <c r="M88" s="102"/>
      <c r="N88" s="102"/>
      <c r="O88" s="121">
        <v>0</v>
      </c>
      <c r="P88" s="48"/>
      <c r="Q88" s="48"/>
      <c r="R88" s="48"/>
      <c r="S88" s="48"/>
    </row>
    <row r="89" spans="1:23" s="26" customFormat="1" ht="16.350000000000001" hidden="1" customHeight="1">
      <c r="A89" s="1263"/>
      <c r="B89" s="108" t="s">
        <v>42</v>
      </c>
      <c r="C89" s="109"/>
      <c r="D89" s="109"/>
      <c r="E89" s="109"/>
      <c r="F89" s="109"/>
      <c r="G89" s="109"/>
      <c r="H89" s="109"/>
      <c r="I89" s="109"/>
      <c r="J89" s="109"/>
      <c r="K89" s="109"/>
      <c r="L89" s="109"/>
      <c r="M89" s="109"/>
      <c r="N89" s="109"/>
      <c r="O89" s="122">
        <v>0</v>
      </c>
      <c r="P89" s="52"/>
      <c r="Q89" s="52"/>
      <c r="R89" s="52"/>
      <c r="S89" s="52"/>
    </row>
    <row r="90" spans="1:23" s="454" customFormat="1" ht="33" hidden="1" customHeight="1">
      <c r="A90" s="1263"/>
      <c r="B90" s="451" t="s">
        <v>37</v>
      </c>
      <c r="C90" s="462"/>
      <c r="D90" s="462"/>
      <c r="E90" s="462"/>
      <c r="F90" s="462"/>
      <c r="G90" s="462"/>
      <c r="H90" s="462"/>
      <c r="I90" s="462"/>
      <c r="J90" s="462"/>
      <c r="K90" s="462"/>
      <c r="L90" s="462"/>
      <c r="M90" s="462"/>
      <c r="N90" s="462"/>
      <c r="O90" s="452"/>
      <c r="P90" s="453"/>
      <c r="Q90" s="453"/>
      <c r="R90" s="453"/>
      <c r="S90" s="453"/>
    </row>
    <row r="91" spans="1:23" ht="16.350000000000001" hidden="1" customHeight="1">
      <c r="A91" s="1264"/>
      <c r="B91" s="114" t="s">
        <v>38</v>
      </c>
      <c r="C91" s="107" t="s">
        <v>3762</v>
      </c>
      <c r="D91" s="107"/>
      <c r="E91" s="107"/>
      <c r="F91" s="107"/>
      <c r="G91" s="107"/>
      <c r="H91" s="107"/>
      <c r="I91" s="107"/>
      <c r="J91" s="107"/>
      <c r="K91" s="107"/>
      <c r="L91" s="107"/>
      <c r="M91" s="107"/>
      <c r="N91" s="107"/>
      <c r="O91" s="107"/>
      <c r="P91" s="48"/>
      <c r="Q91" s="48"/>
      <c r="R91" s="48"/>
      <c r="S91" s="48"/>
    </row>
    <row r="92" spans="1:23" hidden="1">
      <c r="A92" s="48"/>
      <c r="B92" s="48"/>
      <c r="C92" s="48"/>
      <c r="D92" s="48"/>
      <c r="E92" s="48"/>
      <c r="F92" s="48"/>
      <c r="G92" s="48"/>
      <c r="H92" s="48"/>
      <c r="I92" s="48"/>
      <c r="J92" s="48"/>
      <c r="K92" s="48"/>
      <c r="L92" s="48"/>
      <c r="M92" s="48"/>
      <c r="N92" s="48"/>
      <c r="O92" s="53"/>
      <c r="P92" s="48"/>
      <c r="Q92" s="48"/>
      <c r="R92" s="48"/>
      <c r="S92" s="48"/>
    </row>
    <row r="93" spans="1:23" ht="16.8" thickBot="1">
      <c r="A93" s="48"/>
      <c r="B93" s="48"/>
      <c r="C93" s="48"/>
      <c r="D93" s="48"/>
      <c r="E93" s="48"/>
      <c r="F93" s="48"/>
      <c r="G93" s="48"/>
      <c r="H93" s="48"/>
      <c r="I93" s="48"/>
      <c r="J93" s="48"/>
      <c r="K93" s="48"/>
      <c r="L93" s="48"/>
      <c r="M93" s="48"/>
      <c r="N93" s="48"/>
      <c r="O93" s="53"/>
      <c r="P93" s="48"/>
      <c r="Q93" s="48"/>
      <c r="R93" s="48"/>
      <c r="S93" s="48"/>
    </row>
    <row r="94" spans="1:23" s="4" customFormat="1" ht="27" thickBot="1">
      <c r="A94" s="829" t="s">
        <v>15</v>
      </c>
      <c r="B94" s="92"/>
      <c r="C94" s="93" t="s">
        <v>52</v>
      </c>
      <c r="D94" s="93" t="s">
        <v>53</v>
      </c>
      <c r="E94" s="93" t="s">
        <v>26</v>
      </c>
      <c r="F94" s="93" t="s">
        <v>27</v>
      </c>
      <c r="G94" s="93" t="s">
        <v>28</v>
      </c>
      <c r="H94" s="93" t="s">
        <v>29</v>
      </c>
      <c r="I94" s="93" t="s">
        <v>54</v>
      </c>
      <c r="J94" s="93" t="s">
        <v>55</v>
      </c>
      <c r="K94" s="93" t="s">
        <v>56</v>
      </c>
      <c r="L94" s="93" t="s">
        <v>57</v>
      </c>
      <c r="M94" s="93" t="s">
        <v>58</v>
      </c>
      <c r="N94" s="93" t="s">
        <v>59</v>
      </c>
      <c r="O94" s="94"/>
      <c r="P94" s="47"/>
      <c r="Q94" s="47"/>
      <c r="R94" s="47"/>
      <c r="S94" s="47"/>
    </row>
    <row r="95" spans="1:23" ht="16.350000000000001" hidden="1" customHeight="1" outlineLevel="1">
      <c r="A95" s="1266" t="s">
        <v>44</v>
      </c>
      <c r="B95" s="95" t="s">
        <v>36</v>
      </c>
      <c r="C95" s="96">
        <v>1246.06</v>
      </c>
      <c r="D95" s="96">
        <v>1341.91</v>
      </c>
      <c r="E95" s="96">
        <v>1485.68</v>
      </c>
      <c r="F95" s="96">
        <v>1437.76</v>
      </c>
      <c r="G95" s="96">
        <v>1485.68</v>
      </c>
      <c r="H95" s="96">
        <v>1437.76</v>
      </c>
      <c r="I95" s="96">
        <v>479.25</v>
      </c>
      <c r="J95" s="96">
        <v>1682.24</v>
      </c>
      <c r="K95" s="96">
        <v>1062.46</v>
      </c>
      <c r="L95" s="96">
        <v>1470.1</v>
      </c>
      <c r="M95" s="96">
        <v>1476.77</v>
      </c>
      <c r="N95" s="96">
        <v>2196.19</v>
      </c>
      <c r="O95" s="97">
        <v>16801.84</v>
      </c>
      <c r="P95" s="48"/>
      <c r="Q95" s="48"/>
      <c r="R95" s="48"/>
      <c r="S95" s="48"/>
    </row>
    <row r="96" spans="1:23" s="26" customFormat="1" ht="16.350000000000001" hidden="1" customHeight="1" outlineLevel="1">
      <c r="A96" s="1256"/>
      <c r="B96" s="108" t="s">
        <v>42</v>
      </c>
      <c r="C96" s="109"/>
      <c r="D96" s="109"/>
      <c r="E96" s="109"/>
      <c r="F96" s="109"/>
      <c r="G96" s="109"/>
      <c r="H96" s="109"/>
      <c r="I96" s="109"/>
      <c r="J96" s="109"/>
      <c r="K96" s="109"/>
      <c r="L96" s="109"/>
      <c r="M96" s="109"/>
      <c r="N96" s="109"/>
      <c r="O96" s="106"/>
      <c r="P96" s="52"/>
      <c r="Q96" s="52"/>
      <c r="R96" s="52"/>
      <c r="S96" s="52"/>
    </row>
    <row r="97" spans="1:23" s="454" customFormat="1" ht="33" hidden="1" customHeight="1" outlineLevel="1">
      <c r="A97" s="1256"/>
      <c r="B97" s="451" t="s">
        <v>37</v>
      </c>
      <c r="C97" s="464" t="s">
        <v>3855</v>
      </c>
      <c r="D97" s="464" t="s">
        <v>3856</v>
      </c>
      <c r="E97" s="464" t="s">
        <v>3856</v>
      </c>
      <c r="F97" s="464" t="s">
        <v>3856</v>
      </c>
      <c r="G97" s="464" t="s">
        <v>3856</v>
      </c>
      <c r="H97" s="464" t="s">
        <v>3856</v>
      </c>
      <c r="I97" s="464" t="s">
        <v>3856</v>
      </c>
      <c r="J97" s="456" t="s">
        <v>3857</v>
      </c>
      <c r="K97" s="456" t="s">
        <v>3858</v>
      </c>
      <c r="L97" s="456" t="s">
        <v>3859</v>
      </c>
      <c r="M97" s="456" t="s">
        <v>3860</v>
      </c>
      <c r="N97" s="456" t="s">
        <v>3861</v>
      </c>
      <c r="O97" s="459" t="s">
        <v>3862</v>
      </c>
      <c r="P97" s="453"/>
      <c r="Q97" s="453"/>
      <c r="R97" s="453"/>
      <c r="S97" s="453"/>
    </row>
    <row r="98" spans="1:23" s="27" customFormat="1" ht="16.350000000000001" hidden="1" customHeight="1" outlineLevel="1">
      <c r="A98" s="1257"/>
      <c r="B98" s="98" t="s">
        <v>38</v>
      </c>
      <c r="C98" s="99">
        <v>0.83870967741935487</v>
      </c>
      <c r="D98" s="99">
        <v>1</v>
      </c>
      <c r="E98" s="99">
        <v>1</v>
      </c>
      <c r="F98" s="99">
        <v>1</v>
      </c>
      <c r="G98" s="99">
        <v>1</v>
      </c>
      <c r="H98" s="99">
        <v>1</v>
      </c>
      <c r="I98" s="99">
        <v>0.32258064516129031</v>
      </c>
      <c r="J98" s="99">
        <v>0.61290322580645162</v>
      </c>
      <c r="K98" s="99">
        <v>0.4</v>
      </c>
      <c r="L98" s="99">
        <v>0.967741935483871</v>
      </c>
      <c r="M98" s="99">
        <v>0.66666666666666663</v>
      </c>
      <c r="N98" s="99">
        <v>0.967741935483871</v>
      </c>
      <c r="O98" s="100">
        <v>0.81369863013698629</v>
      </c>
      <c r="P98" s="49"/>
      <c r="Q98" s="488"/>
      <c r="R98" s="488"/>
      <c r="S98" s="488"/>
      <c r="T98" s="489"/>
      <c r="U98" s="489"/>
      <c r="V98" s="489"/>
      <c r="W98" s="489"/>
    </row>
    <row r="99" spans="1:23" ht="16.350000000000001" hidden="1" customHeight="1" outlineLevel="1">
      <c r="A99" s="1260" t="s">
        <v>46</v>
      </c>
      <c r="B99" s="101" t="s">
        <v>36</v>
      </c>
      <c r="C99" s="102">
        <v>1890.52</v>
      </c>
      <c r="D99" s="102">
        <v>1736.23</v>
      </c>
      <c r="E99" s="102">
        <v>2070.12</v>
      </c>
      <c r="F99" s="102">
        <v>2003.35</v>
      </c>
      <c r="G99" s="102">
        <v>1633.87</v>
      </c>
      <c r="H99" s="102">
        <v>1938.56</v>
      </c>
      <c r="I99" s="102">
        <v>1971.1</v>
      </c>
      <c r="J99" s="102">
        <v>1075.1400000000001</v>
      </c>
      <c r="K99" s="102">
        <v>1730.86</v>
      </c>
      <c r="L99" s="102">
        <v>2194.5500000000002</v>
      </c>
      <c r="M99" s="102">
        <v>1631.43</v>
      </c>
      <c r="N99" s="102">
        <v>1715.91</v>
      </c>
      <c r="O99" s="103">
        <v>21591.64</v>
      </c>
      <c r="P99" s="48"/>
      <c r="Q99" s="48"/>
      <c r="R99" s="48"/>
      <c r="S99" s="48"/>
    </row>
    <row r="100" spans="1:23" s="29" customFormat="1" ht="16.350000000000001" hidden="1" customHeight="1" outlineLevel="1">
      <c r="A100" s="1256"/>
      <c r="B100" s="123" t="s">
        <v>42</v>
      </c>
      <c r="C100" s="109">
        <v>1891</v>
      </c>
      <c r="D100" s="109">
        <v>2079</v>
      </c>
      <c r="E100" s="109">
        <v>2479</v>
      </c>
      <c r="F100" s="109">
        <v>2319</v>
      </c>
      <c r="G100" s="109">
        <v>565</v>
      </c>
      <c r="H100" s="109">
        <v>1939</v>
      </c>
      <c r="I100" s="109">
        <v>1828</v>
      </c>
      <c r="J100" s="109">
        <v>1500</v>
      </c>
      <c r="K100" s="109">
        <v>2000</v>
      </c>
      <c r="L100" s="109">
        <v>2000</v>
      </c>
      <c r="M100" s="109">
        <v>2000</v>
      </c>
      <c r="N100" s="109">
        <v>2000</v>
      </c>
      <c r="O100" s="106">
        <v>22600</v>
      </c>
      <c r="P100" s="54"/>
      <c r="Q100" s="840"/>
      <c r="R100" s="840"/>
      <c r="S100" s="840"/>
      <c r="T100" s="841"/>
      <c r="U100" s="841"/>
      <c r="V100" s="841"/>
      <c r="W100" s="841"/>
    </row>
    <row r="101" spans="1:23" s="454" customFormat="1" ht="33" hidden="1" customHeight="1" outlineLevel="1">
      <c r="A101" s="1256"/>
      <c r="B101" s="451" t="s">
        <v>37</v>
      </c>
      <c r="C101" s="457" t="s">
        <v>3863</v>
      </c>
      <c r="D101" s="457" t="s">
        <v>3864</v>
      </c>
      <c r="E101" s="457" t="s">
        <v>3865</v>
      </c>
      <c r="F101" s="457" t="s">
        <v>3865</v>
      </c>
      <c r="G101" s="457" t="s">
        <v>3866</v>
      </c>
      <c r="H101" s="457" t="s">
        <v>3867</v>
      </c>
      <c r="I101" s="457" t="s">
        <v>3868</v>
      </c>
      <c r="J101" s="457" t="s">
        <v>3869</v>
      </c>
      <c r="K101" s="457" t="s">
        <v>3870</v>
      </c>
      <c r="L101" s="457" t="s">
        <v>3871</v>
      </c>
      <c r="M101" s="458" t="s">
        <v>3872</v>
      </c>
      <c r="N101" s="458" t="s">
        <v>3873</v>
      </c>
      <c r="O101" s="459" t="s">
        <v>3874</v>
      </c>
      <c r="P101" s="453"/>
      <c r="Q101" s="453"/>
      <c r="R101" s="453"/>
      <c r="S101" s="453"/>
    </row>
    <row r="102" spans="1:23" ht="16.350000000000001" hidden="1" customHeight="1" outlineLevel="1">
      <c r="A102" s="1257"/>
      <c r="B102" s="114" t="s">
        <v>38</v>
      </c>
      <c r="C102" s="99">
        <v>0.90322580645161288</v>
      </c>
      <c r="D102" s="99">
        <v>0.89655172413793105</v>
      </c>
      <c r="E102" s="99">
        <v>1</v>
      </c>
      <c r="F102" s="99">
        <v>1</v>
      </c>
      <c r="G102" s="99">
        <v>0.74193548387096775</v>
      </c>
      <c r="H102" s="99">
        <v>0.8</v>
      </c>
      <c r="I102" s="99">
        <v>0.70967741935483875</v>
      </c>
      <c r="J102" s="99">
        <v>0.38709677419354838</v>
      </c>
      <c r="K102" s="99">
        <v>0.7</v>
      </c>
      <c r="L102" s="99">
        <v>1</v>
      </c>
      <c r="M102" s="99">
        <v>0.8666666666666667</v>
      </c>
      <c r="N102" s="99">
        <v>1</v>
      </c>
      <c r="O102" s="100">
        <v>0.83561643835616439</v>
      </c>
      <c r="P102" s="48"/>
      <c r="Q102" s="48"/>
      <c r="R102" s="48"/>
      <c r="S102" s="48"/>
    </row>
    <row r="103" spans="1:23" ht="16.350000000000001" customHeight="1" collapsed="1">
      <c r="A103" s="1260" t="s">
        <v>48</v>
      </c>
      <c r="B103" s="101" t="s">
        <v>36</v>
      </c>
      <c r="C103" s="102">
        <v>1775.15</v>
      </c>
      <c r="D103" s="102">
        <v>117.94</v>
      </c>
      <c r="E103" s="102">
        <v>1817.67</v>
      </c>
      <c r="F103" s="102">
        <v>1758.88</v>
      </c>
      <c r="G103" s="102">
        <v>1986.76</v>
      </c>
      <c r="H103" s="102">
        <v>1501.13</v>
      </c>
      <c r="I103" s="102">
        <v>1711.48</v>
      </c>
      <c r="J103" s="102">
        <v>1715.22</v>
      </c>
      <c r="K103" s="102">
        <v>1715.5</v>
      </c>
      <c r="L103" s="102">
        <v>1717.86</v>
      </c>
      <c r="M103" s="102">
        <v>1767.68</v>
      </c>
      <c r="N103" s="102">
        <v>117.85</v>
      </c>
      <c r="O103" s="103">
        <v>17703.099999999999</v>
      </c>
      <c r="P103" s="48"/>
      <c r="Q103" s="48"/>
      <c r="R103" s="48"/>
      <c r="S103" s="48"/>
    </row>
    <row r="104" spans="1:23" s="29" customFormat="1" ht="16.350000000000001" customHeight="1">
      <c r="A104" s="1256"/>
      <c r="B104" s="123" t="s">
        <v>42</v>
      </c>
      <c r="C104" s="109">
        <v>1775</v>
      </c>
      <c r="D104" s="109">
        <v>117</v>
      </c>
      <c r="E104" s="109">
        <v>1817</v>
      </c>
      <c r="F104" s="109">
        <v>1758</v>
      </c>
      <c r="G104" s="109">
        <v>1985</v>
      </c>
      <c r="H104" s="109">
        <v>1501</v>
      </c>
      <c r="I104" s="109">
        <v>1711</v>
      </c>
      <c r="J104" s="109">
        <v>1715</v>
      </c>
      <c r="K104" s="109">
        <v>1715</v>
      </c>
      <c r="L104" s="109">
        <v>1717</v>
      </c>
      <c r="M104" s="109">
        <v>1768</v>
      </c>
      <c r="N104" s="109">
        <v>117.85</v>
      </c>
      <c r="O104" s="106">
        <v>17696.849999999999</v>
      </c>
      <c r="P104" s="54"/>
      <c r="Q104" s="840"/>
      <c r="R104" s="840"/>
      <c r="S104" s="840"/>
      <c r="T104" s="841"/>
      <c r="U104" s="841"/>
      <c r="V104" s="841"/>
      <c r="W104" s="841"/>
    </row>
    <row r="105" spans="1:23" s="454" customFormat="1" ht="33" customHeight="1">
      <c r="A105" s="1256"/>
      <c r="B105" s="451" t="s">
        <v>37</v>
      </c>
      <c r="C105" s="456" t="s">
        <v>3875</v>
      </c>
      <c r="D105" s="458" t="s">
        <v>3876</v>
      </c>
      <c r="E105" s="458" t="s">
        <v>3877</v>
      </c>
      <c r="F105" s="458" t="s">
        <v>3878</v>
      </c>
      <c r="G105" s="458" t="s">
        <v>3879</v>
      </c>
      <c r="H105" s="458" t="s">
        <v>3880</v>
      </c>
      <c r="I105" s="458" t="s">
        <v>3881</v>
      </c>
      <c r="J105" s="458" t="s">
        <v>3882</v>
      </c>
      <c r="K105" s="458" t="s">
        <v>3877</v>
      </c>
      <c r="L105" s="458" t="s">
        <v>3883</v>
      </c>
      <c r="M105" s="458" t="s">
        <v>3877</v>
      </c>
      <c r="N105" s="458" t="s">
        <v>3877</v>
      </c>
      <c r="O105" s="460" t="s">
        <v>3905</v>
      </c>
      <c r="P105" s="453"/>
      <c r="Q105" s="453"/>
      <c r="R105" s="453"/>
      <c r="S105" s="453"/>
    </row>
    <row r="106" spans="1:23" ht="16.350000000000001" customHeight="1">
      <c r="A106" s="1257"/>
      <c r="B106" s="114" t="s">
        <v>38</v>
      </c>
      <c r="C106" s="107">
        <v>0.967741935483871</v>
      </c>
      <c r="D106" s="107">
        <v>7.1428571428571425E-2</v>
      </c>
      <c r="E106" s="107">
        <v>1</v>
      </c>
      <c r="F106" s="107">
        <v>1</v>
      </c>
      <c r="G106" s="107">
        <v>1</v>
      </c>
      <c r="H106" s="107">
        <v>0.96666666666666667</v>
      </c>
      <c r="I106" s="107">
        <v>0.93548387096774188</v>
      </c>
      <c r="J106" s="107">
        <v>0.93548387096774188</v>
      </c>
      <c r="K106" s="107">
        <v>0.96666666666666667</v>
      </c>
      <c r="L106" s="107">
        <v>1</v>
      </c>
      <c r="M106" s="107">
        <v>1</v>
      </c>
      <c r="N106" s="107">
        <v>6.4516129032258063E-2</v>
      </c>
      <c r="O106" s="100">
        <v>0.83013698630136989</v>
      </c>
      <c r="P106" s="48"/>
      <c r="Q106" s="48"/>
      <c r="R106" s="48"/>
      <c r="S106" s="48"/>
    </row>
    <row r="107" spans="1:23" ht="16.350000000000001" customHeight="1">
      <c r="A107" s="1260" t="s">
        <v>1054</v>
      </c>
      <c r="B107" s="101" t="s">
        <v>36</v>
      </c>
      <c r="C107" s="102">
        <v>1529.7</v>
      </c>
      <c r="D107" s="102">
        <v>1784.66</v>
      </c>
      <c r="E107" s="102">
        <v>1975.87</v>
      </c>
      <c r="F107" s="102">
        <v>1912.13</v>
      </c>
      <c r="G107" s="102">
        <v>1848.39</v>
      </c>
      <c r="H107" s="102">
        <v>1341.01</v>
      </c>
      <c r="I107" s="102">
        <v>2186.2199999999998</v>
      </c>
      <c r="J107" s="102">
        <v>2191.0700000000002</v>
      </c>
      <c r="K107" s="102">
        <v>1272.23</v>
      </c>
      <c r="L107" s="102"/>
      <c r="M107" s="102"/>
      <c r="N107" s="102"/>
      <c r="O107" s="103">
        <v>16041.28</v>
      </c>
      <c r="P107" s="48"/>
      <c r="Q107" s="48"/>
      <c r="R107" s="48"/>
      <c r="S107" s="48"/>
    </row>
    <row r="108" spans="1:23" s="26" customFormat="1" ht="16.350000000000001" customHeight="1">
      <c r="A108" s="1256"/>
      <c r="B108" s="108" t="s">
        <v>42</v>
      </c>
      <c r="C108" s="109">
        <v>1500</v>
      </c>
      <c r="D108" s="109">
        <v>1500</v>
      </c>
      <c r="E108" s="109">
        <v>1500</v>
      </c>
      <c r="F108" s="109">
        <v>1500</v>
      </c>
      <c r="G108" s="109">
        <v>1500</v>
      </c>
      <c r="H108" s="109">
        <v>1500</v>
      </c>
      <c r="I108" s="109">
        <v>1500</v>
      </c>
      <c r="J108" s="109">
        <v>1500</v>
      </c>
      <c r="K108" s="109">
        <v>1500</v>
      </c>
      <c r="L108" s="109">
        <v>1500</v>
      </c>
      <c r="M108" s="109">
        <v>1500</v>
      </c>
      <c r="N108" s="109">
        <v>1500</v>
      </c>
      <c r="O108" s="106">
        <v>18000</v>
      </c>
      <c r="P108" s="52"/>
      <c r="Q108" s="52"/>
      <c r="R108" s="52"/>
      <c r="S108" s="52"/>
    </row>
    <row r="109" spans="1:23" s="454" customFormat="1" ht="33" customHeight="1">
      <c r="A109" s="1256"/>
      <c r="B109" s="451" t="s">
        <v>37</v>
      </c>
      <c r="C109" s="458" t="s">
        <v>3884</v>
      </c>
      <c r="D109" s="458" t="s">
        <v>3885</v>
      </c>
      <c r="E109" s="458" t="s">
        <v>3885</v>
      </c>
      <c r="F109" s="458" t="s">
        <v>3885</v>
      </c>
      <c r="G109" s="458" t="s">
        <v>3885</v>
      </c>
      <c r="H109" s="458" t="s">
        <v>3886</v>
      </c>
      <c r="I109" s="458" t="s">
        <v>3887</v>
      </c>
      <c r="J109" s="458" t="s">
        <v>3888</v>
      </c>
      <c r="K109" s="458" t="s">
        <v>3888</v>
      </c>
      <c r="L109" s="452"/>
      <c r="M109" s="452"/>
      <c r="N109" s="452"/>
      <c r="O109" s="460" t="s">
        <v>3889</v>
      </c>
      <c r="P109" s="453"/>
      <c r="Q109" s="453"/>
      <c r="R109" s="453"/>
      <c r="S109" s="453"/>
    </row>
    <row r="110" spans="1:23" ht="16.350000000000001" customHeight="1">
      <c r="A110" s="1257"/>
      <c r="B110" s="114" t="s">
        <v>38</v>
      </c>
      <c r="C110" s="107">
        <v>0.77419354838709675</v>
      </c>
      <c r="D110" s="107">
        <v>1</v>
      </c>
      <c r="E110" s="107">
        <v>1</v>
      </c>
      <c r="F110" s="107">
        <v>1</v>
      </c>
      <c r="G110" s="107">
        <v>0.93548387096774188</v>
      </c>
      <c r="H110" s="107">
        <v>0.46666666666666667</v>
      </c>
      <c r="I110" s="107">
        <v>1</v>
      </c>
      <c r="J110" s="107">
        <v>1</v>
      </c>
      <c r="K110" s="107">
        <v>0.6</v>
      </c>
      <c r="L110" s="107"/>
      <c r="M110" s="107"/>
      <c r="N110" s="107"/>
      <c r="O110" s="100">
        <v>0.64657534246575343</v>
      </c>
      <c r="P110" s="48"/>
      <c r="Q110" s="48"/>
      <c r="R110" s="48"/>
      <c r="S110" s="48"/>
    </row>
    <row r="111" spans="1:23" ht="16.350000000000001" hidden="1" customHeight="1" outlineLevel="2">
      <c r="A111" s="1262" t="s">
        <v>1603</v>
      </c>
      <c r="B111" s="101" t="s">
        <v>36</v>
      </c>
      <c r="C111" s="102"/>
      <c r="D111" s="102"/>
      <c r="E111" s="102"/>
      <c r="F111" s="102"/>
      <c r="G111" s="102"/>
      <c r="H111" s="102"/>
      <c r="I111" s="102"/>
      <c r="J111" s="102"/>
      <c r="K111" s="102"/>
      <c r="L111" s="102"/>
      <c r="M111" s="102"/>
      <c r="N111" s="102"/>
      <c r="O111" s="121">
        <v>0</v>
      </c>
      <c r="P111" s="48"/>
      <c r="Q111" s="48"/>
      <c r="R111" s="48"/>
      <c r="S111" s="48"/>
    </row>
    <row r="112" spans="1:23" s="26" customFormat="1" ht="16.350000000000001" hidden="1" customHeight="1" outlineLevel="2">
      <c r="A112" s="1263"/>
      <c r="B112" s="108" t="s">
        <v>42</v>
      </c>
      <c r="C112" s="109">
        <v>1500</v>
      </c>
      <c r="D112" s="109">
        <v>1500</v>
      </c>
      <c r="E112" s="109">
        <v>1500</v>
      </c>
      <c r="F112" s="109">
        <v>1500</v>
      </c>
      <c r="G112" s="109">
        <v>1500</v>
      </c>
      <c r="H112" s="109">
        <v>1500</v>
      </c>
      <c r="I112" s="109">
        <v>1500</v>
      </c>
      <c r="J112" s="109">
        <v>1500</v>
      </c>
      <c r="K112" s="109">
        <v>1500</v>
      </c>
      <c r="L112" s="109">
        <v>1500</v>
      </c>
      <c r="M112" s="109">
        <v>1500</v>
      </c>
      <c r="N112" s="109">
        <v>1500</v>
      </c>
      <c r="O112" s="122">
        <v>18000</v>
      </c>
      <c r="P112" s="52"/>
      <c r="Q112" s="52"/>
      <c r="R112" s="52"/>
      <c r="S112" s="52"/>
    </row>
    <row r="113" spans="1:23" s="454" customFormat="1" ht="33" hidden="1" customHeight="1" outlineLevel="2">
      <c r="A113" s="1263"/>
      <c r="B113" s="451" t="s">
        <v>37</v>
      </c>
      <c r="C113" s="462"/>
      <c r="D113" s="462"/>
      <c r="E113" s="462"/>
      <c r="F113" s="817"/>
      <c r="G113" s="817"/>
      <c r="H113" s="817"/>
      <c r="I113" s="462"/>
      <c r="J113" s="462"/>
      <c r="K113" s="462"/>
      <c r="L113" s="462"/>
      <c r="M113" s="462"/>
      <c r="N113" s="462"/>
      <c r="O113" s="458"/>
      <c r="P113" s="453"/>
      <c r="Q113" s="453"/>
      <c r="R113" s="453"/>
      <c r="S113" s="453"/>
    </row>
    <row r="114" spans="1:23" ht="16.350000000000001" hidden="1" customHeight="1" outlineLevel="2">
      <c r="A114" s="1264"/>
      <c r="B114" s="114" t="s">
        <v>38</v>
      </c>
      <c r="C114" s="107"/>
      <c r="D114" s="107"/>
      <c r="E114" s="107"/>
      <c r="F114" s="107"/>
      <c r="G114" s="107"/>
      <c r="H114" s="107"/>
      <c r="I114" s="107"/>
      <c r="J114" s="107"/>
      <c r="K114" s="107"/>
      <c r="L114" s="107"/>
      <c r="M114" s="107"/>
      <c r="N114" s="107"/>
      <c r="O114" s="107"/>
      <c r="P114" s="48"/>
      <c r="Q114" s="48"/>
      <c r="R114" s="48"/>
      <c r="S114" s="48"/>
    </row>
    <row r="115" spans="1:23" ht="16.350000000000001" hidden="1" customHeight="1" outlineLevel="2">
      <c r="A115" s="1260" t="s">
        <v>1604</v>
      </c>
      <c r="B115" s="101" t="s">
        <v>36</v>
      </c>
      <c r="C115" s="102"/>
      <c r="D115" s="102"/>
      <c r="E115" s="102"/>
      <c r="F115" s="102"/>
      <c r="G115" s="102"/>
      <c r="H115" s="102"/>
      <c r="I115" s="102"/>
      <c r="J115" s="102"/>
      <c r="K115" s="102"/>
      <c r="L115" s="102"/>
      <c r="M115" s="102"/>
      <c r="N115" s="102"/>
      <c r="O115" s="103">
        <v>0</v>
      </c>
      <c r="P115" s="48"/>
      <c r="Q115" s="48"/>
      <c r="R115" s="48"/>
      <c r="S115" s="48"/>
    </row>
    <row r="116" spans="1:23" s="29" customFormat="1" ht="16.350000000000001" hidden="1" customHeight="1" outlineLevel="2">
      <c r="A116" s="1256"/>
      <c r="B116" s="123" t="s">
        <v>42</v>
      </c>
      <c r="C116" s="109">
        <v>1500</v>
      </c>
      <c r="D116" s="109">
        <v>1500</v>
      </c>
      <c r="E116" s="109">
        <v>1500</v>
      </c>
      <c r="F116" s="109">
        <v>1500</v>
      </c>
      <c r="G116" s="109">
        <v>1500</v>
      </c>
      <c r="H116" s="109">
        <v>1500</v>
      </c>
      <c r="I116" s="109">
        <v>1500</v>
      </c>
      <c r="J116" s="109">
        <v>1500</v>
      </c>
      <c r="K116" s="109">
        <v>1500</v>
      </c>
      <c r="L116" s="109">
        <v>1500</v>
      </c>
      <c r="M116" s="109">
        <v>1500</v>
      </c>
      <c r="N116" s="109">
        <v>1500</v>
      </c>
      <c r="O116" s="106">
        <v>18000</v>
      </c>
      <c r="P116" s="54"/>
      <c r="Q116" s="840"/>
      <c r="R116" s="840"/>
      <c r="S116" s="840"/>
      <c r="T116" s="841"/>
      <c r="U116" s="841"/>
      <c r="V116" s="841"/>
      <c r="W116" s="841"/>
    </row>
    <row r="117" spans="1:23" s="454" customFormat="1" ht="33" hidden="1" customHeight="1" outlineLevel="2">
      <c r="A117" s="1256"/>
      <c r="B117" s="451" t="s">
        <v>37</v>
      </c>
      <c r="C117" s="456"/>
      <c r="D117" s="458"/>
      <c r="E117" s="458"/>
      <c r="F117" s="458"/>
      <c r="G117" s="458"/>
      <c r="H117" s="458"/>
      <c r="I117" s="458"/>
      <c r="J117" s="458"/>
      <c r="K117" s="458"/>
      <c r="L117" s="458"/>
      <c r="M117" s="458"/>
      <c r="N117" s="458"/>
      <c r="O117" s="460"/>
      <c r="P117" s="453"/>
      <c r="Q117" s="453"/>
      <c r="R117" s="453"/>
      <c r="S117" s="453"/>
    </row>
    <row r="118" spans="1:23" ht="16.350000000000001" hidden="1" customHeight="1" outlineLevel="2">
      <c r="A118" s="1257"/>
      <c r="B118" s="114" t="s">
        <v>38</v>
      </c>
      <c r="C118" s="107"/>
      <c r="D118" s="107"/>
      <c r="E118" s="107"/>
      <c r="F118" s="107"/>
      <c r="G118" s="107"/>
      <c r="H118" s="107"/>
      <c r="I118" s="107"/>
      <c r="J118" s="107"/>
      <c r="K118" s="107"/>
      <c r="L118" s="107"/>
      <c r="M118" s="107"/>
      <c r="N118" s="107"/>
      <c r="O118" s="100"/>
      <c r="P118" s="48"/>
      <c r="Q118" s="48"/>
      <c r="R118" s="48"/>
      <c r="S118" s="48"/>
    </row>
    <row r="119" spans="1:23" ht="16.350000000000001" hidden="1" customHeight="1" outlineLevel="2">
      <c r="A119" s="1260" t="s">
        <v>1701</v>
      </c>
      <c r="B119" s="101" t="s">
        <v>36</v>
      </c>
      <c r="C119" s="102"/>
      <c r="D119" s="102"/>
      <c r="E119" s="102"/>
      <c r="F119" s="102"/>
      <c r="G119" s="102"/>
      <c r="H119" s="102"/>
      <c r="I119" s="102"/>
      <c r="J119" s="102"/>
      <c r="K119" s="102"/>
      <c r="L119" s="102"/>
      <c r="M119" s="102"/>
      <c r="N119" s="102"/>
      <c r="O119" s="103">
        <v>0</v>
      </c>
      <c r="P119" s="48"/>
      <c r="Q119" s="48"/>
      <c r="R119" s="48"/>
      <c r="S119" s="48"/>
    </row>
    <row r="120" spans="1:23" s="26" customFormat="1" ht="16.350000000000001" hidden="1" customHeight="1" outlineLevel="2">
      <c r="A120" s="1256"/>
      <c r="B120" s="108" t="s">
        <v>42</v>
      </c>
      <c r="C120" s="109">
        <v>1500</v>
      </c>
      <c r="D120" s="109">
        <v>1500</v>
      </c>
      <c r="E120" s="109">
        <v>1500</v>
      </c>
      <c r="F120" s="109">
        <v>1500</v>
      </c>
      <c r="G120" s="109">
        <v>1500</v>
      </c>
      <c r="H120" s="109">
        <v>1500</v>
      </c>
      <c r="I120" s="109">
        <v>1500</v>
      </c>
      <c r="J120" s="109">
        <v>1500</v>
      </c>
      <c r="K120" s="109">
        <v>1500</v>
      </c>
      <c r="L120" s="109">
        <v>1500</v>
      </c>
      <c r="M120" s="109">
        <v>1500</v>
      </c>
      <c r="N120" s="109">
        <v>1500</v>
      </c>
      <c r="O120" s="106">
        <v>18000</v>
      </c>
      <c r="P120" s="52"/>
      <c r="Q120" s="52"/>
      <c r="R120" s="52"/>
      <c r="S120" s="52"/>
    </row>
    <row r="121" spans="1:23" s="454" customFormat="1" ht="33" hidden="1" customHeight="1" outlineLevel="2">
      <c r="A121" s="1256"/>
      <c r="B121" s="451" t="s">
        <v>37</v>
      </c>
      <c r="C121" s="458"/>
      <c r="D121" s="458"/>
      <c r="E121" s="458"/>
      <c r="F121" s="458"/>
      <c r="G121" s="458"/>
      <c r="H121" s="458"/>
      <c r="I121" s="458"/>
      <c r="J121" s="458"/>
      <c r="K121" s="458"/>
      <c r="L121" s="452"/>
      <c r="M121" s="452"/>
      <c r="N121" s="452"/>
      <c r="O121" s="460"/>
      <c r="P121" s="453"/>
      <c r="Q121" s="453"/>
      <c r="R121" s="453"/>
      <c r="S121" s="453"/>
    </row>
    <row r="122" spans="1:23" ht="16.350000000000001" hidden="1" customHeight="1" outlineLevel="2">
      <c r="A122" s="1257"/>
      <c r="B122" s="114" t="s">
        <v>38</v>
      </c>
      <c r="C122" s="107"/>
      <c r="D122" s="107"/>
      <c r="E122" s="107"/>
      <c r="F122" s="107"/>
      <c r="G122" s="107"/>
      <c r="H122" s="107"/>
      <c r="I122" s="107"/>
      <c r="J122" s="107"/>
      <c r="K122" s="107"/>
      <c r="L122" s="107"/>
      <c r="M122" s="107"/>
      <c r="N122" s="107"/>
      <c r="O122" s="100"/>
      <c r="P122" s="48"/>
      <c r="Q122" s="48"/>
      <c r="R122" s="48"/>
      <c r="S122" s="48"/>
    </row>
    <row r="123" spans="1:23" ht="16.350000000000001" hidden="1" customHeight="1" outlineLevel="2">
      <c r="A123" s="1262" t="s">
        <v>1605</v>
      </c>
      <c r="B123" s="101" t="s">
        <v>36</v>
      </c>
      <c r="C123" s="102"/>
      <c r="D123" s="102"/>
      <c r="E123" s="102"/>
      <c r="F123" s="102"/>
      <c r="G123" s="102"/>
      <c r="H123" s="102"/>
      <c r="I123" s="102"/>
      <c r="J123" s="102"/>
      <c r="K123" s="102"/>
      <c r="L123" s="102"/>
      <c r="M123" s="102"/>
      <c r="N123" s="102"/>
      <c r="O123" s="121">
        <v>0</v>
      </c>
      <c r="P123" s="48"/>
      <c r="Q123" s="48"/>
      <c r="R123" s="48"/>
      <c r="S123" s="48"/>
    </row>
    <row r="124" spans="1:23" s="26" customFormat="1" ht="16.350000000000001" hidden="1" customHeight="1" outlineLevel="2">
      <c r="A124" s="1263"/>
      <c r="B124" s="108" t="s">
        <v>42</v>
      </c>
      <c r="C124" s="109">
        <v>1500</v>
      </c>
      <c r="D124" s="109">
        <v>1500</v>
      </c>
      <c r="E124" s="109">
        <v>1500</v>
      </c>
      <c r="F124" s="109">
        <v>1500</v>
      </c>
      <c r="G124" s="109">
        <v>1500</v>
      </c>
      <c r="H124" s="109">
        <v>1500</v>
      </c>
      <c r="I124" s="109">
        <v>1500</v>
      </c>
      <c r="J124" s="109">
        <v>1500</v>
      </c>
      <c r="K124" s="109">
        <v>1500</v>
      </c>
      <c r="L124" s="109">
        <v>1500</v>
      </c>
      <c r="M124" s="109">
        <v>1500</v>
      </c>
      <c r="N124" s="109">
        <v>1500</v>
      </c>
      <c r="O124" s="122">
        <v>18000</v>
      </c>
      <c r="P124" s="52"/>
      <c r="Q124" s="52"/>
      <c r="R124" s="52"/>
      <c r="S124" s="52"/>
    </row>
    <row r="125" spans="1:23" s="454" customFormat="1" ht="33" hidden="1" customHeight="1" outlineLevel="2">
      <c r="A125" s="1263"/>
      <c r="B125" s="451" t="s">
        <v>37</v>
      </c>
      <c r="C125" s="462"/>
      <c r="D125" s="462"/>
      <c r="E125" s="462"/>
      <c r="F125" s="817"/>
      <c r="G125" s="817"/>
      <c r="H125" s="817"/>
      <c r="I125" s="462"/>
      <c r="J125" s="462"/>
      <c r="K125" s="462"/>
      <c r="L125" s="462"/>
      <c r="M125" s="462"/>
      <c r="N125" s="462"/>
      <c r="O125" s="458"/>
      <c r="P125" s="453"/>
      <c r="Q125" s="453"/>
      <c r="R125" s="453"/>
      <c r="S125" s="453"/>
    </row>
    <row r="126" spans="1:23" ht="16.350000000000001" hidden="1" customHeight="1" outlineLevel="2">
      <c r="A126" s="1264"/>
      <c r="B126" s="114" t="s">
        <v>38</v>
      </c>
      <c r="C126" s="107"/>
      <c r="D126" s="107"/>
      <c r="E126" s="107"/>
      <c r="F126" s="107"/>
      <c r="G126" s="107"/>
      <c r="H126" s="107"/>
      <c r="I126" s="107"/>
      <c r="J126" s="107"/>
      <c r="K126" s="107"/>
      <c r="L126" s="107"/>
      <c r="M126" s="107"/>
      <c r="N126" s="107"/>
      <c r="O126" s="107"/>
      <c r="P126" s="48"/>
      <c r="Q126" s="48"/>
      <c r="R126" s="48"/>
      <c r="S126" s="48"/>
    </row>
    <row r="127" spans="1:23" collapsed="1">
      <c r="A127" s="48"/>
      <c r="B127" s="48"/>
      <c r="C127" s="48"/>
      <c r="D127" s="48"/>
      <c r="E127" s="48"/>
      <c r="F127" s="48"/>
      <c r="G127" s="48"/>
      <c r="H127" s="48"/>
      <c r="I127" s="48"/>
      <c r="J127" s="48"/>
      <c r="K127" s="48"/>
      <c r="L127" s="48"/>
      <c r="M127" s="48"/>
      <c r="N127" s="48"/>
      <c r="O127" s="53"/>
      <c r="P127" s="48"/>
      <c r="Q127" s="48"/>
      <c r="R127" s="48"/>
      <c r="S127" s="48"/>
    </row>
    <row r="128" spans="1:23" hidden="1">
      <c r="A128" s="48"/>
      <c r="B128" s="48"/>
      <c r="C128" s="48"/>
      <c r="D128" s="48"/>
      <c r="E128" s="48"/>
      <c r="F128" s="48"/>
      <c r="G128" s="48"/>
      <c r="H128" s="48"/>
      <c r="I128" s="48"/>
      <c r="J128" s="48"/>
      <c r="K128" s="48"/>
      <c r="L128" s="48"/>
      <c r="M128" s="48"/>
      <c r="N128" s="48"/>
      <c r="O128" s="53"/>
      <c r="P128" s="48"/>
      <c r="Q128" s="48"/>
      <c r="R128" s="48"/>
      <c r="S128" s="48"/>
    </row>
    <row r="129" spans="1:23" s="4" customFormat="1" ht="21" hidden="1" thickBot="1">
      <c r="A129" s="91" t="s">
        <v>18</v>
      </c>
      <c r="B129" s="92"/>
      <c r="C129" s="93" t="s">
        <v>24</v>
      </c>
      <c r="D129" s="93" t="s">
        <v>25</v>
      </c>
      <c r="E129" s="93" t="s">
        <v>26</v>
      </c>
      <c r="F129" s="93" t="s">
        <v>27</v>
      </c>
      <c r="G129" s="93" t="s">
        <v>28</v>
      </c>
      <c r="H129" s="93" t="s">
        <v>29</v>
      </c>
      <c r="I129" s="93" t="s">
        <v>30</v>
      </c>
      <c r="J129" s="93" t="s">
        <v>31</v>
      </c>
      <c r="K129" s="93" t="s">
        <v>32</v>
      </c>
      <c r="L129" s="93" t="s">
        <v>33</v>
      </c>
      <c r="M129" s="93" t="s">
        <v>34</v>
      </c>
      <c r="N129" s="93" t="s">
        <v>35</v>
      </c>
      <c r="O129" s="94"/>
      <c r="P129" s="47"/>
      <c r="Q129" s="47"/>
      <c r="R129" s="47"/>
      <c r="S129" s="47"/>
    </row>
    <row r="130" spans="1:23" ht="16.350000000000001" hidden="1" customHeight="1">
      <c r="A130" s="1261">
        <f>Annee1</f>
        <v>2023</v>
      </c>
      <c r="B130" s="95" t="s">
        <v>36</v>
      </c>
      <c r="C130" s="96">
        <v>1062.69</v>
      </c>
      <c r="D130" s="96">
        <v>1271.71</v>
      </c>
      <c r="E130" s="96">
        <v>1309.46</v>
      </c>
      <c r="F130" s="96">
        <v>1289.3499999999999</v>
      </c>
      <c r="G130" s="96">
        <v>1510.54</v>
      </c>
      <c r="H130" s="96">
        <v>1042.54</v>
      </c>
      <c r="I130" s="96">
        <v>1313.14</v>
      </c>
      <c r="J130" s="96">
        <v>2151.0700000000002</v>
      </c>
      <c r="K130" s="96">
        <v>1941.87</v>
      </c>
      <c r="L130" s="96">
        <v>1191.54</v>
      </c>
      <c r="M130" s="96">
        <v>1821.33</v>
      </c>
      <c r="N130" s="96">
        <v>1649.72</v>
      </c>
      <c r="O130" s="97">
        <v>17554.95</v>
      </c>
      <c r="P130" s="48"/>
      <c r="Q130" s="48"/>
      <c r="R130" s="48"/>
      <c r="S130" s="48"/>
    </row>
    <row r="131" spans="1:23" s="26" customFormat="1" ht="16.350000000000001" hidden="1" customHeight="1">
      <c r="A131" s="1256"/>
      <c r="B131" s="108" t="s">
        <v>42</v>
      </c>
      <c r="C131" s="109"/>
      <c r="D131" s="109"/>
      <c r="E131" s="109"/>
      <c r="F131" s="109"/>
      <c r="G131" s="109"/>
      <c r="H131" s="109"/>
      <c r="I131" s="109"/>
      <c r="J131" s="109"/>
      <c r="K131" s="109"/>
      <c r="L131" s="109"/>
      <c r="M131" s="109"/>
      <c r="N131" s="109"/>
      <c r="O131" s="106"/>
      <c r="P131" s="52"/>
      <c r="Q131" s="52"/>
      <c r="R131" s="52"/>
      <c r="S131" s="52"/>
    </row>
    <row r="132" spans="1:23" s="454" customFormat="1" ht="33" hidden="1" customHeight="1">
      <c r="A132" s="1256"/>
      <c r="B132" s="451" t="s">
        <v>37</v>
      </c>
      <c r="C132" s="464" t="s">
        <v>3770</v>
      </c>
      <c r="D132" s="464" t="s">
        <v>3771</v>
      </c>
      <c r="E132" s="464" t="s">
        <v>3772</v>
      </c>
      <c r="F132" s="464" t="s">
        <v>3773</v>
      </c>
      <c r="G132" s="464" t="s">
        <v>3774</v>
      </c>
      <c r="H132" s="464" t="s">
        <v>3775</v>
      </c>
      <c r="I132" s="464" t="s">
        <v>3776</v>
      </c>
      <c r="J132" s="456" t="s">
        <v>3777</v>
      </c>
      <c r="K132" s="456" t="s">
        <v>3778</v>
      </c>
      <c r="L132" s="456" t="s">
        <v>3776</v>
      </c>
      <c r="M132" s="456" t="s">
        <v>3779</v>
      </c>
      <c r="N132" s="456" t="s">
        <v>3780</v>
      </c>
      <c r="O132" s="459" t="s">
        <v>3896</v>
      </c>
      <c r="P132" s="453"/>
      <c r="Q132" s="453"/>
      <c r="R132" s="453"/>
      <c r="S132" s="453"/>
    </row>
    <row r="133" spans="1:23" s="27" customFormat="1" ht="16.350000000000001" hidden="1" customHeight="1">
      <c r="A133" s="1257"/>
      <c r="B133" s="98" t="s">
        <v>38</v>
      </c>
      <c r="C133" s="99">
        <v>0.74193548387096775</v>
      </c>
      <c r="D133" s="99">
        <v>1</v>
      </c>
      <c r="E133" s="99">
        <v>0.93548387096774188</v>
      </c>
      <c r="F133" s="99">
        <v>0.93333333333333335</v>
      </c>
      <c r="G133" s="99">
        <v>1</v>
      </c>
      <c r="H133" s="99">
        <v>0.6333333333333333</v>
      </c>
      <c r="I133" s="99">
        <v>0.74193548387096775</v>
      </c>
      <c r="J133" s="99">
        <v>1</v>
      </c>
      <c r="K133" s="99">
        <v>1</v>
      </c>
      <c r="L133" s="99">
        <v>0.67741935483870963</v>
      </c>
      <c r="M133" s="99">
        <v>1</v>
      </c>
      <c r="N133" s="99">
        <v>1</v>
      </c>
      <c r="O133" s="100">
        <v>0.88767123287671235</v>
      </c>
      <c r="P133" s="49"/>
      <c r="Q133" s="488"/>
      <c r="R133" s="488"/>
      <c r="S133" s="488"/>
      <c r="T133" s="489"/>
      <c r="U133" s="489"/>
      <c r="V133" s="489"/>
      <c r="W133" s="489"/>
    </row>
    <row r="134" spans="1:23" ht="16.350000000000001" hidden="1" customHeight="1">
      <c r="A134" s="1258">
        <f>Annee2</f>
        <v>2024</v>
      </c>
      <c r="B134" s="101" t="s">
        <v>36</v>
      </c>
      <c r="C134" s="102">
        <v>1440.51</v>
      </c>
      <c r="D134" s="102">
        <v>1312.53</v>
      </c>
      <c r="E134" s="102">
        <v>316.82</v>
      </c>
      <c r="F134" s="102">
        <v>1899.6</v>
      </c>
      <c r="G134" s="102">
        <v>2030.6</v>
      </c>
      <c r="H134" s="102">
        <v>2024.4</v>
      </c>
      <c r="I134" s="102">
        <v>2094.81</v>
      </c>
      <c r="J134" s="102">
        <v>2705.8</v>
      </c>
      <c r="K134" s="102">
        <v>1883.34</v>
      </c>
      <c r="L134" s="102">
        <v>1620.54</v>
      </c>
      <c r="M134" s="102">
        <v>1568.26</v>
      </c>
      <c r="N134" s="102">
        <v>1620.54</v>
      </c>
      <c r="O134" s="103">
        <v>20517.75</v>
      </c>
      <c r="P134" s="48"/>
      <c r="Q134" s="48"/>
      <c r="R134" s="48"/>
      <c r="S134" s="48"/>
    </row>
    <row r="135" spans="1:23" s="29" customFormat="1" ht="16.350000000000001" hidden="1" customHeight="1">
      <c r="A135" s="1256"/>
      <c r="B135" s="123" t="s">
        <v>42</v>
      </c>
      <c r="C135" s="109">
        <v>1086</v>
      </c>
      <c r="D135" s="109">
        <v>1313</v>
      </c>
      <c r="E135" s="109">
        <v>317</v>
      </c>
      <c r="F135" s="109">
        <v>1900</v>
      </c>
      <c r="G135" s="109">
        <v>2031</v>
      </c>
      <c r="H135" s="109">
        <v>1861</v>
      </c>
      <c r="I135" s="109">
        <v>2291</v>
      </c>
      <c r="J135" s="109">
        <v>2692</v>
      </c>
      <c r="K135" s="109">
        <v>1500</v>
      </c>
      <c r="L135" s="109">
        <v>1500</v>
      </c>
      <c r="M135" s="109">
        <v>1500</v>
      </c>
      <c r="N135" s="109">
        <v>1500</v>
      </c>
      <c r="O135" s="106">
        <v>19491</v>
      </c>
      <c r="P135" s="54"/>
      <c r="Q135" s="840"/>
      <c r="R135" s="840"/>
      <c r="S135" s="840"/>
      <c r="T135" s="841"/>
      <c r="U135" s="841"/>
      <c r="V135" s="841"/>
      <c r="W135" s="841"/>
    </row>
    <row r="136" spans="1:23" s="454" customFormat="1" ht="33" hidden="1" customHeight="1">
      <c r="A136" s="1256"/>
      <c r="B136" s="451" t="s">
        <v>37</v>
      </c>
      <c r="C136" s="457" t="s">
        <v>3781</v>
      </c>
      <c r="D136" s="457" t="s">
        <v>3782</v>
      </c>
      <c r="E136" s="457" t="s">
        <v>3782</v>
      </c>
      <c r="F136" s="457" t="s">
        <v>3783</v>
      </c>
      <c r="G136" s="457" t="s">
        <v>3784</v>
      </c>
      <c r="H136" s="457" t="s">
        <v>3785</v>
      </c>
      <c r="I136" s="457" t="s">
        <v>3786</v>
      </c>
      <c r="J136" s="457" t="s">
        <v>3787</v>
      </c>
      <c r="K136" s="457" t="s">
        <v>3897</v>
      </c>
      <c r="L136" s="457" t="s">
        <v>3898</v>
      </c>
      <c r="M136" s="464" t="s">
        <v>3898</v>
      </c>
      <c r="N136" s="457" t="s">
        <v>3898</v>
      </c>
      <c r="O136" s="459" t="s">
        <v>3788</v>
      </c>
      <c r="P136" s="453"/>
      <c r="Q136" s="453"/>
      <c r="R136" s="453"/>
      <c r="S136" s="453"/>
    </row>
    <row r="137" spans="1:23" ht="16.350000000000001" hidden="1" customHeight="1">
      <c r="A137" s="1257"/>
      <c r="B137" s="114" t="s">
        <v>38</v>
      </c>
      <c r="C137" s="99">
        <v>1</v>
      </c>
      <c r="D137" s="99">
        <v>1</v>
      </c>
      <c r="E137" s="99">
        <v>0.22410645161290299</v>
      </c>
      <c r="F137" s="99">
        <v>0.96666666666666667</v>
      </c>
      <c r="G137" s="99">
        <v>1</v>
      </c>
      <c r="H137" s="99">
        <v>1</v>
      </c>
      <c r="I137" s="99">
        <v>0.77419354838709675</v>
      </c>
      <c r="J137" s="99">
        <v>1</v>
      </c>
      <c r="K137" s="99">
        <v>1</v>
      </c>
      <c r="L137" s="99">
        <v>1</v>
      </c>
      <c r="M137" s="99">
        <v>1</v>
      </c>
      <c r="N137" s="99">
        <v>1</v>
      </c>
      <c r="O137" s="100">
        <v>0.91506849315068495</v>
      </c>
      <c r="P137" s="48"/>
      <c r="Q137" s="48"/>
      <c r="R137" s="48"/>
      <c r="S137" s="48"/>
    </row>
    <row r="138" spans="1:23" ht="16.350000000000001" hidden="1" customHeight="1">
      <c r="A138" s="1258">
        <f>Annee3</f>
        <v>2025</v>
      </c>
      <c r="B138" s="101" t="s">
        <v>36</v>
      </c>
      <c r="C138" s="102">
        <v>1620.54</v>
      </c>
      <c r="D138" s="102">
        <v>1463.71</v>
      </c>
      <c r="E138" s="102">
        <v>418.2</v>
      </c>
      <c r="F138" s="102"/>
      <c r="G138" s="102"/>
      <c r="H138" s="102"/>
      <c r="I138" s="102"/>
      <c r="J138" s="102"/>
      <c r="K138" s="102"/>
      <c r="L138" s="102"/>
      <c r="M138" s="102"/>
      <c r="N138" s="102"/>
      <c r="O138" s="103">
        <v>3502.45</v>
      </c>
      <c r="P138" s="48"/>
      <c r="Q138" s="48"/>
      <c r="R138" s="48"/>
      <c r="S138" s="48"/>
    </row>
    <row r="139" spans="1:23" s="29" customFormat="1" ht="16.350000000000001" hidden="1" customHeight="1">
      <c r="A139" s="1256"/>
      <c r="B139" s="123" t="s">
        <v>42</v>
      </c>
      <c r="C139" s="109">
        <v>1620</v>
      </c>
      <c r="D139" s="109">
        <v>1464</v>
      </c>
      <c r="E139" s="109">
        <v>418</v>
      </c>
      <c r="F139" s="109">
        <v>0</v>
      </c>
      <c r="G139" s="109">
        <v>0</v>
      </c>
      <c r="H139" s="109">
        <v>0</v>
      </c>
      <c r="I139" s="109">
        <v>0</v>
      </c>
      <c r="J139" s="109">
        <v>0</v>
      </c>
      <c r="K139" s="109">
        <v>0</v>
      </c>
      <c r="L139" s="109">
        <v>0</v>
      </c>
      <c r="M139" s="109">
        <v>0</v>
      </c>
      <c r="N139" s="109">
        <v>0</v>
      </c>
      <c r="O139" s="106">
        <v>3502</v>
      </c>
      <c r="P139" s="54"/>
      <c r="Q139" s="840"/>
      <c r="R139" s="840"/>
      <c r="S139" s="840"/>
      <c r="T139" s="841"/>
      <c r="U139" s="841"/>
      <c r="V139" s="841"/>
      <c r="W139" s="841"/>
    </row>
    <row r="140" spans="1:23" s="454" customFormat="1" ht="33" hidden="1" customHeight="1">
      <c r="A140" s="1256"/>
      <c r="B140" s="451" t="s">
        <v>37</v>
      </c>
      <c r="C140" s="456" t="s">
        <v>3898</v>
      </c>
      <c r="D140" s="464" t="s">
        <v>3898</v>
      </c>
      <c r="E140" s="464" t="s">
        <v>3898</v>
      </c>
      <c r="F140" s="463"/>
      <c r="G140" s="463"/>
      <c r="H140" s="452"/>
      <c r="I140" s="452"/>
      <c r="J140" s="452"/>
      <c r="K140" s="452"/>
      <c r="L140" s="452"/>
      <c r="M140" s="452"/>
      <c r="N140" s="452"/>
      <c r="O140" s="459" t="s">
        <v>3898</v>
      </c>
      <c r="P140" s="453"/>
      <c r="Q140" s="453"/>
      <c r="R140" s="453"/>
      <c r="S140" s="453"/>
    </row>
    <row r="141" spans="1:23" ht="16.350000000000001" hidden="1" customHeight="1">
      <c r="A141" s="1257"/>
      <c r="B141" s="114" t="s">
        <v>38</v>
      </c>
      <c r="C141" s="107">
        <v>1</v>
      </c>
      <c r="D141" s="107">
        <v>1</v>
      </c>
      <c r="E141" s="107">
        <v>0.25806451612903225</v>
      </c>
      <c r="F141" s="107"/>
      <c r="G141" s="107"/>
      <c r="H141" s="107"/>
      <c r="I141" s="107"/>
      <c r="J141" s="107"/>
      <c r="K141" s="107"/>
      <c r="L141" s="107"/>
      <c r="M141" s="107"/>
      <c r="N141" s="107"/>
      <c r="O141" s="100">
        <v>0.18356164383561643</v>
      </c>
      <c r="P141" s="48"/>
      <c r="Q141" s="48"/>
      <c r="R141" s="48"/>
      <c r="S141" s="48"/>
    </row>
    <row r="142" spans="1:23" ht="16.350000000000001" hidden="1" customHeight="1">
      <c r="A142" s="1258">
        <f>IF(Annee4&gt;0,Annee4,"")</f>
        <v>2026</v>
      </c>
      <c r="B142" s="101" t="s">
        <v>36</v>
      </c>
      <c r="C142" s="102"/>
      <c r="D142" s="102"/>
      <c r="E142" s="102"/>
      <c r="F142" s="102"/>
      <c r="G142" s="102"/>
      <c r="H142" s="102"/>
      <c r="I142" s="102"/>
      <c r="J142" s="102"/>
      <c r="K142" s="102"/>
      <c r="L142" s="102"/>
      <c r="M142" s="102"/>
      <c r="N142" s="102"/>
      <c r="O142" s="103">
        <v>0</v>
      </c>
      <c r="P142" s="48"/>
      <c r="Q142" s="48"/>
      <c r="R142" s="48"/>
      <c r="S142" s="48"/>
    </row>
    <row r="143" spans="1:23" s="26" customFormat="1" ht="16.350000000000001" hidden="1" customHeight="1">
      <c r="A143" s="1256"/>
      <c r="B143" s="108" t="s">
        <v>42</v>
      </c>
      <c r="C143" s="109">
        <v>0</v>
      </c>
      <c r="D143" s="109">
        <v>0</v>
      </c>
      <c r="E143" s="109">
        <v>0</v>
      </c>
      <c r="F143" s="109">
        <v>0</v>
      </c>
      <c r="G143" s="109">
        <v>0</v>
      </c>
      <c r="H143" s="109">
        <v>0</v>
      </c>
      <c r="I143" s="109">
        <v>0</v>
      </c>
      <c r="J143" s="109">
        <v>0</v>
      </c>
      <c r="K143" s="109">
        <v>0</v>
      </c>
      <c r="L143" s="109">
        <v>0</v>
      </c>
      <c r="M143" s="109">
        <v>0</v>
      </c>
      <c r="N143" s="109">
        <v>0</v>
      </c>
      <c r="O143" s="106">
        <v>0</v>
      </c>
      <c r="P143" s="52"/>
      <c r="Q143" s="52"/>
      <c r="R143" s="52"/>
      <c r="S143" s="52"/>
    </row>
    <row r="144" spans="1:23" s="454" customFormat="1" ht="33" hidden="1" customHeight="1">
      <c r="A144" s="1256"/>
      <c r="B144" s="451" t="s">
        <v>37</v>
      </c>
      <c r="C144" s="452"/>
      <c r="D144" s="452"/>
      <c r="E144" s="452"/>
      <c r="F144" s="452"/>
      <c r="G144" s="452"/>
      <c r="H144" s="452"/>
      <c r="I144" s="452"/>
      <c r="J144" s="452"/>
      <c r="K144" s="452"/>
      <c r="L144" s="452"/>
      <c r="M144" s="452"/>
      <c r="N144" s="452"/>
      <c r="O144" s="455"/>
      <c r="P144" s="453"/>
      <c r="Q144" s="453"/>
      <c r="R144" s="453"/>
      <c r="S144" s="453"/>
    </row>
    <row r="145" spans="1:19" ht="16.350000000000001" hidden="1" customHeight="1">
      <c r="A145" s="1257"/>
      <c r="B145" s="114" t="s">
        <v>38</v>
      </c>
      <c r="C145" s="107"/>
      <c r="D145" s="107"/>
      <c r="E145" s="107"/>
      <c r="F145" s="107"/>
      <c r="G145" s="107"/>
      <c r="H145" s="107"/>
      <c r="I145" s="107"/>
      <c r="J145" s="107"/>
      <c r="K145" s="107"/>
      <c r="L145" s="107"/>
      <c r="M145" s="107"/>
      <c r="N145" s="107"/>
      <c r="O145" s="100"/>
      <c r="P145" s="48"/>
      <c r="Q145" s="48"/>
      <c r="R145" s="48"/>
      <c r="S145" s="48"/>
    </row>
    <row r="146" spans="1:19" ht="16.350000000000001" hidden="1" customHeight="1">
      <c r="A146" s="1265">
        <f>IF(Annee5&gt;0,Annee5,"")</f>
        <v>2030</v>
      </c>
      <c r="B146" s="101" t="s">
        <v>36</v>
      </c>
      <c r="C146" s="102"/>
      <c r="D146" s="102"/>
      <c r="E146" s="102"/>
      <c r="F146" s="102"/>
      <c r="G146" s="102"/>
      <c r="H146" s="102"/>
      <c r="I146" s="102"/>
      <c r="J146" s="102"/>
      <c r="K146" s="102"/>
      <c r="L146" s="102"/>
      <c r="M146" s="102"/>
      <c r="N146" s="102"/>
      <c r="O146" s="121">
        <v>0</v>
      </c>
      <c r="P146" s="48"/>
      <c r="Q146" s="48"/>
      <c r="R146" s="48"/>
      <c r="S146" s="48"/>
    </row>
    <row r="147" spans="1:19" s="26" customFormat="1" ht="16.350000000000001" hidden="1" customHeight="1">
      <c r="A147" s="1263"/>
      <c r="B147" s="108" t="s">
        <v>42</v>
      </c>
      <c r="C147" s="109">
        <v>0</v>
      </c>
      <c r="D147" s="109">
        <v>0</v>
      </c>
      <c r="E147" s="109">
        <v>0</v>
      </c>
      <c r="F147" s="109">
        <v>0</v>
      </c>
      <c r="G147" s="109">
        <v>0</v>
      </c>
      <c r="H147" s="109">
        <v>0</v>
      </c>
      <c r="I147" s="109">
        <v>0</v>
      </c>
      <c r="J147" s="109">
        <v>0</v>
      </c>
      <c r="K147" s="109">
        <v>0</v>
      </c>
      <c r="L147" s="109">
        <v>0</v>
      </c>
      <c r="M147" s="109">
        <v>0</v>
      </c>
      <c r="N147" s="109">
        <v>0</v>
      </c>
      <c r="O147" s="122">
        <v>0</v>
      </c>
      <c r="P147" s="52"/>
      <c r="Q147" s="52"/>
      <c r="R147" s="52"/>
      <c r="S147" s="52"/>
    </row>
    <row r="148" spans="1:19" s="454" customFormat="1" ht="33" hidden="1" customHeight="1">
      <c r="A148" s="1263"/>
      <c r="B148" s="451" t="s">
        <v>37</v>
      </c>
      <c r="C148" s="462"/>
      <c r="D148" s="462"/>
      <c r="E148" s="462"/>
      <c r="F148" s="462"/>
      <c r="G148" s="462"/>
      <c r="H148" s="462"/>
      <c r="I148" s="462"/>
      <c r="J148" s="462"/>
      <c r="K148" s="462"/>
      <c r="L148" s="462"/>
      <c r="M148" s="462"/>
      <c r="N148" s="462"/>
      <c r="O148" s="452"/>
      <c r="P148" s="453"/>
      <c r="Q148" s="453"/>
      <c r="R148" s="453"/>
      <c r="S148" s="453"/>
    </row>
    <row r="149" spans="1:19" ht="16.350000000000001" hidden="1" customHeight="1">
      <c r="A149" s="1264"/>
      <c r="B149" s="114" t="s">
        <v>38</v>
      </c>
      <c r="C149" s="107"/>
      <c r="D149" s="107"/>
      <c r="E149" s="107"/>
      <c r="F149" s="107"/>
      <c r="G149" s="107"/>
      <c r="H149" s="107"/>
      <c r="I149" s="107"/>
      <c r="J149" s="107"/>
      <c r="K149" s="107"/>
      <c r="L149" s="107"/>
      <c r="M149" s="107"/>
      <c r="N149" s="107"/>
      <c r="O149" s="107"/>
      <c r="P149" s="48"/>
      <c r="Q149" s="48"/>
      <c r="R149" s="48"/>
      <c r="S149" s="48"/>
    </row>
    <row r="150" spans="1:19" hidden="1"/>
  </sheetData>
  <mergeCells count="34">
    <mergeCell ref="A142:A145"/>
    <mergeCell ref="A146:A149"/>
    <mergeCell ref="A115:A118"/>
    <mergeCell ref="A119:A122"/>
    <mergeCell ref="A123:A126"/>
    <mergeCell ref="A130:A133"/>
    <mergeCell ref="A134:A137"/>
    <mergeCell ref="A138:A141"/>
    <mergeCell ref="A107:A110"/>
    <mergeCell ref="A111:A114"/>
    <mergeCell ref="A6:A8"/>
    <mergeCell ref="A26:A29"/>
    <mergeCell ref="A18:A21"/>
    <mergeCell ref="A22:A25"/>
    <mergeCell ref="A45:A48"/>
    <mergeCell ref="A49:A52"/>
    <mergeCell ref="A88:A91"/>
    <mergeCell ref="A95:A98"/>
    <mergeCell ref="A53:A56"/>
    <mergeCell ref="A103:A106"/>
    <mergeCell ref="A2:A5"/>
    <mergeCell ref="A10:A13"/>
    <mergeCell ref="A14:A17"/>
    <mergeCell ref="A30:A33"/>
    <mergeCell ref="A99:A102"/>
    <mergeCell ref="A37:A40"/>
    <mergeCell ref="A41:A44"/>
    <mergeCell ref="A57:A60"/>
    <mergeCell ref="A61:A64"/>
    <mergeCell ref="A65:A68"/>
    <mergeCell ref="A72:A75"/>
    <mergeCell ref="A76:A79"/>
    <mergeCell ref="A80:A83"/>
    <mergeCell ref="A84:A87"/>
  </mergeCell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2D3E5-441E-4D82-B637-70199EACDC11}">
  <sheetPr codeName="Feuil2">
    <pageSetUpPr fitToPage="1"/>
  </sheetPr>
  <dimension ref="A1:ND124"/>
  <sheetViews>
    <sheetView showGridLines="0" zoomScale="85" zoomScaleNormal="85" workbookViewId="0">
      <pane ySplit="4" topLeftCell="A50" activePane="bottomLeft" state="frozen"/>
      <selection pane="bottomLeft" activeCell="D51" sqref="D51"/>
    </sheetView>
  </sheetViews>
  <sheetFormatPr baseColWidth="10" defaultColWidth="10.7109375" defaultRowHeight="17.399999999999999" outlineLevelRow="2"/>
  <cols>
    <col min="1" max="1" width="8.78515625" style="22" customWidth="1"/>
    <col min="2" max="2" width="8.78515625" style="22" hidden="1" customWidth="1"/>
    <col min="3" max="3" width="7.42578125" style="24" customWidth="1"/>
    <col min="4" max="4" width="8.28515625" style="24" customWidth="1"/>
    <col min="5" max="5" width="7.42578125" style="24" customWidth="1"/>
    <col min="6" max="6" width="9.2109375" style="24" customWidth="1"/>
    <col min="7" max="7" width="7.42578125" style="24" hidden="1" customWidth="1"/>
    <col min="8" max="8" width="8.28515625" style="24" hidden="1" customWidth="1"/>
    <col min="9" max="9" width="7.42578125" style="24" customWidth="1"/>
    <col min="10" max="10" width="8.28515625" style="24" customWidth="1"/>
    <col min="11" max="12" width="7.42578125" style="24" hidden="1" customWidth="1"/>
    <col min="13" max="14" width="8.78515625" style="24" customWidth="1"/>
    <col min="15" max="15" width="9.2109375" style="24" customWidth="1"/>
    <col min="16" max="16" width="8.28515625" style="24" customWidth="1"/>
    <col min="17" max="17" width="8.28515625" style="22" customWidth="1"/>
    <col min="18" max="16384" width="10.7109375" style="22"/>
  </cols>
  <sheetData>
    <row r="1" spans="1:368">
      <c r="C1" s="1011"/>
      <c r="D1" s="1011"/>
      <c r="E1" s="1011"/>
      <c r="F1" s="1011"/>
      <c r="G1" s="1011"/>
      <c r="H1" s="1011"/>
      <c r="I1" s="1011"/>
      <c r="J1" s="1011"/>
      <c r="K1" s="1011"/>
      <c r="L1" s="1011"/>
      <c r="M1" s="1011"/>
      <c r="N1" s="1011"/>
      <c r="O1" s="1011"/>
      <c r="P1" s="1011"/>
    </row>
    <row r="2" spans="1:368" hidden="1">
      <c r="A2" s="56"/>
      <c r="B2" s="889"/>
      <c r="C2" s="1015" t="s">
        <v>3970</v>
      </c>
      <c r="D2" s="61"/>
      <c r="E2" s="61" t="s">
        <v>3972</v>
      </c>
      <c r="F2" s="61"/>
      <c r="G2" s="61"/>
      <c r="H2" s="61"/>
      <c r="I2" s="61" t="s">
        <v>3971</v>
      </c>
      <c r="J2" s="61"/>
      <c r="K2" s="61"/>
      <c r="L2" s="61"/>
      <c r="M2" s="61"/>
      <c r="N2" s="61"/>
      <c r="O2" s="61"/>
      <c r="P2" s="61"/>
      <c r="Q2" s="56"/>
      <c r="R2" s="56"/>
      <c r="S2" s="56"/>
      <c r="T2" s="56"/>
      <c r="BH2" s="1013"/>
      <c r="BI2" s="1012"/>
      <c r="BJ2" s="1014"/>
      <c r="CL2" s="1013"/>
      <c r="CM2" s="1012"/>
      <c r="CN2" s="1014"/>
      <c r="DQ2" s="1013"/>
      <c r="DR2" s="1012"/>
      <c r="DS2" s="1014"/>
      <c r="EU2" s="1013"/>
      <c r="EV2" s="1012"/>
      <c r="EW2" s="1014"/>
      <c r="FZ2" s="1013"/>
      <c r="GA2" s="1012"/>
      <c r="GB2" s="1014"/>
      <c r="HE2" s="1013"/>
      <c r="HF2" s="1012"/>
      <c r="HG2" s="1014"/>
      <c r="II2" s="1013"/>
      <c r="IJ2" s="1012"/>
      <c r="IK2" s="1014"/>
      <c r="JN2" s="1013"/>
      <c r="JO2" s="1012"/>
      <c r="JP2" s="1014"/>
      <c r="KR2" s="1013"/>
      <c r="KS2" s="1012"/>
      <c r="KT2" s="1014"/>
      <c r="LW2" s="1013"/>
      <c r="LX2" s="1013"/>
      <c r="NC2" s="1013"/>
      <c r="ND2" s="1013"/>
    </row>
    <row r="3" spans="1:368">
      <c r="A3" s="1178"/>
      <c r="B3" s="1178"/>
      <c r="C3" s="1272" t="s">
        <v>8</v>
      </c>
      <c r="D3" s="1273"/>
      <c r="E3" s="1274" t="s">
        <v>10</v>
      </c>
      <c r="F3" s="1273"/>
      <c r="G3" s="1274" t="s">
        <v>13</v>
      </c>
      <c r="H3" s="1273"/>
      <c r="I3" s="1274" t="s">
        <v>15</v>
      </c>
      <c r="J3" s="1275"/>
      <c r="K3" s="1276" t="s">
        <v>18</v>
      </c>
      <c r="L3" s="1268"/>
      <c r="M3" s="1270" t="s">
        <v>39</v>
      </c>
      <c r="N3" s="1271"/>
      <c r="O3" s="1267" t="s">
        <v>40</v>
      </c>
      <c r="P3" s="1268"/>
      <c r="Q3" s="1269"/>
      <c r="R3" s="56"/>
      <c r="S3" s="56"/>
      <c r="T3" s="56"/>
      <c r="AM3" s="1016"/>
      <c r="AS3" s="1016"/>
      <c r="AT3" s="1016"/>
      <c r="AZ3" s="1016"/>
      <c r="BA3" s="1016"/>
      <c r="BG3" s="1016"/>
      <c r="BH3" s="1017"/>
      <c r="BI3" s="1012"/>
      <c r="BJ3" s="1014"/>
      <c r="BK3" s="1013"/>
      <c r="BL3" s="1014"/>
      <c r="BN3" s="1016"/>
      <c r="BO3" s="1016"/>
      <c r="BU3" s="1016"/>
      <c r="BV3" s="1016"/>
      <c r="CB3" s="1016"/>
      <c r="CC3" s="1016"/>
      <c r="CI3" s="1016"/>
      <c r="CJ3" s="1016"/>
      <c r="CL3" s="1013"/>
      <c r="CM3" s="1012"/>
      <c r="CN3" s="1012"/>
      <c r="CO3" s="1014"/>
      <c r="CP3" s="1016"/>
      <c r="CQ3" s="1016"/>
      <c r="CW3" s="1016"/>
      <c r="CX3" s="1016"/>
      <c r="DD3" s="1016"/>
      <c r="DE3" s="1016"/>
      <c r="DK3" s="1016"/>
      <c r="DL3" s="1016"/>
      <c r="DQ3" s="1013"/>
      <c r="DR3" s="1012"/>
      <c r="DS3" s="1014"/>
      <c r="DT3" s="1013"/>
      <c r="DU3" s="1012"/>
      <c r="DV3" s="1014"/>
      <c r="DY3" s="1016"/>
      <c r="DZ3" s="1016"/>
      <c r="EF3" s="1016"/>
      <c r="EG3" s="1016"/>
      <c r="EM3" s="1016"/>
      <c r="EN3" s="1016"/>
      <c r="ET3" s="1016"/>
      <c r="EU3" s="1017"/>
      <c r="EV3" s="1012"/>
      <c r="EW3" s="1012"/>
      <c r="EX3" s="1014"/>
      <c r="EY3" s="1013"/>
      <c r="EZ3" s="1014"/>
      <c r="FA3" s="1016"/>
      <c r="FB3" s="1016"/>
      <c r="FH3" s="1016"/>
      <c r="FI3" s="1016"/>
      <c r="FO3" s="1016"/>
      <c r="FP3" s="1016"/>
      <c r="FV3" s="1016"/>
      <c r="FW3" s="1016"/>
      <c r="FZ3" s="1013"/>
      <c r="GA3" s="1012"/>
      <c r="GB3" s="1014"/>
      <c r="GC3" s="1016"/>
      <c r="GD3" s="1016"/>
      <c r="GJ3" s="1016"/>
      <c r="GK3" s="1016"/>
      <c r="GQ3" s="1016"/>
      <c r="GR3" s="1016"/>
      <c r="GX3" s="1016"/>
      <c r="GY3" s="1016"/>
      <c r="HE3" s="1017"/>
      <c r="HF3" s="1012"/>
      <c r="HG3" s="1014"/>
      <c r="HL3" s="1016"/>
      <c r="HM3" s="1016"/>
      <c r="HS3" s="1016"/>
      <c r="HT3" s="1016"/>
      <c r="HZ3" s="1016"/>
      <c r="IA3" s="1016"/>
      <c r="IG3" s="1016"/>
      <c r="IH3" s="1016"/>
      <c r="II3" s="1013"/>
      <c r="IJ3" s="1012"/>
      <c r="IK3" s="1012"/>
      <c r="IL3" s="1014"/>
      <c r="IN3" s="1016"/>
      <c r="IO3" s="1016"/>
      <c r="IU3" s="1016"/>
      <c r="IV3" s="1016"/>
      <c r="JB3" s="1016"/>
      <c r="JC3" s="1016"/>
      <c r="JI3" s="1016"/>
      <c r="JJ3" s="1016"/>
      <c r="JN3" s="1013"/>
      <c r="JO3" s="1014"/>
      <c r="JP3" s="1016"/>
      <c r="JQ3" s="1016"/>
      <c r="JW3" s="1016"/>
      <c r="JX3" s="1016"/>
      <c r="KD3" s="1016"/>
      <c r="KE3" s="1016"/>
      <c r="KK3" s="1016"/>
      <c r="KL3" s="1016"/>
      <c r="KR3" s="1017"/>
      <c r="KS3" s="1012"/>
      <c r="KT3" s="1012"/>
      <c r="KU3" s="1014"/>
      <c r="KY3" s="1016"/>
      <c r="KZ3" s="1016"/>
      <c r="LF3" s="1016"/>
      <c r="LG3" s="1016"/>
      <c r="LM3" s="1016"/>
      <c r="LN3" s="1016"/>
      <c r="LT3" s="1016"/>
      <c r="LU3" s="1016"/>
      <c r="LW3" s="1013"/>
      <c r="LX3" s="1013"/>
      <c r="LY3" s="1013"/>
      <c r="MA3" s="1016"/>
      <c r="MB3" s="1016"/>
      <c r="MH3" s="1016"/>
      <c r="MI3" s="1016"/>
      <c r="MO3" s="1016"/>
      <c r="MP3" s="1016"/>
      <c r="MV3" s="1016"/>
      <c r="MW3" s="1016"/>
      <c r="NC3" s="1013"/>
      <c r="ND3" s="1013"/>
    </row>
    <row r="4" spans="1:368" s="23" customFormat="1" ht="18" thickBot="1">
      <c r="A4" s="1179"/>
      <c r="B4" s="1179"/>
      <c r="C4" s="1180" t="s">
        <v>41</v>
      </c>
      <c r="D4" s="1181" t="s">
        <v>42</v>
      </c>
      <c r="E4" s="1182" t="s">
        <v>41</v>
      </c>
      <c r="F4" s="1183" t="s">
        <v>42</v>
      </c>
      <c r="G4" s="1182" t="s">
        <v>41</v>
      </c>
      <c r="H4" s="1183" t="s">
        <v>42</v>
      </c>
      <c r="I4" s="1182" t="s">
        <v>41</v>
      </c>
      <c r="J4" s="1180" t="s">
        <v>42</v>
      </c>
      <c r="K4" s="1180" t="s">
        <v>41</v>
      </c>
      <c r="L4" s="1184" t="s">
        <v>42</v>
      </c>
      <c r="M4" s="1185" t="s">
        <v>41</v>
      </c>
      <c r="N4" s="1186" t="s">
        <v>42</v>
      </c>
      <c r="O4" s="1187" t="s">
        <v>41</v>
      </c>
      <c r="P4" s="1188" t="s">
        <v>42</v>
      </c>
      <c r="Q4" s="1189" t="s">
        <v>43</v>
      </c>
      <c r="R4" s="1190"/>
      <c r="S4" s="1018"/>
      <c r="T4" s="1018"/>
      <c r="AM4" s="504"/>
      <c r="AN4" s="504"/>
      <c r="AP4" s="504"/>
      <c r="AQ4" s="504"/>
      <c r="AS4" s="504"/>
      <c r="AT4" s="504"/>
      <c r="AU4" s="504"/>
      <c r="AW4" s="504"/>
      <c r="AX4" s="504"/>
      <c r="AZ4" s="504"/>
      <c r="BA4" s="504"/>
      <c r="BB4" s="504"/>
      <c r="BD4" s="504"/>
      <c r="BE4" s="504"/>
      <c r="BG4" s="504"/>
      <c r="BH4" s="643"/>
      <c r="BI4" s="644"/>
      <c r="BJ4" s="505"/>
      <c r="BK4" s="643"/>
      <c r="BL4" s="505"/>
      <c r="BN4" s="504"/>
      <c r="BO4" s="504"/>
      <c r="BP4" s="504"/>
      <c r="BR4" s="504"/>
      <c r="BS4" s="504"/>
      <c r="BU4" s="504"/>
      <c r="BV4" s="504"/>
      <c r="BW4" s="504"/>
      <c r="BY4" s="504"/>
      <c r="BZ4" s="504"/>
      <c r="CB4" s="504"/>
      <c r="CC4" s="504"/>
      <c r="CD4" s="504"/>
      <c r="CF4" s="504"/>
      <c r="CG4" s="504"/>
      <c r="CI4" s="504"/>
      <c r="CJ4" s="504"/>
      <c r="CK4" s="504"/>
      <c r="CL4" s="501"/>
      <c r="CM4" s="644"/>
      <c r="CN4" s="644"/>
      <c r="CO4" s="505"/>
      <c r="CP4" s="504"/>
      <c r="CQ4" s="504"/>
      <c r="CR4" s="504"/>
      <c r="CT4" s="504"/>
      <c r="CU4" s="504"/>
      <c r="CW4" s="504"/>
      <c r="CX4" s="504"/>
      <c r="CY4" s="504"/>
      <c r="DA4" s="504"/>
      <c r="DB4" s="504"/>
      <c r="DD4" s="504"/>
      <c r="DE4" s="504"/>
      <c r="DF4" s="504"/>
      <c r="DH4" s="504"/>
      <c r="DI4" s="504"/>
      <c r="DK4" s="504"/>
      <c r="DL4" s="504"/>
      <c r="DM4" s="504"/>
      <c r="DO4" s="504"/>
      <c r="DP4" s="504"/>
      <c r="DQ4" s="501"/>
      <c r="DR4" s="644"/>
      <c r="DS4" s="505"/>
      <c r="DT4" s="643"/>
      <c r="DU4" s="505"/>
      <c r="DV4" s="504"/>
      <c r="DW4" s="504"/>
      <c r="DY4" s="504"/>
      <c r="DZ4" s="504"/>
      <c r="EA4" s="504"/>
      <c r="EC4" s="504"/>
      <c r="ED4" s="504"/>
      <c r="EF4" s="504"/>
      <c r="EG4" s="504"/>
      <c r="EH4" s="504"/>
      <c r="EJ4" s="504"/>
      <c r="EK4" s="504"/>
      <c r="EM4" s="504"/>
      <c r="EN4" s="504"/>
      <c r="EO4" s="504"/>
      <c r="EQ4" s="504"/>
      <c r="ER4" s="504"/>
      <c r="ET4" s="504"/>
      <c r="EU4" s="643"/>
      <c r="EV4" s="644"/>
      <c r="EW4" s="644"/>
      <c r="EX4" s="505"/>
      <c r="EY4" s="643"/>
      <c r="EZ4" s="505"/>
      <c r="FA4" s="504"/>
      <c r="FB4" s="504"/>
      <c r="FC4" s="504"/>
      <c r="FE4" s="504"/>
      <c r="FF4" s="504"/>
      <c r="FH4" s="504"/>
      <c r="FI4" s="504"/>
      <c r="FJ4" s="504"/>
      <c r="FL4" s="504"/>
      <c r="FM4" s="504"/>
      <c r="FO4" s="504"/>
      <c r="FP4" s="504"/>
      <c r="FQ4" s="504"/>
      <c r="FS4" s="504"/>
      <c r="FT4" s="504"/>
      <c r="FV4" s="504"/>
      <c r="FW4" s="504"/>
      <c r="FX4" s="504"/>
      <c r="FZ4" s="643"/>
      <c r="GA4" s="644"/>
      <c r="GB4" s="505"/>
      <c r="GC4" s="504"/>
      <c r="GD4" s="504"/>
      <c r="GE4" s="504"/>
      <c r="GG4" s="504"/>
      <c r="GH4" s="504"/>
      <c r="GJ4" s="504"/>
      <c r="GK4" s="504"/>
      <c r="GL4" s="504"/>
      <c r="GN4" s="504"/>
      <c r="GO4" s="504"/>
      <c r="GQ4" s="504"/>
      <c r="GR4" s="504"/>
      <c r="GS4" s="504"/>
      <c r="GU4" s="504"/>
      <c r="GV4" s="504"/>
      <c r="GX4" s="504"/>
      <c r="GY4" s="504"/>
      <c r="GZ4" s="504"/>
      <c r="HB4" s="504"/>
      <c r="HC4" s="504"/>
      <c r="HE4" s="643"/>
      <c r="HF4" s="644"/>
      <c r="HG4" s="505"/>
      <c r="HI4" s="504"/>
      <c r="HJ4" s="504"/>
      <c r="HL4" s="504"/>
      <c r="HM4" s="504"/>
      <c r="HN4" s="504"/>
      <c r="HP4" s="504"/>
      <c r="HQ4" s="504"/>
      <c r="HS4" s="504"/>
      <c r="HT4" s="504"/>
      <c r="HU4" s="504"/>
      <c r="HW4" s="504"/>
      <c r="HX4" s="504"/>
      <c r="HZ4" s="504"/>
      <c r="IA4" s="504"/>
      <c r="IB4" s="504"/>
      <c r="ID4" s="504"/>
      <c r="IE4" s="504"/>
      <c r="IG4" s="504"/>
      <c r="IH4" s="504"/>
      <c r="II4" s="643"/>
      <c r="IJ4" s="644"/>
      <c r="IK4" s="644"/>
      <c r="IL4" s="505"/>
      <c r="IN4" s="504"/>
      <c r="IO4" s="504"/>
      <c r="IP4" s="504"/>
      <c r="IR4" s="504"/>
      <c r="IS4" s="504"/>
      <c r="IU4" s="504"/>
      <c r="IV4" s="504"/>
      <c r="IW4" s="504"/>
      <c r="IY4" s="504"/>
      <c r="IZ4" s="504"/>
      <c r="JB4" s="504"/>
      <c r="JC4" s="504"/>
      <c r="JD4" s="504"/>
      <c r="JF4" s="504"/>
      <c r="JG4" s="504"/>
      <c r="JI4" s="504"/>
      <c r="JJ4" s="504"/>
      <c r="JK4" s="504"/>
      <c r="JM4" s="504"/>
      <c r="JN4" s="643"/>
      <c r="JO4" s="505"/>
      <c r="JP4" s="504"/>
      <c r="JQ4" s="504"/>
      <c r="JR4" s="504"/>
      <c r="JT4" s="504"/>
      <c r="JU4" s="504"/>
      <c r="JW4" s="504"/>
      <c r="JX4" s="504"/>
      <c r="JY4" s="504"/>
      <c r="KA4" s="504"/>
      <c r="KB4" s="504"/>
      <c r="KD4" s="504"/>
      <c r="KE4" s="504"/>
      <c r="KF4" s="504"/>
      <c r="KH4" s="504"/>
      <c r="KI4" s="504"/>
      <c r="KK4" s="504"/>
      <c r="KL4" s="504"/>
      <c r="KM4" s="504"/>
      <c r="KO4" s="504"/>
      <c r="KP4" s="504"/>
      <c r="KR4" s="643"/>
      <c r="KS4" s="644"/>
      <c r="KT4" s="644"/>
      <c r="KU4" s="505"/>
      <c r="KV4" s="504"/>
      <c r="KW4" s="504"/>
      <c r="KY4" s="504"/>
      <c r="KZ4" s="504"/>
      <c r="LA4" s="504"/>
      <c r="LC4" s="504"/>
      <c r="LD4" s="504"/>
      <c r="LF4" s="504"/>
      <c r="LG4" s="504"/>
      <c r="LH4" s="504"/>
      <c r="LJ4" s="504"/>
      <c r="LK4" s="504"/>
      <c r="LM4" s="504"/>
      <c r="LN4" s="504"/>
      <c r="LO4" s="504"/>
      <c r="LQ4" s="504"/>
      <c r="LR4" s="504"/>
      <c r="LT4" s="504"/>
      <c r="LU4" s="504"/>
      <c r="LV4" s="504"/>
      <c r="LW4" s="501"/>
      <c r="LX4" s="643"/>
      <c r="LY4" s="643"/>
      <c r="MA4" s="504"/>
      <c r="MB4" s="504"/>
      <c r="MC4" s="504"/>
      <c r="ME4" s="504"/>
      <c r="MF4" s="504"/>
      <c r="MH4" s="504"/>
      <c r="MI4" s="504"/>
      <c r="MJ4" s="504"/>
      <c r="ML4" s="504"/>
      <c r="MM4" s="504"/>
      <c r="MO4" s="504"/>
      <c r="MP4" s="504"/>
      <c r="MQ4" s="504"/>
      <c r="MS4" s="504"/>
      <c r="MT4" s="504"/>
      <c r="MV4" s="504"/>
      <c r="MW4" s="504"/>
      <c r="MX4" s="504"/>
      <c r="MZ4" s="504"/>
      <c r="NA4" s="504"/>
      <c r="NC4" s="643"/>
      <c r="ND4" s="501"/>
    </row>
    <row r="5" spans="1:368" s="23" customFormat="1" ht="26.4" hidden="1" outlineLevel="1">
      <c r="A5" s="1204" t="s">
        <v>44</v>
      </c>
      <c r="B5" s="1205"/>
      <c r="C5" s="1206"/>
      <c r="D5" s="1207"/>
      <c r="E5" s="1207"/>
      <c r="F5" s="1207"/>
      <c r="G5" s="1207"/>
      <c r="H5" s="1207"/>
      <c r="I5" s="1207"/>
      <c r="J5" s="1208"/>
      <c r="K5" s="1208"/>
      <c r="L5" s="1208"/>
      <c r="M5" s="1209"/>
      <c r="N5" s="1210"/>
      <c r="O5" s="1208"/>
      <c r="P5" s="1207"/>
      <c r="Q5" s="1211"/>
      <c r="R5" s="57"/>
      <c r="S5" s="57"/>
      <c r="T5" s="502"/>
      <c r="AM5" s="504"/>
      <c r="AN5" s="504"/>
      <c r="AP5" s="504"/>
      <c r="AQ5" s="504"/>
      <c r="AS5" s="504"/>
      <c r="AT5" s="504"/>
      <c r="AU5" s="504"/>
      <c r="AW5" s="504"/>
      <c r="AX5" s="504"/>
      <c r="AZ5" s="504"/>
      <c r="BA5" s="504"/>
      <c r="BB5" s="504"/>
      <c r="BD5" s="504"/>
      <c r="BE5" s="504"/>
      <c r="BG5" s="504"/>
      <c r="BH5" s="643"/>
      <c r="BI5" s="644"/>
      <c r="BJ5" s="505"/>
      <c r="BK5" s="643"/>
      <c r="BL5" s="505"/>
      <c r="BN5" s="504"/>
      <c r="BO5" s="504"/>
      <c r="BP5" s="504"/>
      <c r="BR5" s="504"/>
      <c r="BS5" s="504"/>
      <c r="BU5" s="504"/>
      <c r="BV5" s="504"/>
      <c r="BW5" s="504"/>
      <c r="BY5" s="504"/>
      <c r="BZ5" s="504"/>
      <c r="CB5" s="504"/>
      <c r="CC5" s="504"/>
      <c r="CD5" s="504"/>
      <c r="CF5" s="504"/>
      <c r="CG5" s="504"/>
      <c r="CI5" s="504"/>
      <c r="CJ5" s="504"/>
      <c r="CK5" s="504"/>
      <c r="CL5" s="501"/>
      <c r="CM5" s="644"/>
      <c r="CN5" s="644"/>
      <c r="CO5" s="505"/>
      <c r="CP5" s="504"/>
      <c r="CQ5" s="504"/>
      <c r="CR5" s="504"/>
      <c r="CT5" s="504"/>
      <c r="CU5" s="504"/>
      <c r="CW5" s="504"/>
      <c r="CX5" s="504"/>
      <c r="CY5" s="504"/>
      <c r="DA5" s="504"/>
      <c r="DB5" s="504"/>
      <c r="DD5" s="504"/>
      <c r="DE5" s="504"/>
      <c r="DF5" s="504"/>
      <c r="DH5" s="504"/>
      <c r="DI5" s="504"/>
      <c r="DK5" s="504"/>
      <c r="DL5" s="504"/>
      <c r="DM5" s="504"/>
      <c r="DO5" s="504"/>
      <c r="DP5" s="504"/>
      <c r="DQ5" s="501"/>
      <c r="DR5" s="644"/>
      <c r="DS5" s="505"/>
      <c r="DT5" s="643"/>
      <c r="DU5" s="505"/>
      <c r="DV5" s="504"/>
      <c r="DW5" s="504"/>
      <c r="DY5" s="504"/>
      <c r="DZ5" s="504"/>
      <c r="EA5" s="504"/>
      <c r="EC5" s="504"/>
      <c r="ED5" s="504"/>
      <c r="EF5" s="504"/>
      <c r="EG5" s="504"/>
      <c r="EH5" s="504"/>
      <c r="EJ5" s="504"/>
      <c r="EK5" s="504"/>
      <c r="EM5" s="504"/>
      <c r="EN5" s="504"/>
      <c r="EO5" s="504"/>
      <c r="EQ5" s="504"/>
      <c r="ER5" s="504"/>
      <c r="ET5" s="504"/>
      <c r="EU5" s="643"/>
      <c r="EV5" s="644"/>
      <c r="EW5" s="644"/>
      <c r="EX5" s="505"/>
      <c r="EY5" s="643"/>
      <c r="EZ5" s="505"/>
      <c r="FA5" s="504"/>
      <c r="FB5" s="504"/>
      <c r="FC5" s="504"/>
      <c r="FE5" s="504"/>
      <c r="FF5" s="504"/>
      <c r="FH5" s="504"/>
      <c r="FI5" s="504"/>
      <c r="FJ5" s="504"/>
      <c r="FL5" s="504"/>
      <c r="FM5" s="504"/>
      <c r="FO5" s="504"/>
      <c r="FP5" s="504"/>
      <c r="FQ5" s="504"/>
      <c r="FS5" s="504"/>
      <c r="FT5" s="504"/>
      <c r="FV5" s="504"/>
      <c r="FW5" s="504"/>
      <c r="FX5" s="504"/>
      <c r="FZ5" s="643"/>
      <c r="GA5" s="644"/>
      <c r="GB5" s="505"/>
      <c r="GC5" s="504"/>
      <c r="GD5" s="504"/>
      <c r="GE5" s="504"/>
      <c r="GG5" s="504"/>
      <c r="GH5" s="504"/>
      <c r="GJ5" s="504"/>
      <c r="GK5" s="504"/>
      <c r="GL5" s="504"/>
      <c r="GN5" s="504"/>
      <c r="GO5" s="504"/>
      <c r="GQ5" s="504"/>
      <c r="GR5" s="504"/>
      <c r="GS5" s="504"/>
      <c r="GU5" s="504"/>
      <c r="GV5" s="504"/>
      <c r="GX5" s="504"/>
      <c r="GY5" s="504"/>
      <c r="GZ5" s="504"/>
      <c r="HB5" s="504"/>
      <c r="HC5" s="504"/>
      <c r="HE5" s="643"/>
      <c r="HF5" s="644"/>
      <c r="HG5" s="505"/>
      <c r="HI5" s="504"/>
      <c r="HJ5" s="504"/>
      <c r="HL5" s="504"/>
      <c r="HM5" s="504"/>
      <c r="HN5" s="504"/>
      <c r="HP5" s="504"/>
      <c r="HQ5" s="504"/>
      <c r="HS5" s="504"/>
      <c r="HT5" s="504"/>
      <c r="HU5" s="504"/>
      <c r="HW5" s="504"/>
      <c r="HX5" s="504"/>
      <c r="HZ5" s="504"/>
      <c r="IA5" s="504"/>
      <c r="IB5" s="504"/>
      <c r="ID5" s="504"/>
      <c r="IE5" s="504"/>
      <c r="IG5" s="504"/>
      <c r="IH5" s="504"/>
      <c r="II5" s="643"/>
      <c r="IJ5" s="644"/>
      <c r="IK5" s="644"/>
      <c r="IL5" s="505"/>
      <c r="IN5" s="504"/>
      <c r="IO5" s="504"/>
      <c r="IP5" s="504"/>
      <c r="IR5" s="504"/>
      <c r="IS5" s="504"/>
      <c r="IU5" s="504"/>
      <c r="IV5" s="504"/>
      <c r="IW5" s="504"/>
      <c r="IY5" s="504"/>
      <c r="IZ5" s="504"/>
      <c r="JB5" s="504"/>
      <c r="JC5" s="504"/>
      <c r="JD5" s="504"/>
      <c r="JF5" s="504"/>
      <c r="JG5" s="504"/>
      <c r="JI5" s="504"/>
      <c r="JJ5" s="504"/>
      <c r="JK5" s="504"/>
      <c r="JM5" s="504"/>
      <c r="JN5" s="643"/>
      <c r="JO5" s="505"/>
      <c r="JP5" s="504"/>
      <c r="JQ5" s="504"/>
      <c r="JR5" s="504"/>
      <c r="JT5" s="504"/>
      <c r="JU5" s="504"/>
      <c r="JW5" s="504"/>
      <c r="JX5" s="504"/>
      <c r="JY5" s="504"/>
      <c r="KA5" s="504"/>
      <c r="KB5" s="504"/>
      <c r="KD5" s="504"/>
      <c r="KE5" s="504"/>
      <c r="KF5" s="504"/>
      <c r="KH5" s="504"/>
      <c r="KI5" s="504"/>
      <c r="KK5" s="504"/>
      <c r="KL5" s="504"/>
      <c r="KM5" s="504"/>
      <c r="KO5" s="504"/>
      <c r="KP5" s="504"/>
      <c r="KR5" s="643"/>
      <c r="KS5" s="644"/>
      <c r="KT5" s="644"/>
      <c r="KU5" s="505"/>
      <c r="KV5" s="504"/>
      <c r="KW5" s="504"/>
      <c r="KY5" s="504"/>
      <c r="KZ5" s="504"/>
      <c r="LA5" s="504"/>
      <c r="LC5" s="504"/>
      <c r="LD5" s="504"/>
      <c r="LF5" s="504"/>
      <c r="LG5" s="504"/>
      <c r="LH5" s="504"/>
      <c r="LJ5" s="504"/>
      <c r="LK5" s="504"/>
      <c r="LM5" s="504"/>
      <c r="LN5" s="504"/>
      <c r="LO5" s="504"/>
      <c r="LQ5" s="504"/>
      <c r="LR5" s="504"/>
      <c r="LT5" s="504"/>
      <c r="LU5" s="504"/>
      <c r="LV5" s="504"/>
      <c r="LW5" s="501"/>
      <c r="LX5" s="643"/>
      <c r="LY5" s="643"/>
      <c r="MA5" s="504"/>
      <c r="MB5" s="504"/>
      <c r="MC5" s="504"/>
      <c r="ME5" s="504"/>
      <c r="MF5" s="504"/>
      <c r="MH5" s="504"/>
      <c r="MI5" s="504"/>
      <c r="MJ5" s="504"/>
      <c r="ML5" s="504"/>
      <c r="MM5" s="504"/>
      <c r="MO5" s="504"/>
      <c r="MP5" s="504"/>
      <c r="MQ5" s="504"/>
      <c r="MS5" s="504"/>
      <c r="MT5" s="504"/>
      <c r="MV5" s="504"/>
      <c r="MW5" s="504"/>
      <c r="MX5" s="504"/>
      <c r="MZ5" s="504"/>
      <c r="NA5" s="504"/>
      <c r="NC5" s="643"/>
      <c r="ND5" s="501"/>
    </row>
    <row r="6" spans="1:368" hidden="1" outlineLevel="1">
      <c r="A6" s="890" t="s">
        <v>52</v>
      </c>
      <c r="B6" s="886" t="str">
        <f>$A$5</f>
        <v>2023</v>
      </c>
      <c r="C6" s="887"/>
      <c r="D6" s="887"/>
      <c r="E6" s="887"/>
      <c r="F6" s="887"/>
      <c r="G6" s="887"/>
      <c r="H6" s="887"/>
      <c r="I6" s="414">
        <f t="shared" ref="I6:I17" ca="1" si="0">INDEX(INDIRECT(OFFSET($A$2, 0, COLUMN()-1)),
MATCH($B6*1,ListeAnnées,0),
MATCH($A6,ListeMois,0))</f>
        <v>1246.06</v>
      </c>
      <c r="J6" s="887"/>
      <c r="K6" s="887"/>
      <c r="L6" s="887"/>
      <c r="M6" s="61">
        <f ca="1">+C6+E6+G6+I6+K6</f>
        <v>1246.06</v>
      </c>
      <c r="N6" s="415"/>
      <c r="O6" s="887"/>
      <c r="P6" s="887"/>
      <c r="Q6" s="888"/>
      <c r="R6" s="56"/>
      <c r="S6" s="56"/>
      <c r="T6" s="56"/>
      <c r="AM6" s="1016"/>
      <c r="AN6" s="1016"/>
      <c r="AP6" s="1016"/>
      <c r="AQ6" s="1016"/>
      <c r="AS6" s="1016"/>
      <c r="AT6" s="1016"/>
      <c r="AU6" s="1016"/>
      <c r="AW6" s="1016"/>
      <c r="AX6" s="1016"/>
      <c r="AZ6" s="1016"/>
      <c r="BA6" s="1016"/>
      <c r="BB6" s="1016"/>
      <c r="BD6" s="1016"/>
      <c r="BE6" s="1016"/>
      <c r="BG6" s="1016"/>
      <c r="BH6" s="1017"/>
      <c r="BI6" s="1012"/>
      <c r="BJ6" s="1014"/>
      <c r="BK6" s="1017"/>
      <c r="BL6" s="1014"/>
      <c r="BN6" s="1016"/>
      <c r="BO6" s="1016"/>
      <c r="BP6" s="1016"/>
      <c r="BR6" s="1016"/>
      <c r="BS6" s="1016"/>
      <c r="BU6" s="1016"/>
      <c r="BV6" s="1016"/>
      <c r="BW6" s="1016"/>
      <c r="BY6" s="1016"/>
      <c r="BZ6" s="1016"/>
      <c r="CB6" s="1016"/>
      <c r="CC6" s="1016"/>
      <c r="CD6" s="1016"/>
      <c r="CF6" s="1016"/>
      <c r="CG6" s="1016"/>
      <c r="CI6" s="1016"/>
      <c r="CJ6" s="1016"/>
      <c r="CK6" s="1016"/>
      <c r="CL6" s="1013"/>
      <c r="CM6" s="1012"/>
      <c r="CN6" s="1012"/>
      <c r="CO6" s="1014"/>
      <c r="CP6" s="1016"/>
      <c r="CQ6" s="1016"/>
      <c r="CR6" s="1016"/>
      <c r="CT6" s="1016"/>
      <c r="CU6" s="1016"/>
      <c r="CW6" s="1016"/>
      <c r="CX6" s="1016"/>
      <c r="CY6" s="1016"/>
      <c r="DA6" s="1016"/>
      <c r="DB6" s="1016"/>
      <c r="DD6" s="1016"/>
      <c r="DE6" s="1016"/>
      <c r="DF6" s="1016"/>
      <c r="DH6" s="1016"/>
      <c r="DI6" s="1016"/>
      <c r="DK6" s="1016"/>
      <c r="DL6" s="1016"/>
      <c r="DM6" s="1016"/>
      <c r="DO6" s="1016"/>
      <c r="DP6" s="1016"/>
      <c r="DQ6" s="1013"/>
      <c r="DR6" s="1012"/>
      <c r="DS6" s="1014"/>
      <c r="DT6" s="1017"/>
      <c r="DU6" s="1014"/>
      <c r="DV6" s="1016"/>
      <c r="DW6" s="1016"/>
      <c r="DY6" s="1016"/>
      <c r="DZ6" s="1016"/>
      <c r="EA6" s="1016"/>
      <c r="EC6" s="1016"/>
      <c r="ED6" s="1016"/>
      <c r="EF6" s="1016"/>
      <c r="EG6" s="1016"/>
      <c r="EH6" s="1016"/>
      <c r="EJ6" s="1016"/>
      <c r="EK6" s="1016"/>
      <c r="EM6" s="1016"/>
      <c r="EN6" s="1016"/>
      <c r="EO6" s="1016"/>
      <c r="EQ6" s="1016"/>
      <c r="ER6" s="1016"/>
      <c r="ET6" s="1016"/>
      <c r="EU6" s="1017"/>
      <c r="EV6" s="1012"/>
      <c r="EW6" s="1012"/>
      <c r="EX6" s="1014"/>
      <c r="EY6" s="1017"/>
      <c r="EZ6" s="1014"/>
      <c r="FA6" s="1016"/>
      <c r="FB6" s="1016"/>
      <c r="FC6" s="1016"/>
      <c r="FE6" s="1016"/>
      <c r="FF6" s="1016"/>
      <c r="FH6" s="1016"/>
      <c r="FI6" s="1016"/>
      <c r="FJ6" s="1016"/>
      <c r="FL6" s="1016"/>
      <c r="FM6" s="1016"/>
      <c r="FO6" s="1016"/>
      <c r="FP6" s="1016"/>
      <c r="FQ6" s="1016"/>
      <c r="FS6" s="1016"/>
      <c r="FT6" s="1016"/>
      <c r="FV6" s="1016"/>
      <c r="FW6" s="1016"/>
      <c r="FX6" s="1016"/>
      <c r="FZ6" s="1017"/>
      <c r="GA6" s="1012"/>
      <c r="GB6" s="1014"/>
      <c r="GC6" s="1016"/>
      <c r="GD6" s="1016"/>
      <c r="GE6" s="1016"/>
      <c r="GG6" s="1016"/>
      <c r="GH6" s="1016"/>
      <c r="GJ6" s="1016"/>
      <c r="GK6" s="1016"/>
      <c r="GL6" s="1016"/>
      <c r="GN6" s="1016"/>
      <c r="GO6" s="1016"/>
      <c r="GQ6" s="1016"/>
      <c r="GR6" s="1016"/>
      <c r="GS6" s="1016"/>
      <c r="GU6" s="1016"/>
      <c r="GV6" s="1016"/>
      <c r="GX6" s="1016"/>
      <c r="GY6" s="1016"/>
      <c r="GZ6" s="1016"/>
      <c r="HB6" s="1016"/>
      <c r="HC6" s="1016"/>
      <c r="HE6" s="1017"/>
      <c r="HF6" s="1012"/>
      <c r="HG6" s="1014"/>
      <c r="HI6" s="1016"/>
      <c r="HJ6" s="1016"/>
      <c r="HL6" s="1016"/>
      <c r="HM6" s="1016"/>
      <c r="HN6" s="1016"/>
      <c r="HP6" s="1016"/>
      <c r="HQ6" s="1016"/>
      <c r="HS6" s="1016"/>
      <c r="HT6" s="1016"/>
      <c r="HU6" s="1016"/>
      <c r="HW6" s="1016"/>
      <c r="HX6" s="1016"/>
      <c r="HZ6" s="1016"/>
      <c r="IA6" s="1016"/>
      <c r="IB6" s="1016"/>
      <c r="ID6" s="1016"/>
      <c r="IE6" s="1016"/>
      <c r="IG6" s="1016"/>
      <c r="IH6" s="1016"/>
      <c r="II6" s="1017"/>
      <c r="IJ6" s="1012"/>
      <c r="IK6" s="1012"/>
      <c r="IL6" s="1014"/>
      <c r="IN6" s="1016"/>
      <c r="IO6" s="1016"/>
      <c r="IP6" s="1016"/>
      <c r="IR6" s="1016"/>
      <c r="IS6" s="1016"/>
      <c r="IU6" s="1016"/>
      <c r="IV6" s="1016"/>
      <c r="IW6" s="1016"/>
      <c r="IY6" s="1016"/>
      <c r="IZ6" s="1016"/>
      <c r="JB6" s="1016"/>
      <c r="JC6" s="1016"/>
      <c r="JD6" s="1016"/>
      <c r="JF6" s="1016"/>
      <c r="JG6" s="1016"/>
      <c r="JI6" s="1016"/>
      <c r="JJ6" s="1016"/>
      <c r="JK6" s="1016"/>
      <c r="JM6" s="1016"/>
      <c r="JN6" s="1017"/>
      <c r="JO6" s="1014"/>
      <c r="JP6" s="1016"/>
      <c r="JQ6" s="1016"/>
      <c r="JR6" s="1016"/>
      <c r="JT6" s="1016"/>
      <c r="JU6" s="1016"/>
      <c r="JW6" s="1016"/>
      <c r="JX6" s="1016"/>
      <c r="JY6" s="1016"/>
      <c r="KA6" s="1016"/>
      <c r="KB6" s="1016"/>
      <c r="KD6" s="1016"/>
      <c r="KE6" s="1016"/>
      <c r="KF6" s="1016"/>
      <c r="KH6" s="1016"/>
      <c r="KI6" s="1016"/>
      <c r="KK6" s="1016"/>
      <c r="KL6" s="1016"/>
      <c r="KM6" s="1016"/>
      <c r="KO6" s="1016"/>
      <c r="KP6" s="1016"/>
      <c r="KR6" s="1017"/>
      <c r="KS6" s="1012"/>
      <c r="KT6" s="1012"/>
      <c r="KU6" s="1014"/>
      <c r="KV6" s="1016"/>
      <c r="KW6" s="1016"/>
      <c r="KY6" s="1016"/>
      <c r="KZ6" s="1016"/>
      <c r="LA6" s="1016"/>
      <c r="LC6" s="1016"/>
      <c r="LD6" s="1016"/>
      <c r="LF6" s="1016"/>
      <c r="LG6" s="1016"/>
      <c r="LH6" s="1016"/>
      <c r="LJ6" s="1016"/>
      <c r="LK6" s="1016"/>
      <c r="LM6" s="1016"/>
      <c r="LN6" s="1016"/>
      <c r="LO6" s="1016"/>
      <c r="LQ6" s="1016"/>
      <c r="LR6" s="1016"/>
      <c r="LT6" s="1016"/>
      <c r="LU6" s="1016"/>
      <c r="LV6" s="1016"/>
      <c r="LW6" s="1013"/>
      <c r="LX6" s="1017"/>
      <c r="LY6" s="1017"/>
      <c r="MA6" s="1016"/>
      <c r="MB6" s="1016"/>
      <c r="MC6" s="1016"/>
      <c r="ME6" s="1016"/>
      <c r="MF6" s="1016"/>
      <c r="MH6" s="1016"/>
      <c r="MI6" s="1016"/>
      <c r="MJ6" s="1016"/>
      <c r="ML6" s="1016"/>
      <c r="MM6" s="1016"/>
      <c r="MO6" s="1016"/>
      <c r="MP6" s="1016"/>
      <c r="MQ6" s="1016"/>
      <c r="MS6" s="1016"/>
      <c r="MT6" s="1016"/>
      <c r="MV6" s="1016"/>
      <c r="MW6" s="1016"/>
      <c r="MX6" s="1016"/>
      <c r="MZ6" s="1016"/>
      <c r="NA6" s="1016"/>
      <c r="NC6" s="1017"/>
      <c r="ND6" s="1013"/>
    </row>
    <row r="7" spans="1:368" hidden="1" outlineLevel="1">
      <c r="A7" s="890" t="s">
        <v>53</v>
      </c>
      <c r="B7" s="886" t="str">
        <f t="shared" ref="B7:B17" si="1">$A$5</f>
        <v>2023</v>
      </c>
      <c r="C7" s="887"/>
      <c r="D7" s="887"/>
      <c r="E7" s="887"/>
      <c r="F7" s="887"/>
      <c r="G7" s="887"/>
      <c r="H7" s="887"/>
      <c r="I7" s="414">
        <f t="shared" ca="1" si="0"/>
        <v>1341.91</v>
      </c>
      <c r="J7" s="887"/>
      <c r="K7" s="887"/>
      <c r="L7" s="887"/>
      <c r="M7" s="415">
        <f ca="1">SUM(Budget!$C7:$K7)</f>
        <v>1341.91</v>
      </c>
      <c r="N7" s="415"/>
      <c r="O7" s="887"/>
      <c r="P7" s="887"/>
      <c r="Q7" s="888"/>
      <c r="R7" s="56"/>
      <c r="S7" s="56"/>
      <c r="T7" s="56"/>
      <c r="AM7" s="1016"/>
      <c r="AN7" s="1016"/>
      <c r="AP7" s="1016"/>
      <c r="AQ7" s="1016"/>
      <c r="AS7" s="1016"/>
      <c r="AT7" s="1016"/>
      <c r="AU7" s="1016"/>
      <c r="AW7" s="1016"/>
      <c r="AX7" s="1016"/>
      <c r="AZ7" s="1016"/>
      <c r="BA7" s="1016"/>
      <c r="BB7" s="1016"/>
      <c r="BD7" s="1016"/>
      <c r="BE7" s="1016"/>
      <c r="BG7" s="1016"/>
      <c r="BH7" s="1016"/>
      <c r="BI7" s="1017"/>
      <c r="BJ7" s="1014"/>
      <c r="BK7" s="1017"/>
      <c r="BL7" s="1014"/>
      <c r="BN7" s="1016"/>
      <c r="BO7" s="1016"/>
      <c r="BP7" s="1016"/>
      <c r="BR7" s="1016"/>
      <c r="BS7" s="1016"/>
      <c r="BU7" s="1016"/>
      <c r="BV7" s="1016"/>
      <c r="BW7" s="1016"/>
      <c r="BY7" s="1016"/>
      <c r="BZ7" s="1016"/>
      <c r="CB7" s="1016"/>
      <c r="CC7" s="1016"/>
      <c r="CD7" s="1016"/>
      <c r="CF7" s="1016"/>
      <c r="CG7" s="1016"/>
      <c r="CI7" s="1016"/>
      <c r="CJ7" s="1016"/>
      <c r="CK7" s="1016"/>
      <c r="CM7" s="1017"/>
      <c r="CN7" s="1012"/>
      <c r="CO7" s="1012"/>
      <c r="CP7" s="1014"/>
      <c r="CQ7" s="1016"/>
      <c r="CR7" s="1016"/>
      <c r="CT7" s="1016"/>
      <c r="CU7" s="1016"/>
      <c r="CW7" s="1016"/>
      <c r="CX7" s="1016"/>
      <c r="CY7" s="1016"/>
      <c r="DA7" s="1016"/>
      <c r="DB7" s="1016"/>
      <c r="DD7" s="1016"/>
      <c r="DE7" s="1016"/>
      <c r="DF7" s="1016"/>
      <c r="DH7" s="1016"/>
      <c r="DI7" s="1016"/>
      <c r="DK7" s="1016"/>
      <c r="DL7" s="1016"/>
      <c r="DM7" s="1016"/>
      <c r="DO7" s="1016"/>
      <c r="DP7" s="1016"/>
      <c r="DR7" s="1017"/>
      <c r="DS7" s="1014"/>
      <c r="DT7" s="1017"/>
      <c r="DU7" s="1014"/>
      <c r="DV7" s="1016"/>
      <c r="DW7" s="1016"/>
      <c r="DY7" s="1016"/>
      <c r="DZ7" s="1016"/>
      <c r="EA7" s="1016"/>
      <c r="EC7" s="1016"/>
      <c r="ED7" s="1016"/>
      <c r="EF7" s="1016"/>
      <c r="EG7" s="1016"/>
      <c r="EH7" s="1016"/>
      <c r="EJ7" s="1016"/>
      <c r="EK7" s="1016"/>
      <c r="EM7" s="1016"/>
      <c r="EN7" s="1016"/>
      <c r="EO7" s="1016"/>
      <c r="EQ7" s="1016"/>
      <c r="ER7" s="1016"/>
      <c r="ET7" s="1016"/>
      <c r="EU7" s="1016"/>
      <c r="EV7" s="1017"/>
      <c r="EW7" s="1012"/>
      <c r="EX7" s="1014"/>
      <c r="EY7" s="1017"/>
      <c r="EZ7" s="1014"/>
      <c r="FA7" s="1016"/>
      <c r="FB7" s="1016"/>
      <c r="FC7" s="1016"/>
      <c r="FE7" s="1016"/>
      <c r="FF7" s="1016"/>
      <c r="FH7" s="1016"/>
      <c r="FI7" s="1016"/>
      <c r="FJ7" s="1016"/>
      <c r="FL7" s="1016"/>
      <c r="FM7" s="1016"/>
      <c r="FO7" s="1016"/>
      <c r="FP7" s="1016"/>
      <c r="FQ7" s="1016"/>
      <c r="FS7" s="1016"/>
      <c r="FT7" s="1016"/>
      <c r="FV7" s="1016"/>
      <c r="FW7" s="1016"/>
      <c r="FX7" s="1016"/>
      <c r="FZ7" s="1016"/>
      <c r="GA7" s="1017"/>
      <c r="GB7" s="1012"/>
      <c r="GC7" s="1014"/>
      <c r="GD7" s="1016"/>
      <c r="GE7" s="1016"/>
      <c r="GG7" s="1016"/>
      <c r="GH7" s="1016"/>
      <c r="GJ7" s="1016"/>
      <c r="GK7" s="1016"/>
      <c r="GL7" s="1016"/>
      <c r="GN7" s="1016"/>
      <c r="GO7" s="1016"/>
      <c r="GQ7" s="1016"/>
      <c r="GR7" s="1016"/>
      <c r="GS7" s="1016"/>
      <c r="GU7" s="1016"/>
      <c r="GV7" s="1016"/>
      <c r="GX7" s="1016"/>
      <c r="GY7" s="1016"/>
      <c r="GZ7" s="1016"/>
      <c r="HB7" s="1016"/>
      <c r="HC7" s="1016"/>
      <c r="HE7" s="1016"/>
      <c r="HF7" s="1017"/>
      <c r="HG7" s="1014"/>
      <c r="HI7" s="1016"/>
      <c r="HJ7" s="1016"/>
      <c r="HL7" s="1016"/>
      <c r="HM7" s="1016"/>
      <c r="HN7" s="1016"/>
      <c r="HP7" s="1016"/>
      <c r="HQ7" s="1016"/>
      <c r="HS7" s="1016"/>
      <c r="HT7" s="1016"/>
      <c r="HU7" s="1016"/>
      <c r="HW7" s="1016"/>
      <c r="HX7" s="1016"/>
      <c r="HZ7" s="1016"/>
      <c r="IA7" s="1016"/>
      <c r="IB7" s="1016"/>
      <c r="ID7" s="1016"/>
      <c r="IE7" s="1016"/>
      <c r="IG7" s="1016"/>
      <c r="IH7" s="1016"/>
      <c r="II7" s="1016"/>
      <c r="IJ7" s="1013"/>
      <c r="IK7" s="1012"/>
      <c r="IL7" s="1014"/>
      <c r="IN7" s="1016"/>
      <c r="IO7" s="1016"/>
      <c r="IP7" s="1016"/>
      <c r="IR7" s="1016"/>
      <c r="IS7" s="1016"/>
      <c r="IU7" s="1016"/>
      <c r="IV7" s="1016"/>
      <c r="IW7" s="1016"/>
      <c r="IY7" s="1016"/>
      <c r="IZ7" s="1016"/>
      <c r="JB7" s="1016"/>
      <c r="JC7" s="1016"/>
      <c r="JD7" s="1016"/>
      <c r="JF7" s="1016"/>
      <c r="JG7" s="1016"/>
      <c r="JI7" s="1016"/>
      <c r="JJ7" s="1016"/>
      <c r="JK7" s="1016"/>
      <c r="JM7" s="1016"/>
      <c r="JN7" s="1016"/>
      <c r="JO7" s="1013"/>
      <c r="JP7" s="1014"/>
      <c r="JQ7" s="1016"/>
      <c r="JR7" s="1016"/>
      <c r="JT7" s="1016"/>
      <c r="JU7" s="1016"/>
      <c r="JW7" s="1016"/>
      <c r="JX7" s="1016"/>
      <c r="JY7" s="1016"/>
      <c r="KA7" s="1016"/>
      <c r="KB7" s="1016"/>
      <c r="KD7" s="1016"/>
      <c r="KE7" s="1016"/>
      <c r="KF7" s="1016"/>
      <c r="KH7" s="1016"/>
      <c r="KI7" s="1016"/>
      <c r="KK7" s="1016"/>
      <c r="KL7" s="1016"/>
      <c r="KM7" s="1016"/>
      <c r="KO7" s="1016"/>
      <c r="KP7" s="1016"/>
      <c r="KR7" s="1016"/>
      <c r="KS7" s="1017"/>
      <c r="KT7" s="1012"/>
      <c r="KU7" s="1014"/>
      <c r="KV7" s="1016"/>
      <c r="KW7" s="1016"/>
      <c r="KY7" s="1016"/>
      <c r="KZ7" s="1016"/>
      <c r="LA7" s="1016"/>
      <c r="LC7" s="1016"/>
      <c r="LD7" s="1016"/>
      <c r="LF7" s="1016"/>
      <c r="LG7" s="1016"/>
      <c r="LH7" s="1016"/>
      <c r="LJ7" s="1016"/>
      <c r="LK7" s="1016"/>
      <c r="LM7" s="1016"/>
      <c r="LN7" s="1016"/>
      <c r="LO7" s="1016"/>
      <c r="LQ7" s="1016"/>
      <c r="LR7" s="1016"/>
      <c r="LT7" s="1016"/>
      <c r="LU7" s="1016"/>
      <c r="LV7" s="1016"/>
      <c r="LX7" s="1017"/>
      <c r="LY7" s="1017"/>
      <c r="MA7" s="1016"/>
      <c r="MB7" s="1016"/>
      <c r="MC7" s="1016"/>
      <c r="ME7" s="1016"/>
      <c r="MF7" s="1016"/>
      <c r="MH7" s="1016"/>
      <c r="MI7" s="1016"/>
      <c r="MJ7" s="1016"/>
      <c r="ML7" s="1016"/>
      <c r="MM7" s="1016"/>
      <c r="MO7" s="1016"/>
      <c r="MP7" s="1016"/>
      <c r="MQ7" s="1016"/>
      <c r="MS7" s="1016"/>
      <c r="MT7" s="1016"/>
      <c r="MV7" s="1016"/>
      <c r="MW7" s="1016"/>
      <c r="MX7" s="1016"/>
      <c r="MZ7" s="1016"/>
      <c r="NA7" s="1016"/>
      <c r="NC7" s="1016"/>
      <c r="ND7" s="1013"/>
    </row>
    <row r="8" spans="1:368" hidden="1" outlineLevel="1">
      <c r="A8" s="890" t="s">
        <v>26</v>
      </c>
      <c r="B8" s="886" t="str">
        <f t="shared" si="1"/>
        <v>2023</v>
      </c>
      <c r="C8" s="887"/>
      <c r="D8" s="887"/>
      <c r="E8" s="887"/>
      <c r="F8" s="887"/>
      <c r="G8" s="887"/>
      <c r="H8" s="887"/>
      <c r="I8" s="414">
        <f t="shared" ca="1" si="0"/>
        <v>1485.68</v>
      </c>
      <c r="J8" s="887"/>
      <c r="K8" s="887"/>
      <c r="L8" s="887"/>
      <c r="M8" s="415">
        <f ca="1">SUM(Budget!$C8:$K8)</f>
        <v>1485.68</v>
      </c>
      <c r="N8" s="415"/>
      <c r="O8" s="887"/>
      <c r="P8" s="887"/>
      <c r="Q8" s="888"/>
      <c r="R8" s="56"/>
      <c r="S8" s="56"/>
      <c r="T8" s="56"/>
      <c r="AN8" s="1016"/>
      <c r="AP8" s="1016"/>
      <c r="AQ8" s="1016"/>
      <c r="AS8" s="1016"/>
      <c r="AU8" s="1016"/>
      <c r="AW8" s="1016"/>
      <c r="AX8" s="1016"/>
      <c r="AZ8" s="1016"/>
      <c r="BB8" s="1016"/>
      <c r="BD8" s="1016"/>
      <c r="BE8" s="1016"/>
      <c r="BG8" s="1016"/>
      <c r="BI8" s="1017"/>
      <c r="BJ8" s="1014"/>
      <c r="BK8" s="1017"/>
      <c r="BL8" s="1014"/>
      <c r="BN8" s="1016"/>
      <c r="BP8" s="1016"/>
      <c r="BR8" s="1016"/>
      <c r="BS8" s="1016"/>
      <c r="BU8" s="1016"/>
      <c r="BW8" s="1016"/>
      <c r="BY8" s="1016"/>
      <c r="BZ8" s="1016"/>
      <c r="CB8" s="1016"/>
      <c r="CD8" s="1016"/>
      <c r="CF8" s="1016"/>
      <c r="CG8" s="1016"/>
      <c r="CI8" s="1016"/>
      <c r="CK8" s="1016"/>
      <c r="CM8" s="1016"/>
      <c r="CN8" s="1017"/>
      <c r="CO8" s="1012"/>
      <c r="CP8" s="1012"/>
      <c r="CQ8" s="1014"/>
      <c r="CR8" s="1016"/>
      <c r="CT8" s="1016"/>
      <c r="CU8" s="1016"/>
      <c r="CW8" s="1016"/>
      <c r="CY8" s="1016"/>
      <c r="DA8" s="1016"/>
      <c r="DB8" s="1016"/>
      <c r="DD8" s="1016"/>
      <c r="DF8" s="1016"/>
      <c r="DH8" s="1016"/>
      <c r="DI8" s="1016"/>
      <c r="DK8" s="1016"/>
      <c r="DM8" s="1016"/>
      <c r="DO8" s="1016"/>
      <c r="DP8" s="1016"/>
      <c r="DR8" s="1017"/>
      <c r="DS8" s="1014"/>
      <c r="DT8" s="1017"/>
      <c r="DU8" s="1014"/>
      <c r="DV8" s="1016"/>
      <c r="DW8" s="1016"/>
      <c r="DY8" s="1016"/>
      <c r="EA8" s="1016"/>
      <c r="EC8" s="1016"/>
      <c r="ED8" s="1016"/>
      <c r="EF8" s="1016"/>
      <c r="EH8" s="1016"/>
      <c r="EJ8" s="1016"/>
      <c r="EK8" s="1016"/>
      <c r="EM8" s="1016"/>
      <c r="EO8" s="1016"/>
      <c r="EQ8" s="1016"/>
      <c r="ER8" s="1016"/>
      <c r="ET8" s="1016"/>
      <c r="EV8" s="1016"/>
      <c r="EW8" s="1013"/>
      <c r="EX8" s="1014"/>
      <c r="EY8" s="1017"/>
      <c r="EZ8" s="1014"/>
      <c r="FA8" s="1016"/>
      <c r="FC8" s="1016"/>
      <c r="FE8" s="1016"/>
      <c r="FF8" s="1016"/>
      <c r="FH8" s="1016"/>
      <c r="FJ8" s="1016"/>
      <c r="FL8" s="1016"/>
      <c r="FM8" s="1016"/>
      <c r="FO8" s="1016"/>
      <c r="FQ8" s="1016"/>
      <c r="FS8" s="1016"/>
      <c r="FT8" s="1016"/>
      <c r="FV8" s="1016"/>
      <c r="FX8" s="1016"/>
      <c r="FZ8" s="1016"/>
      <c r="GA8" s="1017"/>
      <c r="GB8" s="1012"/>
      <c r="GC8" s="1014"/>
      <c r="GE8" s="1016"/>
      <c r="GG8" s="1016"/>
      <c r="GH8" s="1016"/>
      <c r="GJ8" s="1016"/>
      <c r="GL8" s="1016"/>
      <c r="GN8" s="1016"/>
      <c r="GO8" s="1016"/>
      <c r="GQ8" s="1016"/>
      <c r="GS8" s="1016"/>
      <c r="GU8" s="1016"/>
      <c r="GV8" s="1016"/>
      <c r="GX8" s="1016"/>
      <c r="GZ8" s="1016"/>
      <c r="HB8" s="1016"/>
      <c r="HC8" s="1016"/>
      <c r="HE8" s="1016"/>
      <c r="HF8" s="1013"/>
      <c r="HG8" s="1014"/>
      <c r="HI8" s="1016"/>
      <c r="HJ8" s="1016"/>
      <c r="HL8" s="1016"/>
      <c r="HN8" s="1016"/>
      <c r="HP8" s="1016"/>
      <c r="HQ8" s="1016"/>
      <c r="HS8" s="1016"/>
      <c r="HU8" s="1016"/>
      <c r="HW8" s="1016"/>
      <c r="HX8" s="1016"/>
      <c r="HZ8" s="1016"/>
      <c r="IB8" s="1016"/>
      <c r="ID8" s="1016"/>
      <c r="IE8" s="1016"/>
      <c r="IG8" s="1016"/>
      <c r="II8" s="1016"/>
      <c r="IK8" s="1017"/>
      <c r="IL8" s="1014"/>
      <c r="IN8" s="1016"/>
      <c r="IP8" s="1016"/>
      <c r="IR8" s="1016"/>
      <c r="IS8" s="1016"/>
      <c r="IU8" s="1016"/>
      <c r="IW8" s="1016"/>
      <c r="IY8" s="1016"/>
      <c r="IZ8" s="1016"/>
      <c r="JB8" s="1016"/>
      <c r="JD8" s="1016"/>
      <c r="JF8" s="1016"/>
      <c r="JG8" s="1016"/>
      <c r="JI8" s="1016"/>
      <c r="JK8" s="1016"/>
      <c r="JM8" s="1016"/>
      <c r="JN8" s="1016"/>
      <c r="JO8" s="1013"/>
      <c r="JP8" s="1014"/>
      <c r="JR8" s="1016"/>
      <c r="JT8" s="1016"/>
      <c r="JU8" s="1016"/>
      <c r="JW8" s="1016"/>
      <c r="JY8" s="1016"/>
      <c r="KA8" s="1016"/>
      <c r="KB8" s="1016"/>
      <c r="KD8" s="1016"/>
      <c r="KF8" s="1016"/>
      <c r="KH8" s="1016"/>
      <c r="KI8" s="1016"/>
      <c r="KK8" s="1016"/>
      <c r="KM8" s="1016"/>
      <c r="KO8" s="1016"/>
      <c r="KP8" s="1016"/>
      <c r="KR8" s="1016"/>
      <c r="KT8" s="1017"/>
      <c r="KU8" s="1014"/>
      <c r="KV8" s="1016"/>
      <c r="KW8" s="1016"/>
      <c r="KY8" s="1016"/>
      <c r="LA8" s="1016"/>
      <c r="LC8" s="1016"/>
      <c r="LD8" s="1016"/>
      <c r="LF8" s="1016"/>
      <c r="LH8" s="1016"/>
      <c r="LJ8" s="1016"/>
      <c r="LK8" s="1016"/>
      <c r="LM8" s="1016"/>
      <c r="LO8" s="1016"/>
      <c r="LQ8" s="1016"/>
      <c r="LR8" s="1016"/>
      <c r="LT8" s="1016"/>
      <c r="LV8" s="1016"/>
      <c r="LX8" s="1017"/>
      <c r="LY8" s="1017"/>
      <c r="MA8" s="1016"/>
      <c r="MC8" s="1016"/>
      <c r="ME8" s="1016"/>
      <c r="MF8" s="1016"/>
      <c r="MH8" s="1016"/>
      <c r="MJ8" s="1016"/>
      <c r="ML8" s="1016"/>
      <c r="MM8" s="1016"/>
      <c r="MO8" s="1016"/>
      <c r="MQ8" s="1016"/>
      <c r="MS8" s="1016"/>
      <c r="MT8" s="1016"/>
      <c r="MV8" s="1016"/>
      <c r="MX8" s="1016"/>
      <c r="MZ8" s="1016"/>
      <c r="NA8" s="1016"/>
      <c r="NC8" s="1016"/>
      <c r="ND8" s="1013"/>
    </row>
    <row r="9" spans="1:368" hidden="1" outlineLevel="1">
      <c r="A9" s="890" t="s">
        <v>27</v>
      </c>
      <c r="B9" s="886" t="str">
        <f t="shared" si="1"/>
        <v>2023</v>
      </c>
      <c r="C9" s="887"/>
      <c r="D9" s="887"/>
      <c r="E9" s="887"/>
      <c r="F9" s="887"/>
      <c r="G9" s="887"/>
      <c r="H9" s="887"/>
      <c r="I9" s="414">
        <f t="shared" ca="1" si="0"/>
        <v>1437.76</v>
      </c>
      <c r="J9" s="887"/>
      <c r="K9" s="887"/>
      <c r="L9" s="887"/>
      <c r="M9" s="415">
        <f ca="1">SUM(Budget!$C9:$K9)</f>
        <v>1437.76</v>
      </c>
      <c r="N9" s="415"/>
      <c r="O9" s="887"/>
      <c r="P9" s="887"/>
      <c r="Q9" s="888"/>
      <c r="R9" s="56"/>
      <c r="S9" s="56"/>
      <c r="T9" s="56"/>
    </row>
    <row r="10" spans="1:368" hidden="1" outlineLevel="1">
      <c r="A10" s="890" t="s">
        <v>28</v>
      </c>
      <c r="B10" s="886" t="str">
        <f t="shared" si="1"/>
        <v>2023</v>
      </c>
      <c r="C10" s="887"/>
      <c r="D10" s="887"/>
      <c r="E10" s="887"/>
      <c r="F10" s="887"/>
      <c r="G10" s="887"/>
      <c r="H10" s="887"/>
      <c r="I10" s="414">
        <f t="shared" ca="1" si="0"/>
        <v>1485.68</v>
      </c>
      <c r="J10" s="887"/>
      <c r="K10" s="887"/>
      <c r="L10" s="887"/>
      <c r="M10" s="415">
        <f ca="1">SUM(Budget!$C10:$K10)</f>
        <v>1485.68</v>
      </c>
      <c r="N10" s="415"/>
      <c r="O10" s="887"/>
      <c r="P10" s="887"/>
      <c r="Q10" s="888"/>
      <c r="R10" s="56"/>
      <c r="S10" s="56"/>
      <c r="T10" s="56"/>
    </row>
    <row r="11" spans="1:368" s="23" customFormat="1" hidden="1" outlineLevel="1">
      <c r="A11" s="890" t="s">
        <v>29</v>
      </c>
      <c r="B11" s="886" t="str">
        <f t="shared" si="1"/>
        <v>2023</v>
      </c>
      <c r="C11" s="887"/>
      <c r="D11" s="887"/>
      <c r="E11" s="887"/>
      <c r="F11" s="887"/>
      <c r="G11" s="887"/>
      <c r="H11" s="887"/>
      <c r="I11" s="414">
        <f t="shared" ca="1" si="0"/>
        <v>1437.76</v>
      </c>
      <c r="J11" s="887"/>
      <c r="K11" s="887"/>
      <c r="L11" s="887"/>
      <c r="M11" s="415">
        <f ca="1">SUM(Budget!$C11:$K11)</f>
        <v>1437.76</v>
      </c>
      <c r="N11" s="415"/>
      <c r="O11" s="887"/>
      <c r="P11" s="887"/>
      <c r="Q11" s="888"/>
      <c r="R11" s="57"/>
      <c r="S11" s="57"/>
      <c r="T11" s="57"/>
    </row>
    <row r="12" spans="1:368" s="23" customFormat="1" hidden="1" outlineLevel="1">
      <c r="A12" s="890" t="s">
        <v>54</v>
      </c>
      <c r="B12" s="886" t="str">
        <f t="shared" si="1"/>
        <v>2023</v>
      </c>
      <c r="C12" s="887"/>
      <c r="D12" s="887"/>
      <c r="E12" s="887"/>
      <c r="F12" s="887"/>
      <c r="G12" s="887"/>
      <c r="H12" s="887"/>
      <c r="I12" s="414">
        <f t="shared" ca="1" si="0"/>
        <v>479.25</v>
      </c>
      <c r="J12" s="887"/>
      <c r="K12" s="887"/>
      <c r="L12" s="887"/>
      <c r="M12" s="415">
        <f ca="1">SUM(Budget!$C12:$K12)</f>
        <v>479.25</v>
      </c>
      <c r="N12" s="415"/>
      <c r="O12" s="887"/>
      <c r="P12" s="887"/>
      <c r="Q12" s="888"/>
      <c r="R12" s="57"/>
      <c r="S12" s="57"/>
      <c r="T12" s="57"/>
    </row>
    <row r="13" spans="1:368" s="23" customFormat="1" hidden="1" outlineLevel="1">
      <c r="A13" s="1214" t="s">
        <v>55</v>
      </c>
      <c r="B13" s="886" t="str">
        <f t="shared" si="1"/>
        <v>2023</v>
      </c>
      <c r="C13" s="414">
        <f ca="1">INDEX(INDIRECT(OFFSET($A$2, 0, COLUMN()-1)),
MATCH($B13*1,ListeAnnées,0),
MATCH($A13,ListeMois,0))</f>
        <v>230.21</v>
      </c>
      <c r="D13" s="415"/>
      <c r="E13" s="414">
        <f ca="1">INDEX(INDIRECT(OFFSET($A$2, 0, COLUMN()-1)),
MATCH($B13*1,ListeAnnées,0),
MATCH($A13,ListeMois,0))</f>
        <v>2243.4499999999998</v>
      </c>
      <c r="F13" s="415"/>
      <c r="G13" s="415">
        <v>0</v>
      </c>
      <c r="H13" s="415"/>
      <c r="I13" s="414">
        <f t="shared" ca="1" si="0"/>
        <v>1682.24</v>
      </c>
      <c r="J13" s="415"/>
      <c r="K13" s="415">
        <f>+Récapitulatif!J130</f>
        <v>2151.0700000000002</v>
      </c>
      <c r="L13" s="415"/>
      <c r="M13" s="415">
        <f ca="1">SUM(Budget!$C13:$K13)</f>
        <v>6306.9699999999993</v>
      </c>
      <c r="N13" s="415"/>
      <c r="O13" s="887">
        <v>28000</v>
      </c>
      <c r="P13" s="887"/>
      <c r="Q13" s="1215"/>
      <c r="R13" s="57"/>
      <c r="S13" s="57"/>
      <c r="T13" s="57"/>
    </row>
    <row r="14" spans="1:368" hidden="1" outlineLevel="1">
      <c r="A14" s="1216" t="s">
        <v>56</v>
      </c>
      <c r="B14" s="886" t="str">
        <f t="shared" si="1"/>
        <v>2023</v>
      </c>
      <c r="C14" s="414">
        <f ca="1">INDEX(INDIRECT(OFFSET($A$2, 0, COLUMN()-1)),
MATCH($B14*1,ListeAnnées,0),
MATCH($A14,ListeMois,0))</f>
        <v>2324.13</v>
      </c>
      <c r="D14" s="414"/>
      <c r="E14" s="414">
        <f ca="1">INDEX(INDIRECT(OFFSET($A$2, 0, COLUMN()-1)),
MATCH($B14*1,ListeAnnées,0),
MATCH($A14,ListeMois,0))</f>
        <v>4831.3900000000003</v>
      </c>
      <c r="F14" s="414"/>
      <c r="G14" s="414">
        <v>0</v>
      </c>
      <c r="H14" s="414"/>
      <c r="I14" s="414">
        <f t="shared" ca="1" si="0"/>
        <v>1062.46</v>
      </c>
      <c r="J14" s="414"/>
      <c r="K14" s="414">
        <f>+Récapitulatif!K130</f>
        <v>1941.87</v>
      </c>
      <c r="L14" s="414"/>
      <c r="M14" s="414">
        <f ca="1">SUM(Budget!$C14:$K14)</f>
        <v>10159.849999999999</v>
      </c>
      <c r="N14" s="414"/>
      <c r="O14" s="1217">
        <f ca="1">+O13+M14</f>
        <v>38159.85</v>
      </c>
      <c r="P14" s="1217"/>
      <c r="Q14" s="1215"/>
      <c r="R14" s="56"/>
      <c r="S14" s="56"/>
      <c r="T14" s="56"/>
    </row>
    <row r="15" spans="1:368" hidden="1" outlineLevel="1">
      <c r="A15" s="1212" t="s">
        <v>57</v>
      </c>
      <c r="B15" s="1019" t="str">
        <f t="shared" si="1"/>
        <v>2023</v>
      </c>
      <c r="C15" s="869">
        <f ca="1">INDEX(INDIRECT(OFFSET($A$2, 0, COLUMN()-1)),
MATCH($B15*1,ListeAnnées,0),
MATCH($A15,ListeMois,0))</f>
        <v>1881.69</v>
      </c>
      <c r="D15" s="1213"/>
      <c r="E15" s="869">
        <f ca="1">INDEX(INDIRECT(OFFSET($A$2, 0, COLUMN()-1)),
MATCH($B15*1,ListeAnnées,0),
MATCH($A15,ListeMois,0))</f>
        <v>5481.45</v>
      </c>
      <c r="F15" s="1213"/>
      <c r="G15" s="882">
        <v>0</v>
      </c>
      <c r="H15" s="883"/>
      <c r="I15" s="869">
        <f t="shared" ca="1" si="0"/>
        <v>1470.1</v>
      </c>
      <c r="J15" s="883"/>
      <c r="K15" s="881">
        <f>+Récapitulatif!L130</f>
        <v>1191.54</v>
      </c>
      <c r="L15" s="883"/>
      <c r="M15" s="881">
        <f ca="1">SUM(Budget!$C15:$K15)</f>
        <v>10024.779999999999</v>
      </c>
      <c r="N15" s="882"/>
      <c r="O15" s="884">
        <f ca="1">+O14+M15</f>
        <v>48184.63</v>
      </c>
      <c r="P15" s="885"/>
      <c r="Q15" s="503"/>
      <c r="R15" s="56"/>
      <c r="S15" s="56"/>
      <c r="T15" s="56"/>
    </row>
    <row r="16" spans="1:368" hidden="1" outlineLevel="1">
      <c r="A16" s="140" t="s">
        <v>58</v>
      </c>
      <c r="B16" s="886" t="str">
        <f t="shared" si="1"/>
        <v>2023</v>
      </c>
      <c r="C16" s="414">
        <f ca="1">INDEX(INDIRECT(OFFSET($A$2, 0, COLUMN()-1)),
MATCH($B16*1,ListeAnnées,0),
MATCH($A16,ListeMois,0))</f>
        <v>5351.23</v>
      </c>
      <c r="D16" s="141"/>
      <c r="E16" s="414">
        <f ca="1">INDEX(INDIRECT(OFFSET($A$2, 0, COLUMN()-1)),
MATCH($B16*1,ListeAnnées,0),
MATCH($A16,ListeMois,0))</f>
        <v>3206.85</v>
      </c>
      <c r="F16" s="130"/>
      <c r="G16" s="61">
        <v>0</v>
      </c>
      <c r="H16" s="141"/>
      <c r="I16" s="414">
        <f t="shared" ca="1" si="0"/>
        <v>1476.77</v>
      </c>
      <c r="J16" s="130"/>
      <c r="K16" s="131">
        <f>+Récapitulatif!M130</f>
        <v>1821.33</v>
      </c>
      <c r="L16" s="164"/>
      <c r="M16" s="131">
        <f ca="1">SUM(Budget!$C16:$K16)</f>
        <v>11856.18</v>
      </c>
      <c r="N16" s="161"/>
      <c r="O16" s="642">
        <f ca="1">+O15+M16</f>
        <v>60040.81</v>
      </c>
      <c r="P16" s="133"/>
      <c r="Q16" s="134"/>
      <c r="R16" s="56"/>
      <c r="S16" s="56"/>
      <c r="T16" s="56"/>
    </row>
    <row r="17" spans="1:20" ht="18" hidden="1" outlineLevel="1" thickBot="1">
      <c r="A17" s="142" t="s">
        <v>59</v>
      </c>
      <c r="B17" s="886" t="str">
        <f t="shared" si="1"/>
        <v>2023</v>
      </c>
      <c r="C17" s="414">
        <f ca="1">INDEX(INDIRECT(OFFSET($A$2, 0, COLUMN()-1)),
MATCH($B17*1,ListeAnnées,0),
MATCH($A17,ListeMois,0))</f>
        <v>6026.47</v>
      </c>
      <c r="D17" s="144"/>
      <c r="E17" s="414">
        <f ca="1">INDEX(INDIRECT(OFFSET($A$2, 0, COLUMN()-1)),
MATCH($B17*1,ListeAnnées,0),
MATCH($A17,ListeMois,0))</f>
        <v>4142.09</v>
      </c>
      <c r="F17" s="144"/>
      <c r="G17" s="145">
        <v>0</v>
      </c>
      <c r="H17" s="144"/>
      <c r="I17" s="414">
        <f t="shared" ca="1" si="0"/>
        <v>2196.19</v>
      </c>
      <c r="J17" s="144"/>
      <c r="K17" s="145">
        <f>+Récapitulatif!N130</f>
        <v>1649.72</v>
      </c>
      <c r="L17" s="146"/>
      <c r="M17" s="145">
        <f ca="1">SUM(Budget!$C17:$K17)</f>
        <v>14014.470000000001</v>
      </c>
      <c r="N17" s="143"/>
      <c r="O17" s="147">
        <f ca="1">+O16+M17</f>
        <v>74055.28</v>
      </c>
      <c r="P17" s="148"/>
      <c r="Q17" s="149"/>
      <c r="R17" s="56"/>
      <c r="S17" s="56"/>
      <c r="T17" s="56"/>
    </row>
    <row r="18" spans="1:20" ht="18" hidden="1" outlineLevel="1" thickBot="1">
      <c r="A18" s="150" t="s">
        <v>45</v>
      </c>
      <c r="B18" s="150"/>
      <c r="C18" s="151">
        <f ca="1">SUM(C13:C17)</f>
        <v>15813.73</v>
      </c>
      <c r="D18" s="152"/>
      <c r="E18" s="153">
        <f ca="1">SUM(E13:E17)</f>
        <v>19905.230000000003</v>
      </c>
      <c r="F18" s="154"/>
      <c r="G18" s="125">
        <f>SUM(G13:G17)</f>
        <v>0</v>
      </c>
      <c r="H18" s="152"/>
      <c r="I18" s="125">
        <f ca="1">SUM(I13:I17)</f>
        <v>7887.76</v>
      </c>
      <c r="J18" s="152"/>
      <c r="K18" s="125">
        <f>SUM(K13:K17)</f>
        <v>8755.5299999999988</v>
      </c>
      <c r="L18" s="155"/>
      <c r="M18" s="126">
        <f ca="1">SUM(M13:M17)</f>
        <v>52362.25</v>
      </c>
      <c r="N18" s="156"/>
      <c r="O18" s="157"/>
      <c r="P18" s="158"/>
      <c r="Q18" s="159"/>
      <c r="R18" s="56"/>
      <c r="S18" s="56"/>
      <c r="T18" s="56"/>
    </row>
    <row r="19" spans="1:20" ht="46.2" hidden="1" customHeight="1" outlineLevel="1" thickBot="1">
      <c r="A19" s="124"/>
      <c r="B19" s="831"/>
      <c r="C19" s="58"/>
      <c r="D19" s="58"/>
      <c r="E19" s="58"/>
      <c r="F19" s="58"/>
      <c r="G19" s="58"/>
      <c r="H19" s="58"/>
      <c r="I19" s="58"/>
      <c r="J19" s="58"/>
      <c r="K19" s="58"/>
      <c r="L19" s="58"/>
      <c r="M19" s="59"/>
      <c r="N19" s="59"/>
      <c r="O19" s="58"/>
      <c r="P19" s="58"/>
      <c r="Q19" s="60"/>
      <c r="R19" s="56"/>
      <c r="S19" s="56"/>
      <c r="T19" s="56"/>
    </row>
    <row r="20" spans="1:20" ht="27" hidden="1" outlineLevel="1" thickBot="1">
      <c r="A20" s="879" t="s">
        <v>46</v>
      </c>
      <c r="B20" s="832"/>
      <c r="C20" s="413"/>
      <c r="D20" s="413"/>
      <c r="E20" s="413"/>
      <c r="F20" s="413"/>
      <c r="G20" s="413"/>
      <c r="H20" s="413"/>
      <c r="I20" s="413"/>
      <c r="J20" s="125"/>
      <c r="K20" s="125"/>
      <c r="L20" s="125"/>
      <c r="M20" s="126"/>
      <c r="N20" s="126"/>
      <c r="O20" s="125"/>
      <c r="P20" s="125"/>
      <c r="Q20" s="127"/>
      <c r="R20" s="56"/>
      <c r="S20" s="56"/>
      <c r="T20" s="56"/>
    </row>
    <row r="21" spans="1:20" ht="18" hidden="1" outlineLevel="1" thickBot="1">
      <c r="A21" s="160" t="s">
        <v>52</v>
      </c>
      <c r="B21" s="833" t="str">
        <f>$A$20</f>
        <v>2024</v>
      </c>
      <c r="C21" s="414">
        <f ca="1">INDEX(INDIRECT(OFFSET($A$2, 0, COLUMN()-1)),
MATCH($B21*1,ListeAnnées,0),
MATCH($A21,ListeMois,0))</f>
        <v>5100.26</v>
      </c>
      <c r="D21" s="414">
        <v>3500</v>
      </c>
      <c r="E21" s="414">
        <f t="shared" ref="E21:E32" ca="1" si="2">INDEX(INDIRECT(OFFSET($A$2, 0, COLUMN()-1)),
MATCH($B21*1,ListeAnnées,0),
MATCH($A21,ListeMois,0))</f>
        <v>3024.15</v>
      </c>
      <c r="F21" s="415">
        <v>2300</v>
      </c>
      <c r="G21" s="414">
        <f>+Récapitulatif!C76</f>
        <v>0</v>
      </c>
      <c r="H21" s="414">
        <v>0</v>
      </c>
      <c r="I21" s="414">
        <f t="shared" ref="I21:I32" ca="1" si="3">INDEX(INDIRECT(OFFSET($A$2, 0, COLUMN()-1)),
MATCH($B21*1,ListeAnnées,0),
MATCH($A21,ListeMois,0))</f>
        <v>1890.52</v>
      </c>
      <c r="J21" s="141">
        <v>1891</v>
      </c>
      <c r="K21" s="61">
        <f>+Récapitulatif!C134</f>
        <v>1440.51</v>
      </c>
      <c r="L21" s="164">
        <v>1086</v>
      </c>
      <c r="M21" s="61">
        <f ca="1">+C21+E21+G21+I21+K21</f>
        <v>11455.44</v>
      </c>
      <c r="N21" s="164">
        <f t="shared" ref="N21:N32" si="4">+D21+F21+H21+J21+L21</f>
        <v>8777</v>
      </c>
      <c r="O21" s="61">
        <f ca="1">+M21</f>
        <v>11455.44</v>
      </c>
      <c r="P21" s="165">
        <f>+N21</f>
        <v>8777</v>
      </c>
      <c r="Q21" s="166">
        <f ca="1">-P21+O21</f>
        <v>2678.4400000000005</v>
      </c>
      <c r="R21" s="56"/>
      <c r="S21" s="56"/>
      <c r="T21" s="56"/>
    </row>
    <row r="22" spans="1:20" ht="18" hidden="1" outlineLevel="1" thickBot="1">
      <c r="A22" s="135" t="s">
        <v>53</v>
      </c>
      <c r="B22" s="833" t="str">
        <f t="shared" ref="B22:B33" si="5">$A$20</f>
        <v>2024</v>
      </c>
      <c r="C22" s="414">
        <f ca="1">INDEX(INDIRECT(OFFSET($A$2, 0, COLUMN()-1)),
MATCH($B22*1,ListeAnnées,0),
MATCH($A22,ListeMois,0))</f>
        <v>4461.87</v>
      </c>
      <c r="D22" s="414">
        <v>3500</v>
      </c>
      <c r="E22" s="414">
        <f t="shared" ca="1" si="2"/>
        <v>2675.9</v>
      </c>
      <c r="F22" s="414">
        <v>2500</v>
      </c>
      <c r="G22" s="415">
        <f>+Récapitulatif!D76</f>
        <v>0</v>
      </c>
      <c r="H22" s="415">
        <v>0</v>
      </c>
      <c r="I22" s="414">
        <f t="shared" ca="1" si="3"/>
        <v>1736.23</v>
      </c>
      <c r="J22" s="137">
        <v>2079</v>
      </c>
      <c r="K22" s="138">
        <f>+Récapitulatif!D134</f>
        <v>1312.53</v>
      </c>
      <c r="L22" s="139">
        <v>1313</v>
      </c>
      <c r="M22" s="138">
        <f ca="1">+C22+E22+G22+I22+K22</f>
        <v>10186.530000000001</v>
      </c>
      <c r="N22" s="139">
        <f t="shared" si="4"/>
        <v>9392</v>
      </c>
      <c r="O22" s="138">
        <f t="shared" ref="O22:O32" ca="1" si="6">+O21+M22</f>
        <v>21641.97</v>
      </c>
      <c r="P22" s="168">
        <f t="shared" ref="P22:P32" si="7">+P21+N22</f>
        <v>18169</v>
      </c>
      <c r="Q22" s="169">
        <f t="shared" ref="Q22:Q32" ca="1" si="8">-P22+O22</f>
        <v>3472.9700000000012</v>
      </c>
      <c r="R22" s="56"/>
      <c r="S22" s="56"/>
      <c r="T22" s="56"/>
    </row>
    <row r="23" spans="1:20" ht="18" hidden="1" outlineLevel="1" thickBot="1">
      <c r="A23" s="140" t="s">
        <v>26</v>
      </c>
      <c r="B23" s="833" t="str">
        <f t="shared" si="5"/>
        <v>2024</v>
      </c>
      <c r="C23" s="414">
        <f ca="1">INDEX(INDIRECT(OFFSET($A$2, 0, COLUMN()-1)),
MATCH($B23*1,ListeAnnées,0),
MATCH($A23,ListeMois,0))</f>
        <v>5895.4</v>
      </c>
      <c r="D23" s="414">
        <v>5000</v>
      </c>
      <c r="E23" s="414">
        <f t="shared" ca="1" si="2"/>
        <v>4483.1000000000004</v>
      </c>
      <c r="F23" s="415">
        <v>3000</v>
      </c>
      <c r="G23" s="414">
        <f>+Récapitulatif!E76</f>
        <v>0</v>
      </c>
      <c r="H23" s="414">
        <v>0</v>
      </c>
      <c r="I23" s="414">
        <f t="shared" ca="1" si="3"/>
        <v>2070.12</v>
      </c>
      <c r="J23" s="130">
        <v>2479</v>
      </c>
      <c r="K23" s="131">
        <f>+Récapitulatif!E134</f>
        <v>316.82</v>
      </c>
      <c r="L23" s="132">
        <v>317</v>
      </c>
      <c r="M23" s="138">
        <f t="shared" ref="M23:M32" ca="1" si="9">+C23+E23+G23+I23+K23</f>
        <v>12765.439999999999</v>
      </c>
      <c r="N23" s="132">
        <f t="shared" si="4"/>
        <v>10796</v>
      </c>
      <c r="O23" s="138">
        <f t="shared" ca="1" si="6"/>
        <v>34407.410000000003</v>
      </c>
      <c r="P23" s="170">
        <f t="shared" si="7"/>
        <v>28965</v>
      </c>
      <c r="Q23" s="169">
        <f t="shared" ca="1" si="8"/>
        <v>5442.4100000000035</v>
      </c>
      <c r="R23" s="56"/>
      <c r="S23" s="56"/>
      <c r="T23" s="56"/>
    </row>
    <row r="24" spans="1:20" ht="18" hidden="1" outlineLevel="1" thickBot="1">
      <c r="A24" s="135" t="s">
        <v>27</v>
      </c>
      <c r="B24" s="833" t="str">
        <f t="shared" si="5"/>
        <v>2024</v>
      </c>
      <c r="C24" s="414">
        <f ca="1">INDEX(INDIRECT(OFFSET($A$2, 0, COLUMN()-1)),
MATCH($B24*1,ListeAnnées,0),
MATCH($A24,ListeMois,0))</f>
        <v>6289.43</v>
      </c>
      <c r="D24" s="414">
        <v>6000</v>
      </c>
      <c r="E24" s="414">
        <f t="shared" ca="1" si="2"/>
        <v>4697.18</v>
      </c>
      <c r="F24" s="414">
        <v>4000</v>
      </c>
      <c r="G24" s="415">
        <f>+Récapitulatif!F76</f>
        <v>0</v>
      </c>
      <c r="H24" s="415">
        <v>0</v>
      </c>
      <c r="I24" s="414">
        <f t="shared" ca="1" si="3"/>
        <v>2003.35</v>
      </c>
      <c r="J24" s="137">
        <v>2319</v>
      </c>
      <c r="K24" s="138">
        <f>+Récapitulatif!F134</f>
        <v>1899.6</v>
      </c>
      <c r="L24" s="139">
        <v>1900</v>
      </c>
      <c r="M24" s="59">
        <f t="shared" ca="1" si="9"/>
        <v>14889.560000000001</v>
      </c>
      <c r="N24" s="171">
        <f t="shared" si="4"/>
        <v>14219</v>
      </c>
      <c r="O24" s="138">
        <f t="shared" ca="1" si="6"/>
        <v>49296.97</v>
      </c>
      <c r="P24" s="168">
        <f t="shared" si="7"/>
        <v>43184</v>
      </c>
      <c r="Q24" s="169">
        <f t="shared" ca="1" si="8"/>
        <v>6112.9700000000012</v>
      </c>
      <c r="R24" s="56"/>
      <c r="S24" s="56"/>
      <c r="T24" s="56"/>
    </row>
    <row r="25" spans="1:20" ht="18" hidden="1" outlineLevel="1" thickBot="1">
      <c r="A25" s="140" t="s">
        <v>28</v>
      </c>
      <c r="B25" s="833" t="str">
        <f t="shared" si="5"/>
        <v>2024</v>
      </c>
      <c r="C25" s="414">
        <f>+Récapitulatif!G6</f>
        <v>6865.02</v>
      </c>
      <c r="D25" s="414">
        <v>6000</v>
      </c>
      <c r="E25" s="414">
        <f t="shared" ca="1" si="2"/>
        <v>4571.47</v>
      </c>
      <c r="F25" s="415">
        <v>4500</v>
      </c>
      <c r="G25" s="414">
        <f>+Récapitulatif!G76</f>
        <v>0</v>
      </c>
      <c r="H25" s="414">
        <v>0</v>
      </c>
      <c r="I25" s="414">
        <f t="shared" ca="1" si="3"/>
        <v>1633.87</v>
      </c>
      <c r="J25" s="130">
        <v>565</v>
      </c>
      <c r="K25" s="131">
        <f>+Récapitulatif!G134</f>
        <v>2030.6</v>
      </c>
      <c r="L25" s="132">
        <v>2031</v>
      </c>
      <c r="M25" s="138">
        <f t="shared" ca="1" si="9"/>
        <v>15100.960000000001</v>
      </c>
      <c r="N25" s="132">
        <f t="shared" si="4"/>
        <v>13096</v>
      </c>
      <c r="O25" s="138">
        <f t="shared" ca="1" si="6"/>
        <v>64397.93</v>
      </c>
      <c r="P25" s="170">
        <f t="shared" si="7"/>
        <v>56280</v>
      </c>
      <c r="Q25" s="169">
        <f t="shared" ca="1" si="8"/>
        <v>8117.93</v>
      </c>
      <c r="R25" s="56"/>
      <c r="S25" s="56"/>
      <c r="T25" s="56"/>
    </row>
    <row r="26" spans="1:20" s="23" customFormat="1" ht="18" hidden="1" outlineLevel="1" thickBot="1">
      <c r="A26" s="135" t="s">
        <v>29</v>
      </c>
      <c r="B26" s="833" t="str">
        <f t="shared" si="5"/>
        <v>2024</v>
      </c>
      <c r="C26" s="415">
        <f>+Récapitulatif!H6</f>
        <v>6568.22</v>
      </c>
      <c r="D26" s="414">
        <v>6500</v>
      </c>
      <c r="E26" s="414">
        <f t="shared" ca="1" si="2"/>
        <v>5460.95</v>
      </c>
      <c r="F26" s="414">
        <v>4500</v>
      </c>
      <c r="G26" s="415">
        <f>+Récapitulatif!H76</f>
        <v>0</v>
      </c>
      <c r="H26" s="415">
        <v>0</v>
      </c>
      <c r="I26" s="414">
        <f t="shared" ca="1" si="3"/>
        <v>1938.56</v>
      </c>
      <c r="J26" s="137">
        <v>1939</v>
      </c>
      <c r="K26" s="138">
        <f>+Récapitulatif!H134</f>
        <v>2024.4</v>
      </c>
      <c r="L26" s="139">
        <v>1861</v>
      </c>
      <c r="M26" s="138">
        <f t="shared" ca="1" si="9"/>
        <v>15992.13</v>
      </c>
      <c r="N26" s="139">
        <f t="shared" si="4"/>
        <v>14800</v>
      </c>
      <c r="O26" s="138">
        <f t="shared" ca="1" si="6"/>
        <v>80390.06</v>
      </c>
      <c r="P26" s="168">
        <f t="shared" si="7"/>
        <v>71080</v>
      </c>
      <c r="Q26" s="169">
        <f t="shared" ca="1" si="8"/>
        <v>9310.0599999999977</v>
      </c>
      <c r="R26" s="57"/>
      <c r="S26" s="57"/>
      <c r="T26" s="57"/>
    </row>
    <row r="27" spans="1:20" s="23" customFormat="1" ht="19.8" hidden="1" customHeight="1" outlineLevel="1" thickBot="1">
      <c r="A27" s="140" t="s">
        <v>54</v>
      </c>
      <c r="B27" s="833" t="str">
        <f t="shared" si="5"/>
        <v>2024</v>
      </c>
      <c r="C27" s="161">
        <f>+Récapitulatif!I6</f>
        <v>9366.92</v>
      </c>
      <c r="D27" s="165">
        <v>8000</v>
      </c>
      <c r="E27" s="869">
        <f t="shared" ca="1" si="2"/>
        <v>4687.6899999999996</v>
      </c>
      <c r="F27" s="864">
        <v>5000</v>
      </c>
      <c r="G27" s="61">
        <f>+Récapitulatif!I76</f>
        <v>7286.16</v>
      </c>
      <c r="H27" s="141">
        <v>7286.16</v>
      </c>
      <c r="I27" s="869">
        <f t="shared" ca="1" si="3"/>
        <v>1971.1</v>
      </c>
      <c r="J27" s="130">
        <v>1828</v>
      </c>
      <c r="K27" s="131">
        <f>+Récapitulatif!I134</f>
        <v>2094.81</v>
      </c>
      <c r="L27" s="132">
        <v>2291</v>
      </c>
      <c r="M27" s="59">
        <f t="shared" ca="1" si="9"/>
        <v>25406.68</v>
      </c>
      <c r="N27" s="164">
        <f t="shared" si="4"/>
        <v>24405.16</v>
      </c>
      <c r="O27" s="138">
        <f t="shared" ca="1" si="6"/>
        <v>105796.73999999999</v>
      </c>
      <c r="P27" s="170">
        <f t="shared" si="7"/>
        <v>95485.16</v>
      </c>
      <c r="Q27" s="169">
        <f t="shared" ca="1" si="8"/>
        <v>10311.579999999987</v>
      </c>
      <c r="R27" s="57"/>
      <c r="S27" s="57"/>
      <c r="T27" s="57"/>
    </row>
    <row r="28" spans="1:20" s="23" customFormat="1" ht="18" hidden="1" outlineLevel="1" thickBot="1">
      <c r="A28" s="135" t="s">
        <v>55</v>
      </c>
      <c r="B28" s="833" t="str">
        <f t="shared" si="5"/>
        <v>2024</v>
      </c>
      <c r="C28" s="136">
        <f>+Récapitulatif!J6</f>
        <v>7988.05</v>
      </c>
      <c r="D28" s="170">
        <v>8000</v>
      </c>
      <c r="E28" s="414">
        <f t="shared" ca="1" si="2"/>
        <v>4248.93</v>
      </c>
      <c r="F28" s="865">
        <v>5000</v>
      </c>
      <c r="G28" s="138">
        <f>+Récapitulatif!J76</f>
        <v>4855.49</v>
      </c>
      <c r="H28" s="137">
        <v>4855.49</v>
      </c>
      <c r="I28" s="414">
        <f t="shared" ca="1" si="3"/>
        <v>1075.1400000000001</v>
      </c>
      <c r="J28" s="137">
        <v>1500</v>
      </c>
      <c r="K28" s="138">
        <f>+Récapitulatif!J134</f>
        <v>2705.8</v>
      </c>
      <c r="L28" s="139">
        <v>2692</v>
      </c>
      <c r="M28" s="138">
        <f t="shared" ca="1" si="9"/>
        <v>20873.41</v>
      </c>
      <c r="N28" s="139">
        <f t="shared" si="4"/>
        <v>22047.489999999998</v>
      </c>
      <c r="O28" s="138">
        <f t="shared" ca="1" si="6"/>
        <v>126670.15</v>
      </c>
      <c r="P28" s="168">
        <f t="shared" si="7"/>
        <v>117532.65</v>
      </c>
      <c r="Q28" s="169">
        <f t="shared" ca="1" si="8"/>
        <v>9137.5</v>
      </c>
      <c r="R28" s="57"/>
      <c r="S28" s="57"/>
      <c r="T28" s="57"/>
    </row>
    <row r="29" spans="1:20" ht="18" hidden="1" outlineLevel="1" thickBot="1">
      <c r="A29" s="140" t="s">
        <v>56</v>
      </c>
      <c r="B29" s="833" t="str">
        <f t="shared" si="5"/>
        <v>2024</v>
      </c>
      <c r="C29" s="129">
        <f>+Récapitulatif!K6</f>
        <v>5936.9</v>
      </c>
      <c r="D29" s="170">
        <v>6000</v>
      </c>
      <c r="E29" s="414">
        <f t="shared" ca="1" si="2"/>
        <v>4270.99</v>
      </c>
      <c r="F29" s="866">
        <v>4800</v>
      </c>
      <c r="G29" s="131">
        <f>+Récapitulatif!K76</f>
        <v>0</v>
      </c>
      <c r="H29" s="130">
        <v>0</v>
      </c>
      <c r="I29" s="414">
        <f t="shared" ca="1" si="3"/>
        <v>1730.86</v>
      </c>
      <c r="J29" s="130">
        <v>2000</v>
      </c>
      <c r="K29" s="131">
        <f>+Récapitulatif!K134</f>
        <v>1883.34</v>
      </c>
      <c r="L29" s="132">
        <v>1500</v>
      </c>
      <c r="M29" s="138">
        <f t="shared" ca="1" si="9"/>
        <v>13822.09</v>
      </c>
      <c r="N29" s="132">
        <f t="shared" si="4"/>
        <v>14300</v>
      </c>
      <c r="O29" s="138">
        <f t="shared" ca="1" si="6"/>
        <v>140492.24</v>
      </c>
      <c r="P29" s="170">
        <f t="shared" si="7"/>
        <v>131832.65</v>
      </c>
      <c r="Q29" s="169">
        <f t="shared" ca="1" si="8"/>
        <v>8659.5899999999965</v>
      </c>
      <c r="R29" s="56"/>
      <c r="S29" s="56"/>
      <c r="T29" s="56"/>
    </row>
    <row r="30" spans="1:20" ht="18" hidden="1" outlineLevel="1" thickBot="1">
      <c r="A30" s="135" t="s">
        <v>57</v>
      </c>
      <c r="B30" s="833" t="str">
        <f t="shared" si="5"/>
        <v>2024</v>
      </c>
      <c r="C30" s="161">
        <f ca="1">INDEX(INDIRECT(OFFSET($A$2, 0, COLUMN()-1)),
MATCH($B30*1,ListeAnnées,0),
MATCH($A30,ListeMois,0))</f>
        <v>5874.25</v>
      </c>
      <c r="D30" s="170">
        <v>6500</v>
      </c>
      <c r="E30" s="414">
        <f t="shared" ca="1" si="2"/>
        <v>5048.24</v>
      </c>
      <c r="F30" s="865">
        <v>5100</v>
      </c>
      <c r="G30" s="138">
        <f>+Récapitulatif!L76</f>
        <v>0</v>
      </c>
      <c r="H30" s="137">
        <v>0</v>
      </c>
      <c r="I30" s="414">
        <f t="shared" ca="1" si="3"/>
        <v>2194.5500000000002</v>
      </c>
      <c r="J30" s="137">
        <v>2000</v>
      </c>
      <c r="K30" s="138">
        <f>+Récapitulatif!L134</f>
        <v>1620.54</v>
      </c>
      <c r="L30" s="139">
        <v>1500</v>
      </c>
      <c r="M30" s="138">
        <f t="shared" ca="1" si="9"/>
        <v>14737.580000000002</v>
      </c>
      <c r="N30" s="139">
        <f t="shared" si="4"/>
        <v>15100</v>
      </c>
      <c r="O30" s="138">
        <f t="shared" ca="1" si="6"/>
        <v>155229.82</v>
      </c>
      <c r="P30" s="168">
        <f t="shared" si="7"/>
        <v>146932.65</v>
      </c>
      <c r="Q30" s="169">
        <f t="shared" ca="1" si="8"/>
        <v>8297.1700000000128</v>
      </c>
      <c r="R30" s="56"/>
      <c r="S30" s="56"/>
      <c r="T30" s="56"/>
    </row>
    <row r="31" spans="1:20" hidden="1" outlineLevel="1">
      <c r="A31" s="140" t="s">
        <v>58</v>
      </c>
      <c r="B31" s="833" t="str">
        <f t="shared" si="5"/>
        <v>2024</v>
      </c>
      <c r="C31" s="129">
        <f>+Récapitulatif!M6</f>
        <v>4974.8900000000003</v>
      </c>
      <c r="D31" s="172">
        <v>5300</v>
      </c>
      <c r="E31" s="414">
        <f t="shared" ca="1" si="2"/>
        <v>4096.16</v>
      </c>
      <c r="F31" s="865">
        <v>2900</v>
      </c>
      <c r="G31" s="131">
        <f>+Récapitulatif!M76</f>
        <v>0</v>
      </c>
      <c r="H31" s="130">
        <v>0</v>
      </c>
      <c r="I31" s="414">
        <f t="shared" ca="1" si="3"/>
        <v>1631.43</v>
      </c>
      <c r="J31" s="130">
        <v>2000</v>
      </c>
      <c r="K31" s="131">
        <f>+Récapitulatif!M134</f>
        <v>1568.26</v>
      </c>
      <c r="L31" s="132">
        <v>1500</v>
      </c>
      <c r="M31" s="138">
        <f t="shared" ca="1" si="9"/>
        <v>12270.74</v>
      </c>
      <c r="N31" s="132">
        <f t="shared" si="4"/>
        <v>11700</v>
      </c>
      <c r="O31" s="138">
        <f t="shared" ca="1" si="6"/>
        <v>167500.56</v>
      </c>
      <c r="P31" s="172">
        <f t="shared" si="7"/>
        <v>158632.65</v>
      </c>
      <c r="Q31" s="173">
        <f t="shared" ca="1" si="8"/>
        <v>8867.9100000000035</v>
      </c>
      <c r="R31" s="56"/>
      <c r="S31" s="56"/>
      <c r="T31" s="56"/>
    </row>
    <row r="32" spans="1:20" hidden="1" outlineLevel="1">
      <c r="A32" s="174" t="s">
        <v>59</v>
      </c>
      <c r="B32" s="833" t="str">
        <f t="shared" si="5"/>
        <v>2024</v>
      </c>
      <c r="C32" s="167">
        <f>+Récapitulatif!N6</f>
        <v>6131.46</v>
      </c>
      <c r="D32" s="170">
        <v>5700</v>
      </c>
      <c r="E32" s="414">
        <f t="shared" ca="1" si="2"/>
        <v>3578.88</v>
      </c>
      <c r="F32" s="867">
        <v>3100</v>
      </c>
      <c r="G32" s="167">
        <f>+Récapitulatif!N76</f>
        <v>1604.1</v>
      </c>
      <c r="H32" s="167">
        <v>0</v>
      </c>
      <c r="I32" s="414">
        <f t="shared" ca="1" si="3"/>
        <v>1715.91</v>
      </c>
      <c r="J32" s="167">
        <v>2000</v>
      </c>
      <c r="K32" s="167">
        <f>+Récapitulatif!N134</f>
        <v>1620.54</v>
      </c>
      <c r="L32" s="167">
        <v>1500</v>
      </c>
      <c r="M32" s="175">
        <f t="shared" ca="1" si="9"/>
        <v>14650.89</v>
      </c>
      <c r="N32" s="167">
        <f t="shared" si="4"/>
        <v>12300</v>
      </c>
      <c r="O32" s="175">
        <f t="shared" ca="1" si="6"/>
        <v>182151.45</v>
      </c>
      <c r="P32" s="167">
        <f t="shared" si="7"/>
        <v>170932.65</v>
      </c>
      <c r="Q32" s="176">
        <f t="shared" ca="1" si="8"/>
        <v>11218.800000000017</v>
      </c>
      <c r="R32" s="56"/>
      <c r="S32" s="56"/>
      <c r="T32" s="56"/>
    </row>
    <row r="33" spans="1:20" hidden="1" outlineLevel="1">
      <c r="A33" s="177" t="s">
        <v>47</v>
      </c>
      <c r="B33" s="833" t="str">
        <f t="shared" si="5"/>
        <v>2024</v>
      </c>
      <c r="C33" s="178">
        <f t="shared" ref="C33:N33" ca="1" si="10">SUM(C21:C32)</f>
        <v>75452.670000000013</v>
      </c>
      <c r="D33" s="178">
        <f t="shared" si="10"/>
        <v>70000</v>
      </c>
      <c r="E33" s="868">
        <f t="shared" ca="1" si="10"/>
        <v>50843.639999999992</v>
      </c>
      <c r="F33" s="178">
        <f t="shared" si="10"/>
        <v>46700</v>
      </c>
      <c r="G33" s="178">
        <f t="shared" si="10"/>
        <v>13745.75</v>
      </c>
      <c r="H33" s="178">
        <f t="shared" si="10"/>
        <v>12141.65</v>
      </c>
      <c r="I33" s="178">
        <f t="shared" ca="1" si="10"/>
        <v>21591.64</v>
      </c>
      <c r="J33" s="178">
        <f t="shared" si="10"/>
        <v>22600</v>
      </c>
      <c r="K33" s="178">
        <f t="shared" si="10"/>
        <v>20517.75</v>
      </c>
      <c r="L33" s="178">
        <f t="shared" si="10"/>
        <v>19491</v>
      </c>
      <c r="M33" s="178">
        <f t="shared" ca="1" si="10"/>
        <v>182151.45</v>
      </c>
      <c r="N33" s="178">
        <f t="shared" si="10"/>
        <v>170932.65</v>
      </c>
      <c r="O33" s="178"/>
      <c r="P33" s="178"/>
      <c r="Q33" s="176"/>
      <c r="R33" s="56"/>
      <c r="S33" s="56"/>
      <c r="T33" s="56"/>
    </row>
    <row r="34" spans="1:20" ht="51" hidden="1" customHeight="1" outlineLevel="2" collapsed="1" thickBot="1">
      <c r="A34" s="124"/>
      <c r="B34" s="831"/>
      <c r="C34" s="58"/>
      <c r="D34" s="58"/>
      <c r="E34" s="875"/>
      <c r="F34" s="58"/>
      <c r="G34" s="58"/>
      <c r="H34" s="58"/>
      <c r="I34" s="58"/>
      <c r="J34" s="58"/>
      <c r="K34" s="58"/>
      <c r="L34" s="58"/>
      <c r="M34" s="59"/>
      <c r="N34" s="59"/>
      <c r="O34" s="58"/>
      <c r="P34" s="58"/>
      <c r="Q34" s="60"/>
      <c r="R34" s="56"/>
      <c r="S34" s="56"/>
      <c r="T34" s="56"/>
    </row>
    <row r="35" spans="1:20" ht="27" hidden="1" outlineLevel="1" thickBot="1">
      <c r="A35" s="880" t="s">
        <v>48</v>
      </c>
      <c r="B35" s="871"/>
      <c r="C35" s="872"/>
      <c r="D35" s="872"/>
      <c r="E35" s="876"/>
      <c r="F35" s="872"/>
      <c r="G35" s="872"/>
      <c r="H35" s="872"/>
      <c r="I35" s="872"/>
      <c r="J35" s="872"/>
      <c r="K35" s="872"/>
      <c r="L35" s="872"/>
      <c r="M35" s="873"/>
      <c r="N35" s="873"/>
      <c r="O35" s="872"/>
      <c r="P35" s="872"/>
      <c r="Q35" s="874"/>
      <c r="R35" s="56"/>
      <c r="S35" s="56"/>
      <c r="T35" s="56"/>
    </row>
    <row r="36" spans="1:20" ht="18" hidden="1" outlineLevel="1" thickBot="1">
      <c r="A36" s="160" t="s">
        <v>52</v>
      </c>
      <c r="B36" s="834" t="str">
        <f>$A$35</f>
        <v>2025</v>
      </c>
      <c r="C36" s="869">
        <f t="shared" ref="C36:C47" ca="1" si="11">INDEX(INDIRECT(OFFSET($A$2, 0, COLUMN()-1)),
MATCH($B36*1,ListeAnnées,0),
MATCH($A36,ListeMois,0))</f>
        <v>4168.76</v>
      </c>
      <c r="D36" s="870">
        <v>5000</v>
      </c>
      <c r="E36" s="869">
        <f t="shared" ref="E36:E77" ca="1" si="12">INDEX(INDIRECT(OFFSET($A$2, 0, COLUMN()-1)),
MATCH($B36*1,ListeAnnées,0),
MATCH($A36,ListeMois,0))</f>
        <v>3334.57</v>
      </c>
      <c r="F36" s="163">
        <v>3000</v>
      </c>
      <c r="G36" s="61">
        <f>+Récapitulatif!$C80</f>
        <v>200.51</v>
      </c>
      <c r="H36" s="141">
        <v>200.51</v>
      </c>
      <c r="I36" s="869">
        <f t="shared" ref="I36:I47" ca="1" si="13">INDEX(INDIRECT(OFFSET($A$2, 0, COLUMN()-1)),
MATCH($B36*1,ListeAnnées,0),
MATCH($A36,ListeMois,0))</f>
        <v>1775.15</v>
      </c>
      <c r="J36" s="141">
        <v>1775</v>
      </c>
      <c r="K36" s="61">
        <f>+Récapitulatif!$C138</f>
        <v>1620.54</v>
      </c>
      <c r="L36" s="164">
        <v>1620</v>
      </c>
      <c r="M36" s="61">
        <f ca="1">+C36+E36+G36+I36+K36</f>
        <v>11099.529999999999</v>
      </c>
      <c r="N36" s="164">
        <f t="shared" ref="N36:N47" si="14">+D36+F36+H36+J36+L36</f>
        <v>11595.51</v>
      </c>
      <c r="O36" s="61">
        <f ca="1">+M36</f>
        <v>11099.529999999999</v>
      </c>
      <c r="P36" s="165">
        <f>+N36</f>
        <v>11595.51</v>
      </c>
      <c r="Q36" s="166">
        <f ca="1">-P36+O36</f>
        <v>-495.98000000000138</v>
      </c>
      <c r="R36" s="56"/>
      <c r="S36" s="56"/>
      <c r="T36" s="56"/>
    </row>
    <row r="37" spans="1:20" ht="18" hidden="1" outlineLevel="1" thickBot="1">
      <c r="A37" s="135" t="s">
        <v>53</v>
      </c>
      <c r="B37" s="834" t="str">
        <f>$A$35</f>
        <v>2025</v>
      </c>
      <c r="C37" s="414">
        <f t="shared" ca="1" si="11"/>
        <v>4069.84</v>
      </c>
      <c r="D37" s="412">
        <v>4400</v>
      </c>
      <c r="E37" s="414">
        <f t="shared" ca="1" si="12"/>
        <v>3399.26</v>
      </c>
      <c r="F37" s="130">
        <v>3000</v>
      </c>
      <c r="G37" s="138">
        <f>+Récapitulatif!$D80</f>
        <v>0</v>
      </c>
      <c r="H37" s="137"/>
      <c r="I37" s="414">
        <f t="shared" ca="1" si="13"/>
        <v>117.94</v>
      </c>
      <c r="J37" s="137">
        <v>117</v>
      </c>
      <c r="K37" s="138">
        <f>+Récapitulatif!$D138</f>
        <v>1463.71</v>
      </c>
      <c r="L37" s="139">
        <v>1464</v>
      </c>
      <c r="M37" s="138">
        <f ca="1">+C37+E37+G37+I37+K37</f>
        <v>9050.75</v>
      </c>
      <c r="N37" s="139">
        <f t="shared" si="14"/>
        <v>8981</v>
      </c>
      <c r="O37" s="138">
        <f t="shared" ref="O37:P47" ca="1" si="15">+O36+M37</f>
        <v>20150.28</v>
      </c>
      <c r="P37" s="168">
        <f t="shared" si="15"/>
        <v>20576.510000000002</v>
      </c>
      <c r="Q37" s="169">
        <f t="shared" ref="Q37:Q47" ca="1" si="16">-P37+O37</f>
        <v>-426.2300000000032</v>
      </c>
      <c r="R37" s="56"/>
      <c r="S37" s="56"/>
      <c r="T37" s="56"/>
    </row>
    <row r="38" spans="1:20" ht="18" hidden="1" outlineLevel="1" thickBot="1">
      <c r="A38" s="140" t="s">
        <v>26</v>
      </c>
      <c r="B38" s="834" t="str">
        <f t="shared" ref="B38:B48" si="17">$A$35</f>
        <v>2025</v>
      </c>
      <c r="C38" s="414">
        <f t="shared" ca="1" si="11"/>
        <v>5183.41</v>
      </c>
      <c r="D38" s="412">
        <v>5900</v>
      </c>
      <c r="E38" s="414">
        <f t="shared" ca="1" si="12"/>
        <v>2963.08</v>
      </c>
      <c r="F38" s="137">
        <v>4500</v>
      </c>
      <c r="G38" s="131">
        <f>+Récapitulatif!$E80</f>
        <v>0</v>
      </c>
      <c r="H38" s="130"/>
      <c r="I38" s="414">
        <f t="shared" ca="1" si="13"/>
        <v>1817.67</v>
      </c>
      <c r="J38" s="130">
        <v>1817</v>
      </c>
      <c r="K38" s="131">
        <f>+Récapitulatif!$E138</f>
        <v>418.2</v>
      </c>
      <c r="L38" s="132">
        <v>418</v>
      </c>
      <c r="M38" s="138">
        <f t="shared" ref="M38:M47" ca="1" si="18">+C38+E38+G38+I38+K38</f>
        <v>10382.36</v>
      </c>
      <c r="N38" s="132">
        <f t="shared" si="14"/>
        <v>12635</v>
      </c>
      <c r="O38" s="138">
        <f t="shared" ca="1" si="15"/>
        <v>30532.639999999999</v>
      </c>
      <c r="P38" s="170">
        <f t="shared" si="15"/>
        <v>33211.51</v>
      </c>
      <c r="Q38" s="169">
        <f t="shared" ca="1" si="16"/>
        <v>-2678.8700000000026</v>
      </c>
      <c r="R38" s="56"/>
      <c r="S38" s="56"/>
      <c r="T38" s="56"/>
    </row>
    <row r="39" spans="1:20" ht="18" hidden="1" outlineLevel="1" thickBot="1">
      <c r="A39" s="135" t="s">
        <v>27</v>
      </c>
      <c r="B39" s="834" t="str">
        <f t="shared" si="17"/>
        <v>2025</v>
      </c>
      <c r="C39" s="414">
        <f t="shared" ca="1" si="11"/>
        <v>5187.51</v>
      </c>
      <c r="D39" s="412">
        <v>6000</v>
      </c>
      <c r="E39" s="414">
        <f t="shared" ca="1" si="12"/>
        <v>3845.29</v>
      </c>
      <c r="F39" s="130">
        <v>4500</v>
      </c>
      <c r="G39" s="138">
        <f>+Récapitulatif!$F80</f>
        <v>0</v>
      </c>
      <c r="H39" s="137"/>
      <c r="I39" s="414">
        <f t="shared" ca="1" si="13"/>
        <v>1758.88</v>
      </c>
      <c r="J39" s="137">
        <v>1758</v>
      </c>
      <c r="K39" s="138">
        <f>+Récapitulatif!$F138</f>
        <v>0</v>
      </c>
      <c r="L39" s="139">
        <v>0</v>
      </c>
      <c r="M39" s="138">
        <f t="shared" ca="1" si="18"/>
        <v>10791.68</v>
      </c>
      <c r="N39" s="139">
        <f t="shared" si="14"/>
        <v>12258</v>
      </c>
      <c r="O39" s="138">
        <f ca="1">+O38+M39</f>
        <v>41324.32</v>
      </c>
      <c r="P39" s="168">
        <f>+P38+N39</f>
        <v>45469.51</v>
      </c>
      <c r="Q39" s="169">
        <f t="shared" ca="1" si="16"/>
        <v>-4145.1900000000023</v>
      </c>
      <c r="R39" s="56"/>
      <c r="S39" s="56"/>
      <c r="T39" s="56"/>
    </row>
    <row r="40" spans="1:20" ht="18" hidden="1" outlineLevel="1" thickBot="1">
      <c r="A40" s="140" t="s">
        <v>28</v>
      </c>
      <c r="B40" s="834" t="str">
        <f t="shared" si="17"/>
        <v>2025</v>
      </c>
      <c r="C40" s="414">
        <f t="shared" ca="1" si="11"/>
        <v>6248.39</v>
      </c>
      <c r="D40" s="412">
        <v>6500</v>
      </c>
      <c r="E40" s="414">
        <f t="shared" ca="1" si="12"/>
        <v>4413.55</v>
      </c>
      <c r="F40" s="137">
        <v>4500</v>
      </c>
      <c r="G40" s="131">
        <f>+Récapitulatif!$G80</f>
        <v>0</v>
      </c>
      <c r="H40" s="130"/>
      <c r="I40" s="414">
        <f t="shared" ca="1" si="13"/>
        <v>1986.76</v>
      </c>
      <c r="J40" s="130">
        <v>1985</v>
      </c>
      <c r="K40" s="131">
        <f>+Récapitulatif!$G138</f>
        <v>0</v>
      </c>
      <c r="L40" s="132">
        <v>0</v>
      </c>
      <c r="M40" s="138">
        <f t="shared" ca="1" si="18"/>
        <v>12648.7</v>
      </c>
      <c r="N40" s="132">
        <f t="shared" si="14"/>
        <v>12985</v>
      </c>
      <c r="O40" s="138">
        <f t="shared" ca="1" si="15"/>
        <v>53973.020000000004</v>
      </c>
      <c r="P40" s="170">
        <f t="shared" si="15"/>
        <v>58454.51</v>
      </c>
      <c r="Q40" s="169">
        <f t="shared" ca="1" si="16"/>
        <v>-4481.489999999998</v>
      </c>
      <c r="R40" s="56"/>
      <c r="S40" s="56"/>
      <c r="T40" s="56"/>
    </row>
    <row r="41" spans="1:20" s="23" customFormat="1" ht="18" hidden="1" outlineLevel="1" thickBot="1">
      <c r="A41" s="135" t="s">
        <v>29</v>
      </c>
      <c r="B41" s="834" t="str">
        <f t="shared" si="17"/>
        <v>2025</v>
      </c>
      <c r="C41" s="414">
        <f t="shared" ca="1" si="11"/>
        <v>7527.69</v>
      </c>
      <c r="D41" s="412">
        <v>6500</v>
      </c>
      <c r="E41" s="414">
        <f t="shared" ca="1" si="12"/>
        <v>4611.71</v>
      </c>
      <c r="F41" s="130">
        <v>5000</v>
      </c>
      <c r="G41" s="138">
        <f>+Récapitulatif!$H80</f>
        <v>0</v>
      </c>
      <c r="H41" s="137"/>
      <c r="I41" s="414">
        <f t="shared" ca="1" si="13"/>
        <v>1501.13</v>
      </c>
      <c r="J41" s="137">
        <v>1501</v>
      </c>
      <c r="K41" s="138">
        <f>+Récapitulatif!$H138</f>
        <v>0</v>
      </c>
      <c r="L41" s="139">
        <v>0</v>
      </c>
      <c r="M41" s="138">
        <f t="shared" ca="1" si="18"/>
        <v>13640.529999999999</v>
      </c>
      <c r="N41" s="139">
        <f t="shared" si="14"/>
        <v>13001</v>
      </c>
      <c r="O41" s="138">
        <f t="shared" ca="1" si="15"/>
        <v>67613.55</v>
      </c>
      <c r="P41" s="168">
        <f t="shared" si="15"/>
        <v>71455.510000000009</v>
      </c>
      <c r="Q41" s="169">
        <f t="shared" ca="1" si="16"/>
        <v>-3841.9600000000064</v>
      </c>
      <c r="R41" s="57"/>
      <c r="S41" s="57"/>
      <c r="T41" s="57"/>
    </row>
    <row r="42" spans="1:20" s="23" customFormat="1" ht="18" hidden="1" outlineLevel="1" thickBot="1">
      <c r="A42" s="135" t="s">
        <v>54</v>
      </c>
      <c r="B42" s="834" t="str">
        <f t="shared" si="17"/>
        <v>2025</v>
      </c>
      <c r="C42" s="414">
        <f t="shared" ca="1" si="11"/>
        <v>6788.34</v>
      </c>
      <c r="D42" s="412">
        <v>5000</v>
      </c>
      <c r="E42" s="414">
        <f t="shared" ca="1" si="12"/>
        <v>5307.92</v>
      </c>
      <c r="F42" s="130">
        <v>4000</v>
      </c>
      <c r="G42" s="138">
        <f>+Récapitulatif!$I80</f>
        <v>1711.49</v>
      </c>
      <c r="H42" s="137">
        <v>1711.49</v>
      </c>
      <c r="I42" s="414">
        <f t="shared" ca="1" si="13"/>
        <v>1711.48</v>
      </c>
      <c r="J42" s="137">
        <v>1711</v>
      </c>
      <c r="K42" s="138">
        <f>+Récapitulatif!$I138</f>
        <v>0</v>
      </c>
      <c r="L42" s="139">
        <v>0</v>
      </c>
      <c r="M42" s="138">
        <f t="shared" ca="1" si="18"/>
        <v>15519.23</v>
      </c>
      <c r="N42" s="139">
        <f t="shared" si="14"/>
        <v>12422.49</v>
      </c>
      <c r="O42" s="138">
        <f ca="1">+O41+M42</f>
        <v>83132.78</v>
      </c>
      <c r="P42" s="168">
        <f>+P41+N42</f>
        <v>83878.000000000015</v>
      </c>
      <c r="Q42" s="169">
        <f t="shared" ca="1" si="16"/>
        <v>-745.22000000001572</v>
      </c>
      <c r="R42" s="57"/>
      <c r="S42" s="57"/>
      <c r="T42" s="57"/>
    </row>
    <row r="43" spans="1:20" ht="18" hidden="1" outlineLevel="1" thickBot="1">
      <c r="A43" s="135" t="s">
        <v>55</v>
      </c>
      <c r="B43" s="834" t="str">
        <f t="shared" si="17"/>
        <v>2025</v>
      </c>
      <c r="C43" s="414">
        <f t="shared" ca="1" si="11"/>
        <v>6437.18</v>
      </c>
      <c r="D43" s="412">
        <v>5000</v>
      </c>
      <c r="E43" s="414">
        <f t="shared" ca="1" si="12"/>
        <v>3395.31</v>
      </c>
      <c r="F43" s="130">
        <v>4000</v>
      </c>
      <c r="G43" s="138">
        <f>+Récapitulatif!$J80</f>
        <v>3050.84</v>
      </c>
      <c r="H43" s="137">
        <v>3050.84</v>
      </c>
      <c r="I43" s="414">
        <f t="shared" ca="1" si="13"/>
        <v>1715.22</v>
      </c>
      <c r="J43" s="137">
        <v>1715</v>
      </c>
      <c r="K43" s="138">
        <f>+Récapitulatif!$J138</f>
        <v>0</v>
      </c>
      <c r="L43" s="139">
        <v>0</v>
      </c>
      <c r="M43" s="138">
        <f t="shared" ca="1" si="18"/>
        <v>14598.55</v>
      </c>
      <c r="N43" s="139">
        <f t="shared" si="14"/>
        <v>13765.84</v>
      </c>
      <c r="O43" s="138">
        <f t="shared" ca="1" si="15"/>
        <v>97731.33</v>
      </c>
      <c r="P43" s="168">
        <f t="shared" si="15"/>
        <v>97643.840000000011</v>
      </c>
      <c r="Q43" s="169">
        <f t="shared" ca="1" si="16"/>
        <v>87.489999999990687</v>
      </c>
      <c r="R43" s="56"/>
      <c r="S43" s="56"/>
      <c r="T43" s="56"/>
    </row>
    <row r="44" spans="1:20" ht="18" hidden="1" outlineLevel="1" thickBot="1">
      <c r="A44" s="140" t="s">
        <v>56</v>
      </c>
      <c r="B44" s="834" t="str">
        <f t="shared" si="17"/>
        <v>2025</v>
      </c>
      <c r="C44" s="414">
        <f t="shared" ca="1" si="11"/>
        <v>6306.07</v>
      </c>
      <c r="D44" s="412">
        <v>6000</v>
      </c>
      <c r="E44" s="414">
        <f t="shared" ca="1" si="12"/>
        <v>5036.26</v>
      </c>
      <c r="F44" s="137">
        <v>4800</v>
      </c>
      <c r="G44" s="131">
        <f>+Récapitulatif!$K80</f>
        <v>0</v>
      </c>
      <c r="H44" s="130"/>
      <c r="I44" s="414">
        <f t="shared" ca="1" si="13"/>
        <v>1715.5</v>
      </c>
      <c r="J44" s="130">
        <v>1715</v>
      </c>
      <c r="K44" s="131">
        <f>+Récapitulatif!$K138</f>
        <v>0</v>
      </c>
      <c r="L44" s="132">
        <v>0</v>
      </c>
      <c r="M44" s="138">
        <f t="shared" ca="1" si="18"/>
        <v>13057.83</v>
      </c>
      <c r="N44" s="132">
        <f t="shared" si="14"/>
        <v>12515</v>
      </c>
      <c r="O44" s="138">
        <f t="shared" ca="1" si="15"/>
        <v>110789.16</v>
      </c>
      <c r="P44" s="170">
        <f t="shared" si="15"/>
        <v>110158.84000000001</v>
      </c>
      <c r="Q44" s="169">
        <f t="shared" ca="1" si="16"/>
        <v>630.31999999999243</v>
      </c>
      <c r="R44" s="56"/>
      <c r="S44" s="56"/>
      <c r="T44" s="56"/>
    </row>
    <row r="45" spans="1:20" ht="18" hidden="1" outlineLevel="1" thickBot="1">
      <c r="A45" s="135" t="s">
        <v>57</v>
      </c>
      <c r="B45" s="834" t="str">
        <f t="shared" si="17"/>
        <v>2025</v>
      </c>
      <c r="C45" s="414">
        <f t="shared" ca="1" si="11"/>
        <v>6686.1</v>
      </c>
      <c r="D45" s="412">
        <v>6000</v>
      </c>
      <c r="E45" s="414">
        <f t="shared" ca="1" si="12"/>
        <v>4821.91</v>
      </c>
      <c r="F45" s="130">
        <v>5100</v>
      </c>
      <c r="G45" s="138">
        <f>+Récapitulatif!$L80</f>
        <v>0</v>
      </c>
      <c r="H45" s="137"/>
      <c r="I45" s="414">
        <f t="shared" ca="1" si="13"/>
        <v>1717.86</v>
      </c>
      <c r="J45" s="137">
        <v>1717</v>
      </c>
      <c r="K45" s="138">
        <f>+Récapitulatif!$L138</f>
        <v>0</v>
      </c>
      <c r="L45" s="139">
        <v>0</v>
      </c>
      <c r="M45" s="138">
        <f t="shared" ca="1" si="18"/>
        <v>13225.87</v>
      </c>
      <c r="N45" s="139">
        <f t="shared" si="14"/>
        <v>12817</v>
      </c>
      <c r="O45" s="138">
        <f ca="1">+O44+M45</f>
        <v>124015.03</v>
      </c>
      <c r="P45" s="168">
        <f>+P44+N45</f>
        <v>122975.84000000001</v>
      </c>
      <c r="Q45" s="169">
        <f t="shared" ca="1" si="16"/>
        <v>1039.1899999999878</v>
      </c>
      <c r="R45" s="56"/>
      <c r="S45" s="56"/>
      <c r="T45" s="56"/>
    </row>
    <row r="46" spans="1:20" ht="18" hidden="1" outlineLevel="1" thickBot="1">
      <c r="A46" s="140" t="s">
        <v>58</v>
      </c>
      <c r="B46" s="834" t="str">
        <f t="shared" si="17"/>
        <v>2025</v>
      </c>
      <c r="C46" s="414">
        <f t="shared" ca="1" si="11"/>
        <v>3476.37</v>
      </c>
      <c r="D46" s="412">
        <v>5300</v>
      </c>
      <c r="E46" s="414">
        <f t="shared" ca="1" si="12"/>
        <v>3710.43</v>
      </c>
      <c r="F46" s="130">
        <v>4000</v>
      </c>
      <c r="G46" s="131">
        <f>+Récapitulatif!$M80</f>
        <v>0</v>
      </c>
      <c r="H46" s="167"/>
      <c r="I46" s="414">
        <f t="shared" ca="1" si="13"/>
        <v>1767.68</v>
      </c>
      <c r="J46" s="130">
        <v>1768</v>
      </c>
      <c r="K46" s="131">
        <f>+Récapitulatif!$M138</f>
        <v>0</v>
      </c>
      <c r="L46" s="132">
        <v>0</v>
      </c>
      <c r="M46" s="138">
        <f t="shared" ca="1" si="18"/>
        <v>8954.48</v>
      </c>
      <c r="N46" s="132">
        <f t="shared" si="14"/>
        <v>11068</v>
      </c>
      <c r="O46" s="138">
        <f t="shared" ca="1" si="15"/>
        <v>132969.51</v>
      </c>
      <c r="P46" s="170">
        <f t="shared" si="15"/>
        <v>134043.84000000003</v>
      </c>
      <c r="Q46" s="169">
        <f t="shared" ca="1" si="16"/>
        <v>-1074.3300000000163</v>
      </c>
      <c r="R46" s="56"/>
      <c r="S46" s="56"/>
      <c r="T46" s="56"/>
    </row>
    <row r="47" spans="1:20" ht="18" hidden="1" outlineLevel="1" thickBot="1">
      <c r="A47" s="411" t="s">
        <v>59</v>
      </c>
      <c r="B47" s="834" t="str">
        <f t="shared" si="17"/>
        <v>2025</v>
      </c>
      <c r="C47" s="414">
        <f t="shared" ca="1" si="11"/>
        <v>5163.1400000000003</v>
      </c>
      <c r="D47" s="412">
        <v>5700</v>
      </c>
      <c r="E47" s="414">
        <f t="shared" ca="1" si="12"/>
        <v>4122.58</v>
      </c>
      <c r="F47" s="144">
        <v>3500</v>
      </c>
      <c r="G47" s="131">
        <f>+Récapitulatif!$N80</f>
        <v>0</v>
      </c>
      <c r="H47" s="130">
        <v>0</v>
      </c>
      <c r="I47" s="414">
        <f t="shared" ca="1" si="13"/>
        <v>117.85</v>
      </c>
      <c r="J47" s="130">
        <v>117.85</v>
      </c>
      <c r="K47" s="131">
        <f>+Récapitulatif!$N138</f>
        <v>0</v>
      </c>
      <c r="L47" s="132">
        <v>0</v>
      </c>
      <c r="M47" s="138">
        <f t="shared" ca="1" si="18"/>
        <v>9403.5700000000015</v>
      </c>
      <c r="N47" s="132">
        <f t="shared" si="14"/>
        <v>9317.85</v>
      </c>
      <c r="O47" s="138">
        <f t="shared" ca="1" si="15"/>
        <v>142373.08000000002</v>
      </c>
      <c r="P47" s="170">
        <f t="shared" si="15"/>
        <v>143361.69000000003</v>
      </c>
      <c r="Q47" s="169">
        <f t="shared" ca="1" si="16"/>
        <v>-988.61000000001513</v>
      </c>
      <c r="R47" s="56"/>
      <c r="S47" s="56"/>
      <c r="T47" s="56"/>
    </row>
    <row r="48" spans="1:20" ht="18" hidden="1" outlineLevel="1" thickBot="1">
      <c r="A48" s="185" t="s">
        <v>49</v>
      </c>
      <c r="B48" s="834" t="str">
        <f t="shared" si="17"/>
        <v>2025</v>
      </c>
      <c r="C48" s="178">
        <f ca="1">SUM(C36:C47)</f>
        <v>67242.8</v>
      </c>
      <c r="D48" s="178">
        <f>SUM(D36:D47)</f>
        <v>67300</v>
      </c>
      <c r="E48" s="178">
        <f ca="1">SUM(E36:E47)</f>
        <v>48961.87</v>
      </c>
      <c r="F48" s="178">
        <f t="shared" ref="F48:N48" si="19">SUM(F36:F47)</f>
        <v>49900</v>
      </c>
      <c r="G48" s="178">
        <f t="shared" si="19"/>
        <v>4962.84</v>
      </c>
      <c r="H48" s="178">
        <f t="shared" si="19"/>
        <v>4962.84</v>
      </c>
      <c r="I48" s="178">
        <f t="shared" ca="1" si="19"/>
        <v>17703.12</v>
      </c>
      <c r="J48" s="178">
        <f t="shared" si="19"/>
        <v>17696.849999999999</v>
      </c>
      <c r="K48" s="178">
        <f t="shared" si="19"/>
        <v>3502.45</v>
      </c>
      <c r="L48" s="178">
        <f t="shared" si="19"/>
        <v>3502</v>
      </c>
      <c r="M48" s="178">
        <f t="shared" ca="1" si="19"/>
        <v>142373.08000000002</v>
      </c>
      <c r="N48" s="178">
        <f t="shared" si="19"/>
        <v>143361.69000000003</v>
      </c>
      <c r="O48" s="178"/>
      <c r="P48" s="178"/>
      <c r="Q48" s="176"/>
      <c r="R48" s="56"/>
      <c r="S48" s="56"/>
      <c r="T48" s="56"/>
    </row>
    <row r="49" spans="1:20" ht="55.8" hidden="1" customHeight="1" outlineLevel="1" thickBot="1">
      <c r="A49" s="56"/>
      <c r="B49" s="56"/>
      <c r="C49" s="62"/>
      <c r="D49" s="62"/>
      <c r="E49" s="131"/>
      <c r="F49" s="62"/>
      <c r="G49" s="62"/>
      <c r="H49" s="62"/>
      <c r="I49" s="62"/>
      <c r="J49" s="62"/>
      <c r="K49" s="62"/>
      <c r="L49" s="62"/>
      <c r="M49" s="62"/>
      <c r="N49" s="62"/>
      <c r="O49" s="62"/>
      <c r="P49" s="62"/>
      <c r="Q49" s="56"/>
      <c r="R49" s="56"/>
      <c r="S49" s="56"/>
      <c r="T49" s="56"/>
    </row>
    <row r="50" spans="1:20" ht="27" collapsed="1" thickBot="1">
      <c r="A50" s="879" t="s">
        <v>1054</v>
      </c>
      <c r="B50" s="832"/>
      <c r="C50" s="125"/>
      <c r="D50" s="125"/>
      <c r="E50" s="61"/>
      <c r="F50" s="125"/>
      <c r="G50" s="125"/>
      <c r="H50" s="125"/>
      <c r="I50" s="125"/>
      <c r="J50" s="125"/>
      <c r="K50" s="125"/>
      <c r="L50" s="125"/>
      <c r="M50" s="126"/>
      <c r="N50" s="126"/>
      <c r="O50" s="125"/>
      <c r="P50" s="125"/>
      <c r="Q50" s="127"/>
      <c r="R50" s="56"/>
      <c r="S50" s="56"/>
      <c r="T50" s="56"/>
    </row>
    <row r="51" spans="1:20" ht="18" thickBot="1">
      <c r="A51" s="160" t="s">
        <v>52</v>
      </c>
      <c r="B51" s="60" t="str">
        <f>$A$50</f>
        <v>2026</v>
      </c>
      <c r="C51" s="414">
        <f t="shared" ref="C51:C62" ca="1" si="20">INDEX(INDIRECT(OFFSET($A$2, 0, COLUMN()-1)),
MATCH($B51*1,ListeAnnées,0),
MATCH($A51,ListeMois,0))</f>
        <v>3430.55</v>
      </c>
      <c r="D51" s="180">
        <v>4168.76</v>
      </c>
      <c r="E51" s="414">
        <f t="shared" ca="1" si="12"/>
        <v>3047.95</v>
      </c>
      <c r="F51" s="128">
        <v>3334.57</v>
      </c>
      <c r="G51" s="818">
        <f>+Récapitulatif!$C84</f>
        <v>0</v>
      </c>
      <c r="H51" s="181"/>
      <c r="I51" s="414">
        <f t="shared" ref="I51:I62" ca="1" si="21">INDEX(INDIRECT(OFFSET($A$2, 0, COLUMN()-1)),
MATCH($B51*1,ListeAnnées,0),
MATCH($A51,ListeMois,0))</f>
        <v>1529.7</v>
      </c>
      <c r="J51" s="181">
        <v>1500</v>
      </c>
      <c r="K51" s="179">
        <f>+Récapitulatif!$C142</f>
        <v>0</v>
      </c>
      <c r="L51" s="182">
        <v>0</v>
      </c>
      <c r="M51" s="179">
        <f t="shared" ref="M51:N53" ca="1" si="22">+C51+E51+G51+I51+K51</f>
        <v>8008.2</v>
      </c>
      <c r="N51" s="182">
        <f t="shared" si="22"/>
        <v>9003.33</v>
      </c>
      <c r="O51" s="179">
        <f ca="1">+M51</f>
        <v>8008.2</v>
      </c>
      <c r="P51" s="183">
        <f>+N51</f>
        <v>9003.33</v>
      </c>
      <c r="Q51" s="169">
        <f t="shared" ref="Q51:Q62" ca="1" si="23">-P51+O51</f>
        <v>-995.13000000000011</v>
      </c>
      <c r="R51" s="56"/>
      <c r="S51" s="56"/>
      <c r="T51" s="56"/>
    </row>
    <row r="52" spans="1:20" ht="18" thickBot="1">
      <c r="A52" s="135" t="s">
        <v>53</v>
      </c>
      <c r="B52" s="60" t="str">
        <f t="shared" ref="B52:B63" si="24">$A$50</f>
        <v>2026</v>
      </c>
      <c r="C52" s="414">
        <f t="shared" ca="1" si="20"/>
        <v>3724.66</v>
      </c>
      <c r="D52" s="167">
        <v>4069.84</v>
      </c>
      <c r="E52" s="414">
        <f t="shared" ca="1" si="12"/>
        <v>2850.76</v>
      </c>
      <c r="F52" s="130">
        <v>3399.26</v>
      </c>
      <c r="G52" s="819">
        <f>+Récapitulatif!$D84</f>
        <v>0</v>
      </c>
      <c r="H52" s="137"/>
      <c r="I52" s="414">
        <f t="shared" ca="1" si="21"/>
        <v>1784.66</v>
      </c>
      <c r="J52" s="137">
        <v>1500</v>
      </c>
      <c r="K52" s="138">
        <f>+Récapitulatif!$D142</f>
        <v>0</v>
      </c>
      <c r="L52" s="139">
        <v>0</v>
      </c>
      <c r="M52" s="179">
        <f t="shared" ca="1" si="22"/>
        <v>8360.08</v>
      </c>
      <c r="N52" s="139">
        <f t="shared" si="22"/>
        <v>8969.1</v>
      </c>
      <c r="O52" s="138">
        <f t="shared" ref="O52:O62" ca="1" si="25">+O51+M52</f>
        <v>16368.279999999999</v>
      </c>
      <c r="P52" s="168">
        <f t="shared" ref="P52:P62" si="26">+P51+N52</f>
        <v>17972.43</v>
      </c>
      <c r="Q52" s="169">
        <f t="shared" ca="1" si="23"/>
        <v>-1604.1500000000015</v>
      </c>
      <c r="R52" s="56"/>
      <c r="S52" s="56"/>
      <c r="T52" s="56"/>
    </row>
    <row r="53" spans="1:20" ht="18" thickBot="1">
      <c r="A53" s="140" t="s">
        <v>26</v>
      </c>
      <c r="B53" s="60" t="str">
        <f t="shared" si="24"/>
        <v>2026</v>
      </c>
      <c r="C53" s="414">
        <f t="shared" ca="1" si="20"/>
        <v>4756.32</v>
      </c>
      <c r="D53" s="167">
        <v>5183.41</v>
      </c>
      <c r="E53" s="414">
        <f t="shared" ca="1" si="12"/>
        <v>2930.5</v>
      </c>
      <c r="F53" s="137">
        <v>2963.08</v>
      </c>
      <c r="G53" s="409">
        <f>+Récapitulatif!$E84</f>
        <v>0</v>
      </c>
      <c r="H53" s="130"/>
      <c r="I53" s="414">
        <f t="shared" ca="1" si="21"/>
        <v>1975.87</v>
      </c>
      <c r="J53" s="130">
        <v>1500</v>
      </c>
      <c r="K53" s="131">
        <f>+Récapitulatif!$E142</f>
        <v>0</v>
      </c>
      <c r="L53" s="132">
        <v>0</v>
      </c>
      <c r="M53" s="138">
        <f t="shared" ca="1" si="22"/>
        <v>9662.6899999999987</v>
      </c>
      <c r="N53" s="132">
        <f t="shared" si="22"/>
        <v>9646.49</v>
      </c>
      <c r="O53" s="138">
        <f t="shared" ca="1" si="25"/>
        <v>26030.969999999998</v>
      </c>
      <c r="P53" s="170">
        <f t="shared" si="26"/>
        <v>27618.92</v>
      </c>
      <c r="Q53" s="169">
        <f t="shared" ca="1" si="23"/>
        <v>-1587.9500000000007</v>
      </c>
      <c r="R53" s="56"/>
      <c r="S53" s="56"/>
      <c r="T53" s="56"/>
    </row>
    <row r="54" spans="1:20" ht="18" thickBot="1">
      <c r="A54" s="135" t="s">
        <v>27</v>
      </c>
      <c r="B54" s="60" t="str">
        <f t="shared" si="24"/>
        <v>2026</v>
      </c>
      <c r="C54" s="414">
        <f t="shared" ca="1" si="20"/>
        <v>4916.3900000000003</v>
      </c>
      <c r="D54" s="167">
        <v>5187.51</v>
      </c>
      <c r="E54" s="414">
        <f t="shared" ca="1" si="12"/>
        <v>3123.4</v>
      </c>
      <c r="F54" s="130">
        <v>3845.29</v>
      </c>
      <c r="G54" s="819">
        <f>+Récapitulatif!$F84</f>
        <v>0</v>
      </c>
      <c r="H54" s="137"/>
      <c r="I54" s="414">
        <f t="shared" ca="1" si="21"/>
        <v>1912.13</v>
      </c>
      <c r="J54" s="137">
        <v>1500</v>
      </c>
      <c r="K54" s="138">
        <f>+Récapitulatif!$F142</f>
        <v>0</v>
      </c>
      <c r="L54" s="139">
        <v>0</v>
      </c>
      <c r="M54" s="138">
        <f t="shared" ref="M54:N56" ca="1" si="27">+C54+E54+G54+I54+K54</f>
        <v>9951.9200000000019</v>
      </c>
      <c r="N54" s="139">
        <f t="shared" si="27"/>
        <v>10532.8</v>
      </c>
      <c r="O54" s="138">
        <f t="shared" ca="1" si="25"/>
        <v>35982.89</v>
      </c>
      <c r="P54" s="168">
        <f t="shared" si="26"/>
        <v>38151.72</v>
      </c>
      <c r="Q54" s="169">
        <f t="shared" ca="1" si="23"/>
        <v>-2168.8300000000017</v>
      </c>
      <c r="R54" s="56"/>
      <c r="S54" s="56"/>
      <c r="T54" s="56"/>
    </row>
    <row r="55" spans="1:20" ht="18" thickBot="1">
      <c r="A55" s="140" t="s">
        <v>28</v>
      </c>
      <c r="B55" s="60" t="str">
        <f t="shared" si="24"/>
        <v>2026</v>
      </c>
      <c r="C55" s="414">
        <f t="shared" ca="1" si="20"/>
        <v>5626.7</v>
      </c>
      <c r="D55" s="167">
        <v>6248.39</v>
      </c>
      <c r="E55" s="414">
        <f t="shared" ca="1" si="12"/>
        <v>2781.18</v>
      </c>
      <c r="F55" s="137">
        <v>4413.55</v>
      </c>
      <c r="G55" s="409">
        <f>+Récapitulatif!$G84</f>
        <v>0</v>
      </c>
      <c r="H55" s="130"/>
      <c r="I55" s="414">
        <f t="shared" ca="1" si="21"/>
        <v>1848.39</v>
      </c>
      <c r="J55" s="130">
        <v>1500</v>
      </c>
      <c r="K55" s="131">
        <f>+Récapitulatif!$G142</f>
        <v>0</v>
      </c>
      <c r="L55" s="132">
        <v>0</v>
      </c>
      <c r="M55" s="138">
        <f t="shared" ca="1" si="27"/>
        <v>10256.269999999999</v>
      </c>
      <c r="N55" s="132">
        <f t="shared" si="27"/>
        <v>12161.94</v>
      </c>
      <c r="O55" s="138">
        <f t="shared" ca="1" si="25"/>
        <v>46239.159999999996</v>
      </c>
      <c r="P55" s="170">
        <f t="shared" si="26"/>
        <v>50313.66</v>
      </c>
      <c r="Q55" s="169">
        <f t="shared" ca="1" si="23"/>
        <v>-4074.5000000000073</v>
      </c>
      <c r="R55" s="56"/>
      <c r="S55" s="56"/>
      <c r="T55" s="56"/>
    </row>
    <row r="56" spans="1:20" ht="18" thickBot="1">
      <c r="A56" s="135" t="s">
        <v>29</v>
      </c>
      <c r="B56" s="60" t="str">
        <f t="shared" si="24"/>
        <v>2026</v>
      </c>
      <c r="C56" s="414">
        <f t="shared" ca="1" si="20"/>
        <v>5071.18</v>
      </c>
      <c r="D56" s="167">
        <v>7527.69</v>
      </c>
      <c r="E56" s="414">
        <f t="shared" ca="1" si="12"/>
        <v>1940.49</v>
      </c>
      <c r="F56" s="130">
        <v>4611.71</v>
      </c>
      <c r="G56" s="819">
        <f>+Récapitulatif!$H84</f>
        <v>0</v>
      </c>
      <c r="H56" s="137"/>
      <c r="I56" s="414">
        <f t="shared" ca="1" si="21"/>
        <v>1341.01</v>
      </c>
      <c r="J56" s="137">
        <v>1500</v>
      </c>
      <c r="K56" s="138">
        <f>+Récapitulatif!$H142</f>
        <v>0</v>
      </c>
      <c r="L56" s="139">
        <v>0</v>
      </c>
      <c r="M56" s="138">
        <f t="shared" ca="1" si="27"/>
        <v>8352.68</v>
      </c>
      <c r="N56" s="139">
        <f t="shared" si="27"/>
        <v>13639.4</v>
      </c>
      <c r="O56" s="138">
        <f t="shared" ca="1" si="25"/>
        <v>54591.839999999997</v>
      </c>
      <c r="P56" s="168">
        <f t="shared" si="26"/>
        <v>63953.060000000005</v>
      </c>
      <c r="Q56" s="169">
        <f t="shared" ca="1" si="23"/>
        <v>-9361.2200000000084</v>
      </c>
      <c r="R56" s="56"/>
      <c r="S56" s="56"/>
      <c r="T56" s="56"/>
    </row>
    <row r="57" spans="1:20" ht="19.2" customHeight="1" thickBot="1">
      <c r="A57" s="140" t="s">
        <v>54</v>
      </c>
      <c r="B57" s="60" t="str">
        <f t="shared" si="24"/>
        <v>2026</v>
      </c>
      <c r="C57" s="414">
        <f t="shared" ca="1" si="20"/>
        <v>4494.3500000000004</v>
      </c>
      <c r="D57" s="167">
        <v>6788.34</v>
      </c>
      <c r="E57" s="414">
        <f t="shared" ca="1" si="12"/>
        <v>2611.88</v>
      </c>
      <c r="F57" s="137">
        <v>5307.92</v>
      </c>
      <c r="G57" s="409">
        <f>+Récapitulatif!$I84</f>
        <v>0</v>
      </c>
      <c r="H57" s="130"/>
      <c r="I57" s="414">
        <f t="shared" ca="1" si="21"/>
        <v>2186.2199999999998</v>
      </c>
      <c r="J57" s="130">
        <v>1500</v>
      </c>
      <c r="K57" s="131">
        <f>+Récapitulatif!$I142</f>
        <v>0</v>
      </c>
      <c r="L57" s="132">
        <v>0</v>
      </c>
      <c r="M57" s="138">
        <f t="shared" ref="M57:N59" ca="1" si="28">+C57+E57+G57+I57+K57</f>
        <v>9292.4500000000007</v>
      </c>
      <c r="N57" s="132">
        <f t="shared" si="28"/>
        <v>13596.26</v>
      </c>
      <c r="O57" s="138">
        <f t="shared" ca="1" si="25"/>
        <v>63884.289999999994</v>
      </c>
      <c r="P57" s="170">
        <f t="shared" si="26"/>
        <v>77549.320000000007</v>
      </c>
      <c r="Q57" s="169">
        <f t="shared" ca="1" si="23"/>
        <v>-13665.030000000013</v>
      </c>
    </row>
    <row r="58" spans="1:20" ht="18" thickBot="1">
      <c r="A58" s="135" t="s">
        <v>55</v>
      </c>
      <c r="B58" s="60" t="str">
        <f t="shared" si="24"/>
        <v>2026</v>
      </c>
      <c r="C58" s="414">
        <f t="shared" ca="1" si="20"/>
        <v>667.1</v>
      </c>
      <c r="D58" s="167">
        <v>6437.18</v>
      </c>
      <c r="E58" s="414">
        <f t="shared" ca="1" si="12"/>
        <v>511.85</v>
      </c>
      <c r="F58" s="130">
        <v>3395.31</v>
      </c>
      <c r="G58" s="819">
        <f>+Récapitulatif!$J84</f>
        <v>0</v>
      </c>
      <c r="H58" s="137"/>
      <c r="I58" s="414">
        <f t="shared" ca="1" si="21"/>
        <v>2191.0700000000002</v>
      </c>
      <c r="J58" s="137">
        <v>1500</v>
      </c>
      <c r="K58" s="138">
        <f>+Récapitulatif!$J142</f>
        <v>0</v>
      </c>
      <c r="L58" s="139">
        <v>0</v>
      </c>
      <c r="M58" s="138">
        <f t="shared" ca="1" si="28"/>
        <v>3370.0200000000004</v>
      </c>
      <c r="N58" s="139">
        <f t="shared" si="28"/>
        <v>11332.49</v>
      </c>
      <c r="O58" s="138">
        <f t="shared" ca="1" si="25"/>
        <v>67254.31</v>
      </c>
      <c r="P58" s="168">
        <f t="shared" si="26"/>
        <v>88881.810000000012</v>
      </c>
      <c r="Q58" s="169">
        <f t="shared" ca="1" si="23"/>
        <v>-21627.500000000015</v>
      </c>
      <c r="R58" s="56"/>
      <c r="S58" s="56"/>
      <c r="T58" s="56"/>
    </row>
    <row r="59" spans="1:20" ht="18" thickBot="1">
      <c r="A59" s="140" t="s">
        <v>56</v>
      </c>
      <c r="B59" s="60" t="str">
        <f t="shared" si="24"/>
        <v>2026</v>
      </c>
      <c r="C59" s="414">
        <f t="shared" ca="1" si="20"/>
        <v>1289.01</v>
      </c>
      <c r="D59" s="167">
        <v>6306.07</v>
      </c>
      <c r="E59" s="414">
        <f t="shared" ca="1" si="12"/>
        <v>1366.63</v>
      </c>
      <c r="F59" s="137">
        <v>5036.26</v>
      </c>
      <c r="G59" s="409">
        <f>+Récapitulatif!$K84</f>
        <v>0</v>
      </c>
      <c r="H59" s="130"/>
      <c r="I59" s="414">
        <f t="shared" ca="1" si="21"/>
        <v>1272.23</v>
      </c>
      <c r="J59" s="130">
        <v>1500</v>
      </c>
      <c r="K59" s="131">
        <f>+Récapitulatif!$K142</f>
        <v>0</v>
      </c>
      <c r="L59" s="132">
        <v>0</v>
      </c>
      <c r="M59" s="138">
        <f t="shared" ca="1" si="28"/>
        <v>3927.8700000000003</v>
      </c>
      <c r="N59" s="132">
        <f t="shared" si="28"/>
        <v>12842.33</v>
      </c>
      <c r="O59" s="138">
        <f t="shared" ca="1" si="25"/>
        <v>71182.179999999993</v>
      </c>
      <c r="P59" s="170">
        <f t="shared" si="26"/>
        <v>101724.14000000001</v>
      </c>
      <c r="Q59" s="169">
        <f t="shared" ca="1" si="23"/>
        <v>-30541.960000000021</v>
      </c>
      <c r="R59" s="56"/>
      <c r="S59" s="56"/>
      <c r="T59" s="56"/>
    </row>
    <row r="60" spans="1:20" ht="18" thickBot="1">
      <c r="A60" s="135" t="s">
        <v>57</v>
      </c>
      <c r="B60" s="60" t="str">
        <f t="shared" si="24"/>
        <v>2026</v>
      </c>
      <c r="C60" s="414">
        <f t="shared" ca="1" si="20"/>
        <v>0</v>
      </c>
      <c r="D60" s="167">
        <v>6686.1</v>
      </c>
      <c r="E60" s="414">
        <f t="shared" ca="1" si="12"/>
        <v>756.75</v>
      </c>
      <c r="F60" s="130">
        <v>4821.91</v>
      </c>
      <c r="G60" s="819">
        <f>+Récapitulatif!$L84</f>
        <v>0</v>
      </c>
      <c r="H60" s="137"/>
      <c r="I60" s="414">
        <f t="shared" ca="1" si="21"/>
        <v>0</v>
      </c>
      <c r="J60" s="137">
        <v>1500</v>
      </c>
      <c r="K60" s="138">
        <f>+Récapitulatif!$L142</f>
        <v>0</v>
      </c>
      <c r="L60" s="139">
        <v>0</v>
      </c>
      <c r="M60" s="138">
        <f t="shared" ref="M60:N62" ca="1" si="29">+C60+E60+G60+I60+K60</f>
        <v>756.75</v>
      </c>
      <c r="N60" s="139">
        <f t="shared" si="29"/>
        <v>13008.01</v>
      </c>
      <c r="O60" s="138">
        <f t="shared" ca="1" si="25"/>
        <v>71938.929999999993</v>
      </c>
      <c r="P60" s="168">
        <f t="shared" si="26"/>
        <v>114732.15000000001</v>
      </c>
      <c r="Q60" s="169">
        <f t="shared" ca="1" si="23"/>
        <v>-42793.220000000016</v>
      </c>
      <c r="R60" s="56"/>
      <c r="S60" s="56"/>
      <c r="T60" s="56"/>
    </row>
    <row r="61" spans="1:20" ht="18" thickBot="1">
      <c r="A61" s="140" t="s">
        <v>58</v>
      </c>
      <c r="B61" s="60" t="str">
        <f t="shared" si="24"/>
        <v>2026</v>
      </c>
      <c r="C61" s="414">
        <f t="shared" ca="1" si="20"/>
        <v>0</v>
      </c>
      <c r="D61" s="167">
        <v>3476.37</v>
      </c>
      <c r="E61" s="414">
        <f t="shared" ca="1" si="12"/>
        <v>0</v>
      </c>
      <c r="F61" s="130">
        <v>3710.43</v>
      </c>
      <c r="G61" s="409">
        <f>+Récapitulatif!$M84</f>
        <v>0</v>
      </c>
      <c r="H61" s="167"/>
      <c r="I61" s="414">
        <f t="shared" ca="1" si="21"/>
        <v>0</v>
      </c>
      <c r="J61" s="130">
        <v>1500</v>
      </c>
      <c r="K61" s="131">
        <f>+Récapitulatif!$M142</f>
        <v>0</v>
      </c>
      <c r="L61" s="132">
        <v>0</v>
      </c>
      <c r="M61" s="138">
        <f t="shared" ca="1" si="29"/>
        <v>0</v>
      </c>
      <c r="N61" s="132">
        <f t="shared" si="29"/>
        <v>8686.7999999999993</v>
      </c>
      <c r="O61" s="138">
        <f t="shared" ca="1" si="25"/>
        <v>71938.929999999993</v>
      </c>
      <c r="P61" s="170">
        <f t="shared" si="26"/>
        <v>123418.95000000001</v>
      </c>
      <c r="Q61" s="169">
        <f t="shared" ca="1" si="23"/>
        <v>-51480.020000000019</v>
      </c>
      <c r="R61" s="56"/>
      <c r="S61" s="56"/>
      <c r="T61" s="56"/>
    </row>
    <row r="62" spans="1:20" ht="18" thickBot="1">
      <c r="A62" s="174" t="s">
        <v>59</v>
      </c>
      <c r="B62" s="60" t="str">
        <f t="shared" si="24"/>
        <v>2026</v>
      </c>
      <c r="C62" s="414">
        <f t="shared" ca="1" si="20"/>
        <v>1029.6199999999999</v>
      </c>
      <c r="D62" s="167">
        <v>5163.1400000000003</v>
      </c>
      <c r="E62" s="414">
        <f t="shared" ca="1" si="12"/>
        <v>0</v>
      </c>
      <c r="F62" s="184">
        <v>4122.58</v>
      </c>
      <c r="G62" s="409">
        <f>+Récapitulatif!$N84</f>
        <v>0</v>
      </c>
      <c r="H62" s="130"/>
      <c r="I62" s="414">
        <f t="shared" ca="1" si="21"/>
        <v>0</v>
      </c>
      <c r="J62" s="130">
        <v>1500</v>
      </c>
      <c r="K62" s="131">
        <f>+Récapitulatif!$N142</f>
        <v>0</v>
      </c>
      <c r="L62" s="132">
        <v>0</v>
      </c>
      <c r="M62" s="138">
        <f t="shared" ca="1" si="29"/>
        <v>1029.6199999999999</v>
      </c>
      <c r="N62" s="132">
        <f t="shared" si="29"/>
        <v>10785.720000000001</v>
      </c>
      <c r="O62" s="138">
        <f t="shared" ca="1" si="25"/>
        <v>72968.549999999988</v>
      </c>
      <c r="P62" s="170">
        <f t="shared" si="26"/>
        <v>134204.67000000001</v>
      </c>
      <c r="Q62" s="169">
        <f t="shared" ca="1" si="23"/>
        <v>-61236.120000000024</v>
      </c>
      <c r="R62" s="56"/>
      <c r="S62" s="56"/>
      <c r="T62" s="56"/>
    </row>
    <row r="63" spans="1:20" ht="18" thickBot="1">
      <c r="A63" s="185" t="s">
        <v>1145</v>
      </c>
      <c r="B63" s="60" t="str">
        <f t="shared" si="24"/>
        <v>2026</v>
      </c>
      <c r="C63" s="178">
        <f t="shared" ref="C63:N63" ca="1" si="30">SUM(C51:C62)</f>
        <v>35005.880000000005</v>
      </c>
      <c r="D63" s="178">
        <f t="shared" si="30"/>
        <v>67242.8</v>
      </c>
      <c r="E63" s="178">
        <f t="shared" ca="1" si="30"/>
        <v>21921.39</v>
      </c>
      <c r="F63" s="178">
        <f t="shared" si="30"/>
        <v>48961.87</v>
      </c>
      <c r="G63" s="178">
        <f t="shared" si="30"/>
        <v>0</v>
      </c>
      <c r="H63" s="178">
        <f t="shared" si="30"/>
        <v>0</v>
      </c>
      <c r="I63" s="178">
        <f t="shared" ca="1" si="30"/>
        <v>16041.279999999999</v>
      </c>
      <c r="J63" s="178">
        <f t="shared" si="30"/>
        <v>18000</v>
      </c>
      <c r="K63" s="178">
        <f t="shared" si="30"/>
        <v>0</v>
      </c>
      <c r="L63" s="178">
        <f t="shared" si="30"/>
        <v>0</v>
      </c>
      <c r="M63" s="178">
        <f t="shared" ca="1" si="30"/>
        <v>72968.549999999988</v>
      </c>
      <c r="N63" s="178">
        <f t="shared" si="30"/>
        <v>134204.67000000001</v>
      </c>
      <c r="O63" s="178"/>
      <c r="P63" s="178"/>
      <c r="Q63" s="176"/>
      <c r="R63" s="56"/>
      <c r="S63" s="56"/>
      <c r="T63" s="56"/>
    </row>
    <row r="64" spans="1:20" ht="53.4" hidden="1" customHeight="1" outlineLevel="1" thickBot="1">
      <c r="D64" s="877"/>
      <c r="E64" s="61"/>
      <c r="R64" s="56"/>
      <c r="S64" s="56"/>
      <c r="T64" s="56"/>
    </row>
    <row r="65" spans="1:20" ht="27" hidden="1" outlineLevel="1" thickBot="1">
      <c r="A65" s="880" t="s">
        <v>1603</v>
      </c>
      <c r="B65" s="871"/>
      <c r="C65" s="872"/>
      <c r="D65" s="872"/>
      <c r="E65" s="876"/>
      <c r="F65" s="872"/>
      <c r="G65" s="872"/>
      <c r="H65" s="872"/>
      <c r="I65" s="872"/>
      <c r="J65" s="872"/>
      <c r="K65" s="872"/>
      <c r="L65" s="872"/>
      <c r="M65" s="873"/>
      <c r="N65" s="873"/>
      <c r="O65" s="872"/>
      <c r="P65" s="872"/>
      <c r="Q65" s="874"/>
      <c r="R65" s="56"/>
      <c r="S65" s="56"/>
      <c r="T65" s="56"/>
    </row>
    <row r="66" spans="1:20" ht="18" hidden="1" outlineLevel="1" thickBot="1">
      <c r="A66" s="160" t="s">
        <v>52</v>
      </c>
      <c r="B66" s="60" t="str">
        <f>$A$65</f>
        <v>2027</v>
      </c>
      <c r="C66" s="869">
        <f t="shared" ref="C66:C77" ca="1" si="31">INDEX(INDIRECT(OFFSET($A$2, 0, COLUMN()-1)),
MATCH($B66*1,ListeAnnées,0),
MATCH($A66,ListeMois,0))</f>
        <v>0</v>
      </c>
      <c r="D66" s="162">
        <v>4168.76</v>
      </c>
      <c r="E66" s="869">
        <f t="shared" ca="1" si="12"/>
        <v>0</v>
      </c>
      <c r="F66" s="163">
        <v>3334.57</v>
      </c>
      <c r="G66" s="878">
        <f>+Récapitulatif!$C88</f>
        <v>0</v>
      </c>
      <c r="H66" s="141"/>
      <c r="I66" s="869">
        <f t="shared" ref="I66:I77" ca="1" si="32">INDEX(INDIRECT(OFFSET($A$2, 0, COLUMN()-1)),
MATCH($B66*1,ListeAnnées,0),
MATCH($A66,ListeMois,0))</f>
        <v>0</v>
      </c>
      <c r="J66" s="141">
        <v>1500</v>
      </c>
      <c r="K66" s="61">
        <f>+Récapitulatif!$C164</f>
        <v>0</v>
      </c>
      <c r="L66" s="164">
        <v>0</v>
      </c>
      <c r="M66" s="61">
        <f ca="1">+C66+E66+G66+I66+K66</f>
        <v>0</v>
      </c>
      <c r="N66" s="164">
        <f>+D66+F66+H66+J66+L66</f>
        <v>9003.33</v>
      </c>
      <c r="O66" s="61">
        <f ca="1">+M66</f>
        <v>0</v>
      </c>
      <c r="P66" s="165">
        <f>+N66</f>
        <v>9003.33</v>
      </c>
      <c r="Q66" s="166">
        <f t="shared" ref="Q66:Q77" ca="1" si="33">-P66+O66</f>
        <v>-9003.33</v>
      </c>
      <c r="R66" s="56"/>
      <c r="S66" s="56"/>
      <c r="T66" s="56"/>
    </row>
    <row r="67" spans="1:20" ht="18" hidden="1" outlineLevel="1" thickBot="1">
      <c r="A67" s="135" t="s">
        <v>53</v>
      </c>
      <c r="B67" s="60" t="str">
        <f t="shared" ref="B67:B78" si="34">$A$65</f>
        <v>2027</v>
      </c>
      <c r="C67" s="414">
        <f t="shared" ca="1" si="31"/>
        <v>0</v>
      </c>
      <c r="D67" s="167">
        <v>4069.84</v>
      </c>
      <c r="E67" s="414">
        <f t="shared" ca="1" si="12"/>
        <v>0</v>
      </c>
      <c r="F67" s="130">
        <v>3399.26</v>
      </c>
      <c r="G67" s="819">
        <f>+Récapitulatif!$D88</f>
        <v>0</v>
      </c>
      <c r="H67" s="137"/>
      <c r="I67" s="414">
        <f t="shared" ca="1" si="32"/>
        <v>0</v>
      </c>
      <c r="J67" s="137">
        <v>1500</v>
      </c>
      <c r="K67" s="138">
        <f>+Récapitulatif!$D164</f>
        <v>0</v>
      </c>
      <c r="L67" s="139">
        <v>0</v>
      </c>
      <c r="M67" s="138">
        <v>0</v>
      </c>
      <c r="N67" s="139">
        <f>+D67+F67+H67+J67+L67</f>
        <v>8969.1</v>
      </c>
      <c r="O67" s="138">
        <f t="shared" ref="O67:O77" ca="1" si="35">+O66+M67</f>
        <v>0</v>
      </c>
      <c r="P67" s="168">
        <f t="shared" ref="P67:P77" si="36">+P66+N67</f>
        <v>17972.43</v>
      </c>
      <c r="Q67" s="169">
        <f t="shared" ca="1" si="33"/>
        <v>-17972.43</v>
      </c>
      <c r="R67" s="56"/>
      <c r="S67" s="56"/>
      <c r="T67" s="56"/>
    </row>
    <row r="68" spans="1:20" ht="18" hidden="1" outlineLevel="1" thickBot="1">
      <c r="A68" s="140" t="s">
        <v>26</v>
      </c>
      <c r="B68" s="60" t="str">
        <f t="shared" si="34"/>
        <v>2027</v>
      </c>
      <c r="C68" s="414">
        <f t="shared" ca="1" si="31"/>
        <v>0</v>
      </c>
      <c r="D68" s="167">
        <v>5183.41</v>
      </c>
      <c r="E68" s="414">
        <f t="shared" ca="1" si="12"/>
        <v>0</v>
      </c>
      <c r="F68" s="137">
        <v>2963.08</v>
      </c>
      <c r="G68" s="409">
        <f>+Récapitulatif!$E88</f>
        <v>0</v>
      </c>
      <c r="H68" s="130"/>
      <c r="I68" s="414">
        <f t="shared" ca="1" si="32"/>
        <v>0</v>
      </c>
      <c r="J68" s="130">
        <v>1500</v>
      </c>
      <c r="K68" s="131">
        <f>+Récapitulatif!$E164</f>
        <v>0</v>
      </c>
      <c r="L68" s="132">
        <v>0</v>
      </c>
      <c r="M68" s="138">
        <f ca="1">+C68+E68+G68+I68+K68</f>
        <v>0</v>
      </c>
      <c r="N68" s="132">
        <f>+D68+F68+H68+J68+L68</f>
        <v>9646.49</v>
      </c>
      <c r="O68" s="138">
        <f t="shared" ca="1" si="35"/>
        <v>0</v>
      </c>
      <c r="P68" s="170">
        <f t="shared" si="36"/>
        <v>27618.92</v>
      </c>
      <c r="Q68" s="169">
        <f t="shared" ca="1" si="33"/>
        <v>-27618.92</v>
      </c>
      <c r="R68" s="56"/>
      <c r="S68" s="56"/>
      <c r="T68" s="56"/>
    </row>
    <row r="69" spans="1:20" ht="18" hidden="1" outlineLevel="1" thickBot="1">
      <c r="A69" s="135" t="s">
        <v>27</v>
      </c>
      <c r="B69" s="60" t="str">
        <f t="shared" si="34"/>
        <v>2027</v>
      </c>
      <c r="C69" s="414">
        <f t="shared" ca="1" si="31"/>
        <v>0</v>
      </c>
      <c r="D69" s="167">
        <v>5187.51</v>
      </c>
      <c r="E69" s="414">
        <f t="shared" ca="1" si="12"/>
        <v>0</v>
      </c>
      <c r="F69" s="130">
        <v>3845.29</v>
      </c>
      <c r="G69" s="819">
        <f>+Récapitulatif!$F88</f>
        <v>0</v>
      </c>
      <c r="H69" s="137"/>
      <c r="I69" s="414">
        <f t="shared" ca="1" si="32"/>
        <v>0</v>
      </c>
      <c r="J69" s="137">
        <v>1500</v>
      </c>
      <c r="K69" s="138">
        <f>+Récapitulatif!$F164</f>
        <v>0</v>
      </c>
      <c r="L69" s="139">
        <v>0</v>
      </c>
      <c r="M69" s="138">
        <f t="shared" ref="M69:N71" ca="1" si="37">+C69+E69+G69+I69+K69</f>
        <v>0</v>
      </c>
      <c r="N69" s="139">
        <f t="shared" si="37"/>
        <v>10532.8</v>
      </c>
      <c r="O69" s="138">
        <f t="shared" ca="1" si="35"/>
        <v>0</v>
      </c>
      <c r="P69" s="168">
        <f t="shared" si="36"/>
        <v>38151.72</v>
      </c>
      <c r="Q69" s="169">
        <f t="shared" ca="1" si="33"/>
        <v>-38151.72</v>
      </c>
      <c r="R69" s="56"/>
      <c r="S69" s="56"/>
      <c r="T69" s="56"/>
    </row>
    <row r="70" spans="1:20" ht="18" hidden="1" outlineLevel="1" thickBot="1">
      <c r="A70" s="140" t="s">
        <v>28</v>
      </c>
      <c r="B70" s="60" t="str">
        <f t="shared" si="34"/>
        <v>2027</v>
      </c>
      <c r="C70" s="414">
        <f t="shared" ca="1" si="31"/>
        <v>0</v>
      </c>
      <c r="D70" s="167">
        <v>6248.39</v>
      </c>
      <c r="E70" s="414">
        <f t="shared" ca="1" si="12"/>
        <v>0</v>
      </c>
      <c r="F70" s="137">
        <v>4413.55</v>
      </c>
      <c r="G70" s="409">
        <f>+Récapitulatif!$G88</f>
        <v>0</v>
      </c>
      <c r="H70" s="130"/>
      <c r="I70" s="414">
        <f t="shared" ca="1" si="32"/>
        <v>0</v>
      </c>
      <c r="J70" s="130">
        <v>1500</v>
      </c>
      <c r="K70" s="131">
        <f>+Récapitulatif!$G164</f>
        <v>0</v>
      </c>
      <c r="L70" s="132">
        <v>0</v>
      </c>
      <c r="M70" s="138">
        <f t="shared" ca="1" si="37"/>
        <v>0</v>
      </c>
      <c r="N70" s="132">
        <f t="shared" si="37"/>
        <v>12161.94</v>
      </c>
      <c r="O70" s="138">
        <f t="shared" ca="1" si="35"/>
        <v>0</v>
      </c>
      <c r="P70" s="170">
        <f t="shared" si="36"/>
        <v>50313.66</v>
      </c>
      <c r="Q70" s="169">
        <f t="shared" ca="1" si="33"/>
        <v>-50313.66</v>
      </c>
      <c r="R70" s="56"/>
      <c r="S70" s="56"/>
      <c r="T70" s="56"/>
    </row>
    <row r="71" spans="1:20" ht="18" hidden="1" outlineLevel="1" thickBot="1">
      <c r="A71" s="135" t="s">
        <v>29</v>
      </c>
      <c r="B71" s="60" t="str">
        <f t="shared" si="34"/>
        <v>2027</v>
      </c>
      <c r="C71" s="414">
        <f t="shared" ca="1" si="31"/>
        <v>0</v>
      </c>
      <c r="D71" s="167">
        <v>7527.69</v>
      </c>
      <c r="E71" s="414">
        <f t="shared" ca="1" si="12"/>
        <v>0</v>
      </c>
      <c r="F71" s="130">
        <v>4611.71</v>
      </c>
      <c r="G71" s="819">
        <f>+Récapitulatif!$H88</f>
        <v>0</v>
      </c>
      <c r="H71" s="137"/>
      <c r="I71" s="414">
        <f t="shared" ca="1" si="32"/>
        <v>0</v>
      </c>
      <c r="J71" s="137">
        <v>1500</v>
      </c>
      <c r="K71" s="138">
        <f>+Récapitulatif!$H164</f>
        <v>0</v>
      </c>
      <c r="L71" s="139">
        <v>0</v>
      </c>
      <c r="M71" s="138">
        <f t="shared" ca="1" si="37"/>
        <v>0</v>
      </c>
      <c r="N71" s="139">
        <f t="shared" si="37"/>
        <v>13639.4</v>
      </c>
      <c r="O71" s="138">
        <f t="shared" ca="1" si="35"/>
        <v>0</v>
      </c>
      <c r="P71" s="168">
        <f t="shared" si="36"/>
        <v>63953.060000000005</v>
      </c>
      <c r="Q71" s="169">
        <f t="shared" ca="1" si="33"/>
        <v>-63953.060000000005</v>
      </c>
      <c r="R71" s="56"/>
      <c r="S71" s="56"/>
      <c r="T71" s="56"/>
    </row>
    <row r="72" spans="1:20" ht="18" hidden="1" outlineLevel="1" thickBot="1">
      <c r="A72" s="140" t="s">
        <v>54</v>
      </c>
      <c r="B72" s="60" t="str">
        <f t="shared" si="34"/>
        <v>2027</v>
      </c>
      <c r="C72" s="414">
        <f t="shared" ca="1" si="31"/>
        <v>0</v>
      </c>
      <c r="D72" s="167">
        <v>6788.34</v>
      </c>
      <c r="E72" s="414">
        <f t="shared" ca="1" si="12"/>
        <v>0</v>
      </c>
      <c r="F72" s="137">
        <v>5307.92</v>
      </c>
      <c r="G72" s="409">
        <f>+Récapitulatif!$I88</f>
        <v>0</v>
      </c>
      <c r="H72" s="130"/>
      <c r="I72" s="414">
        <f t="shared" ca="1" si="32"/>
        <v>0</v>
      </c>
      <c r="J72" s="130">
        <v>1500</v>
      </c>
      <c r="K72" s="131">
        <f>+Récapitulatif!$I164</f>
        <v>0</v>
      </c>
      <c r="L72" s="132">
        <v>0</v>
      </c>
      <c r="M72" s="138">
        <f t="shared" ref="M72:N74" ca="1" si="38">+C72+E72+G72+I72+K72</f>
        <v>0</v>
      </c>
      <c r="N72" s="132">
        <f t="shared" si="38"/>
        <v>13596.26</v>
      </c>
      <c r="O72" s="138">
        <f t="shared" ca="1" si="35"/>
        <v>0</v>
      </c>
      <c r="P72" s="170">
        <f t="shared" si="36"/>
        <v>77549.320000000007</v>
      </c>
      <c r="Q72" s="169">
        <f t="shared" ca="1" si="33"/>
        <v>-77549.320000000007</v>
      </c>
    </row>
    <row r="73" spans="1:20" ht="18" hidden="1" outlineLevel="1" thickBot="1">
      <c r="A73" s="135" t="s">
        <v>55</v>
      </c>
      <c r="B73" s="60" t="str">
        <f t="shared" si="34"/>
        <v>2027</v>
      </c>
      <c r="C73" s="414">
        <f t="shared" ca="1" si="31"/>
        <v>0</v>
      </c>
      <c r="D73" s="167">
        <v>6437.18</v>
      </c>
      <c r="E73" s="414">
        <f t="shared" ca="1" si="12"/>
        <v>0</v>
      </c>
      <c r="F73" s="130">
        <v>3395.31</v>
      </c>
      <c r="G73" s="819">
        <f>+Récapitulatif!$J88</f>
        <v>0</v>
      </c>
      <c r="H73" s="137"/>
      <c r="I73" s="414">
        <f t="shared" ca="1" si="32"/>
        <v>0</v>
      </c>
      <c r="J73" s="137">
        <v>1500</v>
      </c>
      <c r="K73" s="138">
        <f>+Récapitulatif!$J164</f>
        <v>0</v>
      </c>
      <c r="L73" s="139">
        <v>0</v>
      </c>
      <c r="M73" s="138">
        <f t="shared" ca="1" si="38"/>
        <v>0</v>
      </c>
      <c r="N73" s="139">
        <f t="shared" si="38"/>
        <v>11332.49</v>
      </c>
      <c r="O73" s="138">
        <f t="shared" ca="1" si="35"/>
        <v>0</v>
      </c>
      <c r="P73" s="168">
        <f t="shared" si="36"/>
        <v>88881.810000000012</v>
      </c>
      <c r="Q73" s="169">
        <f t="shared" ca="1" si="33"/>
        <v>-88881.810000000012</v>
      </c>
    </row>
    <row r="74" spans="1:20" ht="18" hidden="1" outlineLevel="1" thickBot="1">
      <c r="A74" s="140" t="s">
        <v>56</v>
      </c>
      <c r="B74" s="60" t="str">
        <f t="shared" si="34"/>
        <v>2027</v>
      </c>
      <c r="C74" s="414">
        <f t="shared" ca="1" si="31"/>
        <v>0</v>
      </c>
      <c r="D74" s="167">
        <v>6306.07</v>
      </c>
      <c r="E74" s="414">
        <f t="shared" ca="1" si="12"/>
        <v>0</v>
      </c>
      <c r="F74" s="137">
        <v>5036.26</v>
      </c>
      <c r="G74" s="409">
        <f>+Récapitulatif!$K88</f>
        <v>0</v>
      </c>
      <c r="H74" s="130"/>
      <c r="I74" s="414">
        <f t="shared" ca="1" si="32"/>
        <v>0</v>
      </c>
      <c r="J74" s="130">
        <v>1500</v>
      </c>
      <c r="K74" s="131">
        <f>+Récapitulatif!$K164</f>
        <v>0</v>
      </c>
      <c r="L74" s="132">
        <v>0</v>
      </c>
      <c r="M74" s="138">
        <f t="shared" ca="1" si="38"/>
        <v>0</v>
      </c>
      <c r="N74" s="132">
        <f t="shared" si="38"/>
        <v>12842.33</v>
      </c>
      <c r="O74" s="138">
        <f t="shared" ca="1" si="35"/>
        <v>0</v>
      </c>
      <c r="P74" s="170">
        <f t="shared" si="36"/>
        <v>101724.14000000001</v>
      </c>
      <c r="Q74" s="169">
        <f t="shared" ca="1" si="33"/>
        <v>-101724.14000000001</v>
      </c>
    </row>
    <row r="75" spans="1:20" ht="18" hidden="1" outlineLevel="1" thickBot="1">
      <c r="A75" s="135" t="s">
        <v>57</v>
      </c>
      <c r="B75" s="60" t="str">
        <f t="shared" si="34"/>
        <v>2027</v>
      </c>
      <c r="C75" s="414">
        <f t="shared" ca="1" si="31"/>
        <v>0</v>
      </c>
      <c r="D75" s="167">
        <v>6686.1</v>
      </c>
      <c r="E75" s="414">
        <f t="shared" ca="1" si="12"/>
        <v>0</v>
      </c>
      <c r="F75" s="130">
        <v>4821.91</v>
      </c>
      <c r="G75" s="819">
        <f>+Récapitulatif!$L88</f>
        <v>0</v>
      </c>
      <c r="H75" s="137"/>
      <c r="I75" s="414">
        <f t="shared" ca="1" si="32"/>
        <v>0</v>
      </c>
      <c r="J75" s="137">
        <v>1500</v>
      </c>
      <c r="K75" s="138">
        <f>+Récapitulatif!$L164</f>
        <v>0</v>
      </c>
      <c r="L75" s="139">
        <v>0</v>
      </c>
      <c r="M75" s="138">
        <f t="shared" ref="M75:N77" ca="1" si="39">+C75+E75+G75+I75+K75</f>
        <v>0</v>
      </c>
      <c r="N75" s="139">
        <f t="shared" si="39"/>
        <v>13008.01</v>
      </c>
      <c r="O75" s="138">
        <f t="shared" ca="1" si="35"/>
        <v>0</v>
      </c>
      <c r="P75" s="168">
        <f t="shared" si="36"/>
        <v>114732.15000000001</v>
      </c>
      <c r="Q75" s="169">
        <f t="shared" ca="1" si="33"/>
        <v>-114732.15000000001</v>
      </c>
    </row>
    <row r="76" spans="1:20" ht="18" hidden="1" outlineLevel="1" thickBot="1">
      <c r="A76" s="140" t="s">
        <v>58</v>
      </c>
      <c r="B76" s="60" t="str">
        <f t="shared" si="34"/>
        <v>2027</v>
      </c>
      <c r="C76" s="414">
        <f t="shared" ca="1" si="31"/>
        <v>0</v>
      </c>
      <c r="D76" s="167">
        <v>3476.37</v>
      </c>
      <c r="E76" s="414">
        <f t="shared" ca="1" si="12"/>
        <v>0</v>
      </c>
      <c r="F76" s="130">
        <v>3710.43</v>
      </c>
      <c r="G76" s="409">
        <f>+Récapitulatif!$M88</f>
        <v>0</v>
      </c>
      <c r="H76" s="167"/>
      <c r="I76" s="414">
        <f t="shared" ca="1" si="32"/>
        <v>0</v>
      </c>
      <c r="J76" s="130">
        <v>1500</v>
      </c>
      <c r="K76" s="131">
        <f>+Récapitulatif!$M164</f>
        <v>0</v>
      </c>
      <c r="L76" s="132">
        <v>0</v>
      </c>
      <c r="M76" s="138">
        <f t="shared" ca="1" si="39"/>
        <v>0</v>
      </c>
      <c r="N76" s="132">
        <f t="shared" si="39"/>
        <v>8686.7999999999993</v>
      </c>
      <c r="O76" s="138">
        <f t="shared" ca="1" si="35"/>
        <v>0</v>
      </c>
      <c r="P76" s="170">
        <f t="shared" si="36"/>
        <v>123418.95000000001</v>
      </c>
      <c r="Q76" s="169">
        <f t="shared" ca="1" si="33"/>
        <v>-123418.95000000001</v>
      </c>
    </row>
    <row r="77" spans="1:20" ht="18" hidden="1" outlineLevel="1" thickBot="1">
      <c r="A77" s="174" t="s">
        <v>59</v>
      </c>
      <c r="B77" s="60" t="str">
        <f t="shared" si="34"/>
        <v>2027</v>
      </c>
      <c r="C77" s="414">
        <f t="shared" ca="1" si="31"/>
        <v>0</v>
      </c>
      <c r="D77" s="167">
        <v>5163.1400000000003</v>
      </c>
      <c r="E77" s="414">
        <f t="shared" ca="1" si="12"/>
        <v>0</v>
      </c>
      <c r="F77" s="184">
        <v>4122.58</v>
      </c>
      <c r="G77" s="409">
        <f>+Récapitulatif!$N88</f>
        <v>0</v>
      </c>
      <c r="H77" s="130"/>
      <c r="I77" s="414">
        <f t="shared" ca="1" si="32"/>
        <v>0</v>
      </c>
      <c r="J77" s="130">
        <v>1500</v>
      </c>
      <c r="K77" s="131">
        <f>+Récapitulatif!$N164</f>
        <v>0</v>
      </c>
      <c r="L77" s="132">
        <v>0</v>
      </c>
      <c r="M77" s="138">
        <f t="shared" ca="1" si="39"/>
        <v>0</v>
      </c>
      <c r="N77" s="132">
        <f t="shared" si="39"/>
        <v>10785.720000000001</v>
      </c>
      <c r="O77" s="138">
        <f t="shared" ca="1" si="35"/>
        <v>0</v>
      </c>
      <c r="P77" s="170">
        <f t="shared" si="36"/>
        <v>134204.67000000001</v>
      </c>
      <c r="Q77" s="169">
        <f t="shared" ca="1" si="33"/>
        <v>-134204.67000000001</v>
      </c>
    </row>
    <row r="78" spans="1:20" ht="18" hidden="1" outlineLevel="1" thickBot="1">
      <c r="A78" s="185" t="s">
        <v>3323</v>
      </c>
      <c r="B78" s="60" t="str">
        <f t="shared" si="34"/>
        <v>2027</v>
      </c>
      <c r="C78" s="178">
        <f t="shared" ref="C78:N78" ca="1" si="40">SUM(C66:C77)</f>
        <v>0</v>
      </c>
      <c r="D78" s="178">
        <f t="shared" si="40"/>
        <v>67242.8</v>
      </c>
      <c r="E78" s="178">
        <f t="shared" ca="1" si="40"/>
        <v>0</v>
      </c>
      <c r="F78" s="178">
        <f t="shared" si="40"/>
        <v>48961.87</v>
      </c>
      <c r="G78" s="178">
        <f t="shared" si="40"/>
        <v>0</v>
      </c>
      <c r="H78" s="178">
        <f t="shared" si="40"/>
        <v>0</v>
      </c>
      <c r="I78" s="178">
        <f t="shared" ca="1" si="40"/>
        <v>0</v>
      </c>
      <c r="J78" s="178">
        <f t="shared" si="40"/>
        <v>18000</v>
      </c>
      <c r="K78" s="178">
        <f t="shared" si="40"/>
        <v>0</v>
      </c>
      <c r="L78" s="178">
        <f t="shared" si="40"/>
        <v>0</v>
      </c>
      <c r="M78" s="178">
        <f t="shared" ca="1" si="40"/>
        <v>0</v>
      </c>
      <c r="N78" s="178">
        <f t="shared" si="40"/>
        <v>134204.67000000001</v>
      </c>
      <c r="O78" s="178"/>
      <c r="P78" s="178"/>
      <c r="Q78" s="176"/>
    </row>
    <row r="79" spans="1:20" ht="58.2" hidden="1" customHeight="1" outlineLevel="1" thickBot="1"/>
    <row r="80" spans="1:20" ht="27" hidden="1" outlineLevel="1" thickBot="1">
      <c r="A80" s="880" t="s">
        <v>1604</v>
      </c>
      <c r="B80" s="871"/>
      <c r="C80" s="872"/>
      <c r="D80" s="872"/>
      <c r="E80" s="876"/>
      <c r="F80" s="872"/>
      <c r="G80" s="872"/>
      <c r="H80" s="872"/>
      <c r="I80" s="872"/>
      <c r="J80" s="872"/>
      <c r="K80" s="872"/>
      <c r="L80" s="872"/>
      <c r="M80" s="873"/>
      <c r="N80" s="873"/>
      <c r="O80" s="872"/>
      <c r="P80" s="872"/>
      <c r="Q80" s="874"/>
    </row>
    <row r="81" spans="1:17" ht="18" hidden="1" outlineLevel="1" thickBot="1">
      <c r="A81" s="160" t="s">
        <v>52</v>
      </c>
      <c r="B81" s="60" t="str">
        <f>$A80</f>
        <v>2028</v>
      </c>
      <c r="C81" s="869">
        <f t="shared" ref="C81:C92" ca="1" si="41">INDEX(INDIRECT(OFFSET($A$2, 0, COLUMN()-1)),
MATCH($B81*1,ListeAnnées,0),
MATCH($A81,ListeMois,0))</f>
        <v>0</v>
      </c>
      <c r="D81" s="162">
        <v>4168.76</v>
      </c>
      <c r="E81" s="869">
        <f t="shared" ref="E81:E92" ca="1" si="42">INDEX(INDIRECT(OFFSET($A$2, 0, COLUMN()-1)),
MATCH($B81*1,ListeAnnées,0),
MATCH($A81,ListeMois,0))</f>
        <v>0</v>
      </c>
      <c r="F81" s="163">
        <v>3334.57</v>
      </c>
      <c r="G81" s="878">
        <f>+Récapitulatif!$C115</f>
        <v>0</v>
      </c>
      <c r="H81" s="141"/>
      <c r="I81" s="869">
        <f t="shared" ref="I81:I92" ca="1" si="43">INDEX(INDIRECT(OFFSET($A$2, 0, COLUMN()-1)),
MATCH($B81*1,ListeAnnées,0),
MATCH($A81,ListeMois,0))</f>
        <v>0</v>
      </c>
      <c r="J81" s="141">
        <v>1500</v>
      </c>
      <c r="K81" s="61">
        <f>+Récapitulatif!$C179</f>
        <v>0</v>
      </c>
      <c r="L81" s="164">
        <v>0</v>
      </c>
      <c r="M81" s="61">
        <f ca="1">+C81+E81+G81+I81+K81</f>
        <v>0</v>
      </c>
      <c r="N81" s="164">
        <f>+D81+F81+H81+J81+L81</f>
        <v>9003.33</v>
      </c>
      <c r="O81" s="61">
        <f ca="1">+M81</f>
        <v>0</v>
      </c>
      <c r="P81" s="165">
        <f>+N81</f>
        <v>9003.33</v>
      </c>
      <c r="Q81" s="166">
        <f t="shared" ref="Q81:Q92" ca="1" si="44">-P81+O81</f>
        <v>-9003.33</v>
      </c>
    </row>
    <row r="82" spans="1:17" ht="18" hidden="1" outlineLevel="1" thickBot="1">
      <c r="A82" s="135" t="s">
        <v>53</v>
      </c>
      <c r="B82" s="60" t="str">
        <f>$A80</f>
        <v>2028</v>
      </c>
      <c r="C82" s="414">
        <f t="shared" ca="1" si="41"/>
        <v>0</v>
      </c>
      <c r="D82" s="167">
        <v>4069.84</v>
      </c>
      <c r="E82" s="414">
        <f t="shared" ca="1" si="42"/>
        <v>0</v>
      </c>
      <c r="F82" s="130">
        <v>3399.26</v>
      </c>
      <c r="G82" s="819">
        <f>+Récapitulatif!$D115</f>
        <v>0</v>
      </c>
      <c r="H82" s="137"/>
      <c r="I82" s="414">
        <f t="shared" ca="1" si="43"/>
        <v>0</v>
      </c>
      <c r="J82" s="137">
        <v>1500</v>
      </c>
      <c r="K82" s="138">
        <f>+Récapitulatif!$D179</f>
        <v>0</v>
      </c>
      <c r="L82" s="139">
        <v>0</v>
      </c>
      <c r="M82" s="138">
        <v>0</v>
      </c>
      <c r="N82" s="139">
        <f>+D82+F82+H82+J82+L82</f>
        <v>8969.1</v>
      </c>
      <c r="O82" s="138">
        <f t="shared" ref="O82:O92" ca="1" si="45">+O81+M82</f>
        <v>0</v>
      </c>
      <c r="P82" s="168">
        <f t="shared" ref="P82:P92" si="46">+P81+N82</f>
        <v>17972.43</v>
      </c>
      <c r="Q82" s="169">
        <f t="shared" ca="1" si="44"/>
        <v>-17972.43</v>
      </c>
    </row>
    <row r="83" spans="1:17" ht="18" hidden="1" outlineLevel="1" thickBot="1">
      <c r="A83" s="140" t="s">
        <v>26</v>
      </c>
      <c r="B83" s="60" t="str">
        <f>$A80</f>
        <v>2028</v>
      </c>
      <c r="C83" s="414">
        <f t="shared" ca="1" si="41"/>
        <v>0</v>
      </c>
      <c r="D83" s="167">
        <v>5183.41</v>
      </c>
      <c r="E83" s="414">
        <f t="shared" ca="1" si="42"/>
        <v>0</v>
      </c>
      <c r="F83" s="137">
        <v>2963.08</v>
      </c>
      <c r="G83" s="409">
        <f>+Récapitulatif!$E115</f>
        <v>0</v>
      </c>
      <c r="H83" s="130"/>
      <c r="I83" s="414">
        <f t="shared" ca="1" si="43"/>
        <v>0</v>
      </c>
      <c r="J83" s="130">
        <v>1500</v>
      </c>
      <c r="K83" s="131">
        <f>+Récapitulatif!$E179</f>
        <v>0</v>
      </c>
      <c r="L83" s="132">
        <v>0</v>
      </c>
      <c r="M83" s="138">
        <f ca="1">+C83+E83+G83+I83+K83</f>
        <v>0</v>
      </c>
      <c r="N83" s="132">
        <f>+D83+F83+H83+J83+L83</f>
        <v>9646.49</v>
      </c>
      <c r="O83" s="138">
        <f t="shared" ca="1" si="45"/>
        <v>0</v>
      </c>
      <c r="P83" s="170">
        <f t="shared" si="46"/>
        <v>27618.92</v>
      </c>
      <c r="Q83" s="169">
        <f t="shared" ca="1" si="44"/>
        <v>-27618.92</v>
      </c>
    </row>
    <row r="84" spans="1:17" ht="18" hidden="1" outlineLevel="1" thickBot="1">
      <c r="A84" s="135" t="s">
        <v>27</v>
      </c>
      <c r="B84" s="60" t="str">
        <f>$A80</f>
        <v>2028</v>
      </c>
      <c r="C84" s="414">
        <f t="shared" ca="1" si="41"/>
        <v>0</v>
      </c>
      <c r="D84" s="167">
        <v>5187.51</v>
      </c>
      <c r="E84" s="414">
        <f t="shared" ca="1" si="42"/>
        <v>0</v>
      </c>
      <c r="F84" s="130">
        <v>3845.29</v>
      </c>
      <c r="G84" s="819">
        <f>+Récapitulatif!$F115</f>
        <v>0</v>
      </c>
      <c r="H84" s="137"/>
      <c r="I84" s="414">
        <f t="shared" ca="1" si="43"/>
        <v>0</v>
      </c>
      <c r="J84" s="137">
        <v>1500</v>
      </c>
      <c r="K84" s="138">
        <f>+Récapitulatif!$F179</f>
        <v>0</v>
      </c>
      <c r="L84" s="139">
        <v>0</v>
      </c>
      <c r="M84" s="138">
        <f t="shared" ref="M84:M92" ca="1" si="47">+C84+E84+G84+I84+K84</f>
        <v>0</v>
      </c>
      <c r="N84" s="139">
        <f t="shared" ref="N84:N92" si="48">+D84+F84+H84+J84+L84</f>
        <v>10532.8</v>
      </c>
      <c r="O84" s="138">
        <f t="shared" ca="1" si="45"/>
        <v>0</v>
      </c>
      <c r="P84" s="168">
        <f t="shared" si="46"/>
        <v>38151.72</v>
      </c>
      <c r="Q84" s="169">
        <f t="shared" ca="1" si="44"/>
        <v>-38151.72</v>
      </c>
    </row>
    <row r="85" spans="1:17" ht="18" hidden="1" outlineLevel="1" thickBot="1">
      <c r="A85" s="140" t="s">
        <v>28</v>
      </c>
      <c r="B85" s="60" t="str">
        <f>$A80</f>
        <v>2028</v>
      </c>
      <c r="C85" s="414">
        <f t="shared" ca="1" si="41"/>
        <v>0</v>
      </c>
      <c r="D85" s="167">
        <v>6248.39</v>
      </c>
      <c r="E85" s="414">
        <f t="shared" ca="1" si="42"/>
        <v>0</v>
      </c>
      <c r="F85" s="137">
        <v>4413.55</v>
      </c>
      <c r="G85" s="409">
        <f>+Récapitulatif!$G115</f>
        <v>0</v>
      </c>
      <c r="H85" s="130"/>
      <c r="I85" s="414">
        <f t="shared" ca="1" si="43"/>
        <v>0</v>
      </c>
      <c r="J85" s="130">
        <v>1500</v>
      </c>
      <c r="K85" s="131">
        <f>+Récapitulatif!$G179</f>
        <v>0</v>
      </c>
      <c r="L85" s="132">
        <v>0</v>
      </c>
      <c r="M85" s="138">
        <f t="shared" ca="1" si="47"/>
        <v>0</v>
      </c>
      <c r="N85" s="132">
        <f t="shared" si="48"/>
        <v>12161.94</v>
      </c>
      <c r="O85" s="138">
        <f t="shared" ca="1" si="45"/>
        <v>0</v>
      </c>
      <c r="P85" s="170">
        <f t="shared" si="46"/>
        <v>50313.66</v>
      </c>
      <c r="Q85" s="169">
        <f t="shared" ca="1" si="44"/>
        <v>-50313.66</v>
      </c>
    </row>
    <row r="86" spans="1:17" ht="18" hidden="1" outlineLevel="1" thickBot="1">
      <c r="A86" s="135" t="s">
        <v>29</v>
      </c>
      <c r="B86" s="60" t="str">
        <f>$A80</f>
        <v>2028</v>
      </c>
      <c r="C86" s="414">
        <f t="shared" ca="1" si="41"/>
        <v>0</v>
      </c>
      <c r="D86" s="167">
        <v>7527.69</v>
      </c>
      <c r="E86" s="414">
        <f t="shared" ca="1" si="42"/>
        <v>0</v>
      </c>
      <c r="F86" s="130">
        <v>4611.71</v>
      </c>
      <c r="G86" s="819">
        <f>+Récapitulatif!$H115</f>
        <v>0</v>
      </c>
      <c r="H86" s="137"/>
      <c r="I86" s="414">
        <f t="shared" ca="1" si="43"/>
        <v>0</v>
      </c>
      <c r="J86" s="137">
        <v>1500</v>
      </c>
      <c r="K86" s="138">
        <f>+Récapitulatif!$H179</f>
        <v>0</v>
      </c>
      <c r="L86" s="139">
        <v>0</v>
      </c>
      <c r="M86" s="138">
        <f t="shared" ca="1" si="47"/>
        <v>0</v>
      </c>
      <c r="N86" s="139">
        <f t="shared" si="48"/>
        <v>13639.4</v>
      </c>
      <c r="O86" s="138">
        <f t="shared" ca="1" si="45"/>
        <v>0</v>
      </c>
      <c r="P86" s="168">
        <f t="shared" si="46"/>
        <v>63953.060000000005</v>
      </c>
      <c r="Q86" s="169">
        <f t="shared" ca="1" si="44"/>
        <v>-63953.060000000005</v>
      </c>
    </row>
    <row r="87" spans="1:17" ht="18" hidden="1" outlineLevel="1" thickBot="1">
      <c r="A87" s="140" t="s">
        <v>54</v>
      </c>
      <c r="B87" s="60" t="str">
        <f>$A80</f>
        <v>2028</v>
      </c>
      <c r="C87" s="414">
        <f t="shared" ca="1" si="41"/>
        <v>0</v>
      </c>
      <c r="D87" s="167">
        <v>6788.34</v>
      </c>
      <c r="E87" s="414">
        <f t="shared" ca="1" si="42"/>
        <v>0</v>
      </c>
      <c r="F87" s="137">
        <v>5307.92</v>
      </c>
      <c r="G87" s="409">
        <f>+Récapitulatif!$I115</f>
        <v>0</v>
      </c>
      <c r="H87" s="130"/>
      <c r="I87" s="414">
        <f t="shared" ca="1" si="43"/>
        <v>0</v>
      </c>
      <c r="J87" s="130">
        <v>1500</v>
      </c>
      <c r="K87" s="131">
        <f>+Récapitulatif!$I179</f>
        <v>0</v>
      </c>
      <c r="L87" s="132">
        <v>0</v>
      </c>
      <c r="M87" s="138">
        <f t="shared" ca="1" si="47"/>
        <v>0</v>
      </c>
      <c r="N87" s="132">
        <f t="shared" si="48"/>
        <v>13596.26</v>
      </c>
      <c r="O87" s="138">
        <f t="shared" ca="1" si="45"/>
        <v>0</v>
      </c>
      <c r="P87" s="170">
        <f t="shared" si="46"/>
        <v>77549.320000000007</v>
      </c>
      <c r="Q87" s="169">
        <f t="shared" ca="1" si="44"/>
        <v>-77549.320000000007</v>
      </c>
    </row>
    <row r="88" spans="1:17" ht="18" hidden="1" outlineLevel="1" thickBot="1">
      <c r="A88" s="135" t="s">
        <v>55</v>
      </c>
      <c r="B88" s="60" t="str">
        <f>$A80</f>
        <v>2028</v>
      </c>
      <c r="C88" s="414">
        <f t="shared" ca="1" si="41"/>
        <v>0</v>
      </c>
      <c r="D88" s="167">
        <v>6437.18</v>
      </c>
      <c r="E88" s="414">
        <f t="shared" ca="1" si="42"/>
        <v>0</v>
      </c>
      <c r="F88" s="130">
        <v>3395.31</v>
      </c>
      <c r="G88" s="819">
        <f>+Récapitulatif!$J115</f>
        <v>0</v>
      </c>
      <c r="H88" s="137"/>
      <c r="I88" s="414">
        <f t="shared" ca="1" si="43"/>
        <v>0</v>
      </c>
      <c r="J88" s="137">
        <v>1500</v>
      </c>
      <c r="K88" s="138">
        <f>+Récapitulatif!$J179</f>
        <v>0</v>
      </c>
      <c r="L88" s="139">
        <v>0</v>
      </c>
      <c r="M88" s="138">
        <f t="shared" ca="1" si="47"/>
        <v>0</v>
      </c>
      <c r="N88" s="139">
        <f t="shared" si="48"/>
        <v>11332.49</v>
      </c>
      <c r="O88" s="138">
        <f t="shared" ca="1" si="45"/>
        <v>0</v>
      </c>
      <c r="P88" s="168">
        <f t="shared" si="46"/>
        <v>88881.810000000012</v>
      </c>
      <c r="Q88" s="169">
        <f t="shared" ca="1" si="44"/>
        <v>-88881.810000000012</v>
      </c>
    </row>
    <row r="89" spans="1:17" ht="18" hidden="1" outlineLevel="1" thickBot="1">
      <c r="A89" s="140" t="s">
        <v>56</v>
      </c>
      <c r="B89" s="60" t="str">
        <f>$A80</f>
        <v>2028</v>
      </c>
      <c r="C89" s="414">
        <f t="shared" ca="1" si="41"/>
        <v>0</v>
      </c>
      <c r="D89" s="167">
        <v>6306.07</v>
      </c>
      <c r="E89" s="414">
        <f t="shared" ca="1" si="42"/>
        <v>0</v>
      </c>
      <c r="F89" s="137">
        <v>5036.26</v>
      </c>
      <c r="G89" s="409">
        <f>+Récapitulatif!$K115</f>
        <v>0</v>
      </c>
      <c r="H89" s="130"/>
      <c r="I89" s="414">
        <f t="shared" ca="1" si="43"/>
        <v>0</v>
      </c>
      <c r="J89" s="130">
        <v>1500</v>
      </c>
      <c r="K89" s="131">
        <f>+Récapitulatif!$K179</f>
        <v>0</v>
      </c>
      <c r="L89" s="132">
        <v>0</v>
      </c>
      <c r="M89" s="138">
        <f t="shared" ca="1" si="47"/>
        <v>0</v>
      </c>
      <c r="N89" s="132">
        <f t="shared" si="48"/>
        <v>12842.33</v>
      </c>
      <c r="O89" s="138">
        <f t="shared" ca="1" si="45"/>
        <v>0</v>
      </c>
      <c r="P89" s="170">
        <f t="shared" si="46"/>
        <v>101724.14000000001</v>
      </c>
      <c r="Q89" s="169">
        <f t="shared" ca="1" si="44"/>
        <v>-101724.14000000001</v>
      </c>
    </row>
    <row r="90" spans="1:17" ht="18" hidden="1" outlineLevel="1" thickBot="1">
      <c r="A90" s="135" t="s">
        <v>57</v>
      </c>
      <c r="B90" s="60" t="str">
        <f>$A80</f>
        <v>2028</v>
      </c>
      <c r="C90" s="414">
        <f t="shared" ca="1" si="41"/>
        <v>0</v>
      </c>
      <c r="D90" s="167">
        <v>6686.1</v>
      </c>
      <c r="E90" s="414">
        <f t="shared" ca="1" si="42"/>
        <v>0</v>
      </c>
      <c r="F90" s="130">
        <v>4821.91</v>
      </c>
      <c r="G90" s="819">
        <f>+Récapitulatif!$L115</f>
        <v>0</v>
      </c>
      <c r="H90" s="137"/>
      <c r="I90" s="414">
        <f t="shared" ca="1" si="43"/>
        <v>0</v>
      </c>
      <c r="J90" s="137">
        <v>1500</v>
      </c>
      <c r="K90" s="138">
        <f>+Récapitulatif!$L179</f>
        <v>0</v>
      </c>
      <c r="L90" s="139">
        <v>0</v>
      </c>
      <c r="M90" s="138">
        <f t="shared" ca="1" si="47"/>
        <v>0</v>
      </c>
      <c r="N90" s="139">
        <f t="shared" si="48"/>
        <v>13008.01</v>
      </c>
      <c r="O90" s="138">
        <f t="shared" ca="1" si="45"/>
        <v>0</v>
      </c>
      <c r="P90" s="168">
        <f t="shared" si="46"/>
        <v>114732.15000000001</v>
      </c>
      <c r="Q90" s="169">
        <f t="shared" ca="1" si="44"/>
        <v>-114732.15000000001</v>
      </c>
    </row>
    <row r="91" spans="1:17" ht="18" hidden="1" outlineLevel="1" thickBot="1">
      <c r="A91" s="140" t="s">
        <v>58</v>
      </c>
      <c r="B91" s="60" t="str">
        <f>$A80</f>
        <v>2028</v>
      </c>
      <c r="C91" s="414">
        <f t="shared" ca="1" si="41"/>
        <v>0</v>
      </c>
      <c r="D91" s="167">
        <v>3476.37</v>
      </c>
      <c r="E91" s="414">
        <f t="shared" ca="1" si="42"/>
        <v>0</v>
      </c>
      <c r="F91" s="130">
        <v>3710.43</v>
      </c>
      <c r="G91" s="409">
        <f>+Récapitulatif!$M115</f>
        <v>0</v>
      </c>
      <c r="H91" s="167"/>
      <c r="I91" s="414">
        <f t="shared" ca="1" si="43"/>
        <v>0</v>
      </c>
      <c r="J91" s="130">
        <v>1500</v>
      </c>
      <c r="K91" s="131">
        <f>+Récapitulatif!$M179</f>
        <v>0</v>
      </c>
      <c r="L91" s="132">
        <v>0</v>
      </c>
      <c r="M91" s="138">
        <f t="shared" ca="1" si="47"/>
        <v>0</v>
      </c>
      <c r="N91" s="132">
        <f t="shared" si="48"/>
        <v>8686.7999999999993</v>
      </c>
      <c r="O91" s="138">
        <f t="shared" ca="1" si="45"/>
        <v>0</v>
      </c>
      <c r="P91" s="170">
        <f t="shared" si="46"/>
        <v>123418.95000000001</v>
      </c>
      <c r="Q91" s="169">
        <f t="shared" ca="1" si="44"/>
        <v>-123418.95000000001</v>
      </c>
    </row>
    <row r="92" spans="1:17" ht="18" hidden="1" outlineLevel="1" thickBot="1">
      <c r="A92" s="174" t="s">
        <v>59</v>
      </c>
      <c r="B92" s="60" t="str">
        <f>$A80</f>
        <v>2028</v>
      </c>
      <c r="C92" s="414">
        <f t="shared" ca="1" si="41"/>
        <v>0</v>
      </c>
      <c r="D92" s="167">
        <v>5163.1400000000003</v>
      </c>
      <c r="E92" s="414">
        <f t="shared" ca="1" si="42"/>
        <v>0</v>
      </c>
      <c r="F92" s="184">
        <v>4122.58</v>
      </c>
      <c r="G92" s="409">
        <f>+Récapitulatif!$N115</f>
        <v>0</v>
      </c>
      <c r="H92" s="130"/>
      <c r="I92" s="414">
        <f t="shared" ca="1" si="43"/>
        <v>0</v>
      </c>
      <c r="J92" s="130">
        <v>1500</v>
      </c>
      <c r="K92" s="131">
        <f>+Récapitulatif!$N179</f>
        <v>0</v>
      </c>
      <c r="L92" s="132">
        <v>0</v>
      </c>
      <c r="M92" s="138">
        <f t="shared" ca="1" si="47"/>
        <v>0</v>
      </c>
      <c r="N92" s="132">
        <f t="shared" si="48"/>
        <v>10785.720000000001</v>
      </c>
      <c r="O92" s="138">
        <f t="shared" ca="1" si="45"/>
        <v>0</v>
      </c>
      <c r="P92" s="170">
        <f t="shared" si="46"/>
        <v>134204.67000000001</v>
      </c>
      <c r="Q92" s="169">
        <f t="shared" ca="1" si="44"/>
        <v>-134204.67000000001</v>
      </c>
    </row>
    <row r="93" spans="1:17" ht="18" hidden="1" outlineLevel="1" thickBot="1">
      <c r="A93" s="185" t="s">
        <v>3973</v>
      </c>
      <c r="B93" s="60"/>
      <c r="C93" s="178">
        <f t="shared" ref="C93:N93" ca="1" si="49">SUM(C81:C92)</f>
        <v>0</v>
      </c>
      <c r="D93" s="178">
        <f t="shared" si="49"/>
        <v>67242.8</v>
      </c>
      <c r="E93" s="178">
        <f t="shared" ca="1" si="49"/>
        <v>0</v>
      </c>
      <c r="F93" s="178">
        <f t="shared" si="49"/>
        <v>48961.87</v>
      </c>
      <c r="G93" s="178">
        <f t="shared" si="49"/>
        <v>0</v>
      </c>
      <c r="H93" s="178">
        <f t="shared" si="49"/>
        <v>0</v>
      </c>
      <c r="I93" s="178">
        <f t="shared" ca="1" si="49"/>
        <v>0</v>
      </c>
      <c r="J93" s="178">
        <f t="shared" si="49"/>
        <v>18000</v>
      </c>
      <c r="K93" s="178">
        <f t="shared" si="49"/>
        <v>0</v>
      </c>
      <c r="L93" s="178">
        <f t="shared" si="49"/>
        <v>0</v>
      </c>
      <c r="M93" s="178">
        <f t="shared" ca="1" si="49"/>
        <v>0</v>
      </c>
      <c r="N93" s="178">
        <f t="shared" si="49"/>
        <v>134204.67000000001</v>
      </c>
      <c r="O93" s="178"/>
      <c r="P93" s="178"/>
      <c r="Q93" s="176"/>
    </row>
    <row r="94" spans="1:17" ht="58.2" hidden="1" customHeight="1" outlineLevel="1" thickBot="1"/>
    <row r="95" spans="1:17" ht="27" hidden="1" outlineLevel="1" thickBot="1">
      <c r="A95" s="880" t="s">
        <v>1701</v>
      </c>
      <c r="B95" s="871"/>
      <c r="C95" s="872"/>
      <c r="D95" s="872"/>
      <c r="E95" s="876"/>
      <c r="F95" s="872"/>
      <c r="G95" s="872"/>
      <c r="H95" s="872"/>
      <c r="I95" s="872"/>
      <c r="J95" s="872"/>
      <c r="K95" s="872"/>
      <c r="L95" s="872"/>
      <c r="M95" s="873"/>
      <c r="N95" s="873"/>
      <c r="O95" s="872"/>
      <c r="P95" s="872"/>
      <c r="Q95" s="874"/>
    </row>
    <row r="96" spans="1:17" ht="18" hidden="1" outlineLevel="1" thickBot="1">
      <c r="A96" s="160" t="s">
        <v>52</v>
      </c>
      <c r="B96" s="60" t="str">
        <f>$A95</f>
        <v>2029</v>
      </c>
      <c r="C96" s="869">
        <f t="shared" ref="C96:C107" ca="1" si="50">INDEX(INDIRECT(OFFSET($A$2, 0, COLUMN()-1)),
MATCH($B96*1,ListeAnnées,0),
MATCH($A96,ListeMois,0))</f>
        <v>0</v>
      </c>
      <c r="D96" s="162">
        <v>4168.76</v>
      </c>
      <c r="E96" s="869">
        <f t="shared" ref="E96:E107" ca="1" si="51">INDEX(INDIRECT(OFFSET($A$2, 0, COLUMN()-1)),
MATCH($B96*1,ListeAnnées,0),
MATCH($A96,ListeMois,0))</f>
        <v>0</v>
      </c>
      <c r="F96" s="163">
        <v>3334.57</v>
      </c>
      <c r="G96" s="878">
        <f>+Récapitulatif!$C130</f>
        <v>1062.69</v>
      </c>
      <c r="H96" s="141"/>
      <c r="I96" s="869">
        <f t="shared" ref="I96:I107" ca="1" si="52">INDEX(INDIRECT(OFFSET($A$2, 0, COLUMN()-1)),
MATCH($B96*1,ListeAnnées,0),
MATCH($A96,ListeMois,0))</f>
        <v>0</v>
      </c>
      <c r="J96" s="141">
        <v>1500</v>
      </c>
      <c r="K96" s="61">
        <f>+Récapitulatif!$C194</f>
        <v>0</v>
      </c>
      <c r="L96" s="164">
        <v>0</v>
      </c>
      <c r="M96" s="61">
        <f ca="1">+C96+E96+G96+I96+K96</f>
        <v>1062.69</v>
      </c>
      <c r="N96" s="164">
        <f>+D96+F96+H96+J96+L96</f>
        <v>9003.33</v>
      </c>
      <c r="O96" s="61">
        <f ca="1">+M96</f>
        <v>1062.69</v>
      </c>
      <c r="P96" s="165">
        <f>+N96</f>
        <v>9003.33</v>
      </c>
      <c r="Q96" s="166">
        <f t="shared" ref="Q96:Q107" ca="1" si="53">-P96+O96</f>
        <v>-7940.6399999999994</v>
      </c>
    </row>
    <row r="97" spans="1:17" ht="18" hidden="1" outlineLevel="1" thickBot="1">
      <c r="A97" s="135" t="s">
        <v>53</v>
      </c>
      <c r="B97" s="60" t="str">
        <f>$A95</f>
        <v>2029</v>
      </c>
      <c r="C97" s="414">
        <f t="shared" ca="1" si="50"/>
        <v>0</v>
      </c>
      <c r="D97" s="167">
        <v>4069.84</v>
      </c>
      <c r="E97" s="414">
        <f t="shared" ca="1" si="51"/>
        <v>0</v>
      </c>
      <c r="F97" s="130">
        <v>3399.26</v>
      </c>
      <c r="G97" s="819">
        <f>+Récapitulatif!$D130</f>
        <v>1271.71</v>
      </c>
      <c r="H97" s="137"/>
      <c r="I97" s="414">
        <f t="shared" ca="1" si="52"/>
        <v>0</v>
      </c>
      <c r="J97" s="137">
        <v>1500</v>
      </c>
      <c r="K97" s="138">
        <f>+Récapitulatif!$D194</f>
        <v>0</v>
      </c>
      <c r="L97" s="139">
        <v>0</v>
      </c>
      <c r="M97" s="138">
        <v>0</v>
      </c>
      <c r="N97" s="139">
        <f>+D97+F97+H97+J97+L97</f>
        <v>8969.1</v>
      </c>
      <c r="O97" s="138">
        <f t="shared" ref="O97:O107" ca="1" si="54">+O96+M97</f>
        <v>1062.69</v>
      </c>
      <c r="P97" s="168">
        <f t="shared" ref="P97:P107" si="55">+P96+N97</f>
        <v>17972.43</v>
      </c>
      <c r="Q97" s="169">
        <f t="shared" ca="1" si="53"/>
        <v>-16909.740000000002</v>
      </c>
    </row>
    <row r="98" spans="1:17" ht="18" hidden="1" outlineLevel="1" thickBot="1">
      <c r="A98" s="140" t="s">
        <v>26</v>
      </c>
      <c r="B98" s="60" t="str">
        <f>$A95</f>
        <v>2029</v>
      </c>
      <c r="C98" s="414">
        <f t="shared" ca="1" si="50"/>
        <v>0</v>
      </c>
      <c r="D98" s="167">
        <v>5183.41</v>
      </c>
      <c r="E98" s="414">
        <f t="shared" ca="1" si="51"/>
        <v>0</v>
      </c>
      <c r="F98" s="137">
        <v>2963.08</v>
      </c>
      <c r="G98" s="409">
        <f>+Récapitulatif!$E130</f>
        <v>1309.46</v>
      </c>
      <c r="H98" s="130"/>
      <c r="I98" s="414">
        <f t="shared" ca="1" si="52"/>
        <v>0</v>
      </c>
      <c r="J98" s="130">
        <v>1500</v>
      </c>
      <c r="K98" s="131">
        <f>+Récapitulatif!$E194</f>
        <v>0</v>
      </c>
      <c r="L98" s="132">
        <v>0</v>
      </c>
      <c r="M98" s="138">
        <f ca="1">+C98+E98+G98+I98+K98</f>
        <v>1309.46</v>
      </c>
      <c r="N98" s="132">
        <f>+D98+F98+H98+J98+L98</f>
        <v>9646.49</v>
      </c>
      <c r="O98" s="138">
        <f t="shared" ca="1" si="54"/>
        <v>2372.15</v>
      </c>
      <c r="P98" s="170">
        <f t="shared" si="55"/>
        <v>27618.92</v>
      </c>
      <c r="Q98" s="169">
        <f t="shared" ca="1" si="53"/>
        <v>-25246.769999999997</v>
      </c>
    </row>
    <row r="99" spans="1:17" ht="18" hidden="1" outlineLevel="1" thickBot="1">
      <c r="A99" s="135" t="s">
        <v>27</v>
      </c>
      <c r="B99" s="60" t="str">
        <f>$A95</f>
        <v>2029</v>
      </c>
      <c r="C99" s="414">
        <f t="shared" ca="1" si="50"/>
        <v>0</v>
      </c>
      <c r="D99" s="167">
        <v>5187.51</v>
      </c>
      <c r="E99" s="414">
        <f t="shared" ca="1" si="51"/>
        <v>0</v>
      </c>
      <c r="F99" s="130">
        <v>3845.29</v>
      </c>
      <c r="G99" s="819">
        <f>+Récapitulatif!$F130</f>
        <v>1289.3499999999999</v>
      </c>
      <c r="H99" s="137"/>
      <c r="I99" s="414">
        <f t="shared" ca="1" si="52"/>
        <v>0</v>
      </c>
      <c r="J99" s="137">
        <v>1500</v>
      </c>
      <c r="K99" s="138">
        <f>+Récapitulatif!$F194</f>
        <v>0</v>
      </c>
      <c r="L99" s="139">
        <v>0</v>
      </c>
      <c r="M99" s="138">
        <f t="shared" ref="M99:M107" ca="1" si="56">+C99+E99+G99+I99+K99</f>
        <v>1289.3499999999999</v>
      </c>
      <c r="N99" s="139">
        <f t="shared" ref="N99:N107" si="57">+D99+F99+H99+J99+L99</f>
        <v>10532.8</v>
      </c>
      <c r="O99" s="138">
        <f t="shared" ca="1" si="54"/>
        <v>3661.5</v>
      </c>
      <c r="P99" s="168">
        <f t="shared" si="55"/>
        <v>38151.72</v>
      </c>
      <c r="Q99" s="169">
        <f t="shared" ca="1" si="53"/>
        <v>-34490.22</v>
      </c>
    </row>
    <row r="100" spans="1:17" ht="18" hidden="1" outlineLevel="1" thickBot="1">
      <c r="A100" s="140" t="s">
        <v>28</v>
      </c>
      <c r="B100" s="60" t="str">
        <f>$A95</f>
        <v>2029</v>
      </c>
      <c r="C100" s="414">
        <f t="shared" ca="1" si="50"/>
        <v>0</v>
      </c>
      <c r="D100" s="167">
        <v>6248.39</v>
      </c>
      <c r="E100" s="414">
        <f t="shared" ca="1" si="51"/>
        <v>0</v>
      </c>
      <c r="F100" s="137">
        <v>4413.55</v>
      </c>
      <c r="G100" s="409">
        <f>+Récapitulatif!$G130</f>
        <v>1510.54</v>
      </c>
      <c r="H100" s="130"/>
      <c r="I100" s="414">
        <f t="shared" ca="1" si="52"/>
        <v>0</v>
      </c>
      <c r="J100" s="130">
        <v>1500</v>
      </c>
      <c r="K100" s="131">
        <f>+Récapitulatif!$G194</f>
        <v>0</v>
      </c>
      <c r="L100" s="132">
        <v>0</v>
      </c>
      <c r="M100" s="138">
        <f t="shared" ca="1" si="56"/>
        <v>1510.54</v>
      </c>
      <c r="N100" s="132">
        <f t="shared" si="57"/>
        <v>12161.94</v>
      </c>
      <c r="O100" s="138">
        <f t="shared" ca="1" si="54"/>
        <v>5172.04</v>
      </c>
      <c r="P100" s="170">
        <f t="shared" si="55"/>
        <v>50313.66</v>
      </c>
      <c r="Q100" s="169">
        <f t="shared" ca="1" si="53"/>
        <v>-45141.62</v>
      </c>
    </row>
    <row r="101" spans="1:17" ht="18" hidden="1" outlineLevel="1" thickBot="1">
      <c r="A101" s="135" t="s">
        <v>29</v>
      </c>
      <c r="B101" s="60" t="str">
        <f>$A95</f>
        <v>2029</v>
      </c>
      <c r="C101" s="414">
        <f t="shared" ca="1" si="50"/>
        <v>0</v>
      </c>
      <c r="D101" s="167">
        <v>7527.69</v>
      </c>
      <c r="E101" s="414">
        <f t="shared" ca="1" si="51"/>
        <v>0</v>
      </c>
      <c r="F101" s="130">
        <v>4611.71</v>
      </c>
      <c r="G101" s="819">
        <f>+Récapitulatif!$H130</f>
        <v>1042.54</v>
      </c>
      <c r="H101" s="137"/>
      <c r="I101" s="414">
        <f t="shared" ca="1" si="52"/>
        <v>0</v>
      </c>
      <c r="J101" s="137">
        <v>1500</v>
      </c>
      <c r="K101" s="138">
        <f>+Récapitulatif!$H194</f>
        <v>0</v>
      </c>
      <c r="L101" s="139">
        <v>0</v>
      </c>
      <c r="M101" s="138">
        <f t="shared" ca="1" si="56"/>
        <v>1042.54</v>
      </c>
      <c r="N101" s="139">
        <f t="shared" si="57"/>
        <v>13639.4</v>
      </c>
      <c r="O101" s="138">
        <f t="shared" ca="1" si="54"/>
        <v>6214.58</v>
      </c>
      <c r="P101" s="168">
        <f t="shared" si="55"/>
        <v>63953.060000000005</v>
      </c>
      <c r="Q101" s="169">
        <f t="shared" ca="1" si="53"/>
        <v>-57738.48</v>
      </c>
    </row>
    <row r="102" spans="1:17" ht="18" hidden="1" outlineLevel="1" thickBot="1">
      <c r="A102" s="140" t="s">
        <v>54</v>
      </c>
      <c r="B102" s="60" t="str">
        <f>$A95</f>
        <v>2029</v>
      </c>
      <c r="C102" s="414">
        <f t="shared" ca="1" si="50"/>
        <v>0</v>
      </c>
      <c r="D102" s="167">
        <v>6788.34</v>
      </c>
      <c r="E102" s="414">
        <f t="shared" ca="1" si="51"/>
        <v>0</v>
      </c>
      <c r="F102" s="137">
        <v>5307.92</v>
      </c>
      <c r="G102" s="409">
        <f>+Récapitulatif!$I130</f>
        <v>1313.14</v>
      </c>
      <c r="H102" s="130"/>
      <c r="I102" s="414">
        <f t="shared" ca="1" si="52"/>
        <v>0</v>
      </c>
      <c r="J102" s="130">
        <v>1500</v>
      </c>
      <c r="K102" s="131">
        <f>+Récapitulatif!$I194</f>
        <v>0</v>
      </c>
      <c r="L102" s="132">
        <v>0</v>
      </c>
      <c r="M102" s="138">
        <f t="shared" ca="1" si="56"/>
        <v>1313.14</v>
      </c>
      <c r="N102" s="132">
        <f t="shared" si="57"/>
        <v>13596.26</v>
      </c>
      <c r="O102" s="138">
        <f t="shared" ca="1" si="54"/>
        <v>7527.72</v>
      </c>
      <c r="P102" s="170">
        <f t="shared" si="55"/>
        <v>77549.320000000007</v>
      </c>
      <c r="Q102" s="169">
        <f t="shared" ca="1" si="53"/>
        <v>-70021.600000000006</v>
      </c>
    </row>
    <row r="103" spans="1:17" ht="18" hidden="1" outlineLevel="1" thickBot="1">
      <c r="A103" s="135" t="s">
        <v>55</v>
      </c>
      <c r="B103" s="60" t="str">
        <f>$A95</f>
        <v>2029</v>
      </c>
      <c r="C103" s="414">
        <f t="shared" ca="1" si="50"/>
        <v>0</v>
      </c>
      <c r="D103" s="167">
        <v>6437.18</v>
      </c>
      <c r="E103" s="414">
        <f t="shared" ca="1" si="51"/>
        <v>0</v>
      </c>
      <c r="F103" s="130">
        <v>3395.31</v>
      </c>
      <c r="G103" s="819">
        <f>+Récapitulatif!$J130</f>
        <v>2151.0700000000002</v>
      </c>
      <c r="H103" s="137"/>
      <c r="I103" s="414">
        <f t="shared" ca="1" si="52"/>
        <v>0</v>
      </c>
      <c r="J103" s="137">
        <v>1500</v>
      </c>
      <c r="K103" s="138">
        <f>+Récapitulatif!$J194</f>
        <v>0</v>
      </c>
      <c r="L103" s="139">
        <v>0</v>
      </c>
      <c r="M103" s="138">
        <f t="shared" ca="1" si="56"/>
        <v>2151.0700000000002</v>
      </c>
      <c r="N103" s="139">
        <f t="shared" si="57"/>
        <v>11332.49</v>
      </c>
      <c r="O103" s="138">
        <f t="shared" ca="1" si="54"/>
        <v>9678.7900000000009</v>
      </c>
      <c r="P103" s="168">
        <f t="shared" si="55"/>
        <v>88881.810000000012</v>
      </c>
      <c r="Q103" s="169">
        <f t="shared" ca="1" si="53"/>
        <v>-79203.020000000019</v>
      </c>
    </row>
    <row r="104" spans="1:17" ht="18" hidden="1" outlineLevel="1" thickBot="1">
      <c r="A104" s="140" t="s">
        <v>56</v>
      </c>
      <c r="B104" s="60" t="str">
        <f>$A95</f>
        <v>2029</v>
      </c>
      <c r="C104" s="414">
        <f t="shared" ca="1" si="50"/>
        <v>0</v>
      </c>
      <c r="D104" s="167">
        <v>6306.07</v>
      </c>
      <c r="E104" s="414">
        <f t="shared" ca="1" si="51"/>
        <v>0</v>
      </c>
      <c r="F104" s="137">
        <v>5036.26</v>
      </c>
      <c r="G104" s="409">
        <f>+Récapitulatif!$K130</f>
        <v>1941.87</v>
      </c>
      <c r="H104" s="130"/>
      <c r="I104" s="414">
        <f t="shared" ca="1" si="52"/>
        <v>0</v>
      </c>
      <c r="J104" s="130">
        <v>1500</v>
      </c>
      <c r="K104" s="131">
        <f>+Récapitulatif!$K194</f>
        <v>0</v>
      </c>
      <c r="L104" s="132">
        <v>0</v>
      </c>
      <c r="M104" s="138">
        <f t="shared" ca="1" si="56"/>
        <v>1941.87</v>
      </c>
      <c r="N104" s="132">
        <f t="shared" si="57"/>
        <v>12842.33</v>
      </c>
      <c r="O104" s="138">
        <f t="shared" ca="1" si="54"/>
        <v>11620.66</v>
      </c>
      <c r="P104" s="170">
        <f t="shared" si="55"/>
        <v>101724.14000000001</v>
      </c>
      <c r="Q104" s="169">
        <f t="shared" ca="1" si="53"/>
        <v>-90103.48000000001</v>
      </c>
    </row>
    <row r="105" spans="1:17" ht="18" hidden="1" outlineLevel="1" thickBot="1">
      <c r="A105" s="135" t="s">
        <v>57</v>
      </c>
      <c r="B105" s="60" t="str">
        <f>$A95</f>
        <v>2029</v>
      </c>
      <c r="C105" s="414">
        <f t="shared" ca="1" si="50"/>
        <v>0</v>
      </c>
      <c r="D105" s="167">
        <v>6686.1</v>
      </c>
      <c r="E105" s="414">
        <f t="shared" ca="1" si="51"/>
        <v>0</v>
      </c>
      <c r="F105" s="130">
        <v>4821.91</v>
      </c>
      <c r="G105" s="819">
        <f>+Récapitulatif!$L130</f>
        <v>1191.54</v>
      </c>
      <c r="H105" s="137"/>
      <c r="I105" s="414">
        <f t="shared" ca="1" si="52"/>
        <v>0</v>
      </c>
      <c r="J105" s="137">
        <v>1500</v>
      </c>
      <c r="K105" s="138">
        <f>+Récapitulatif!$L194</f>
        <v>0</v>
      </c>
      <c r="L105" s="139">
        <v>0</v>
      </c>
      <c r="M105" s="138">
        <f t="shared" ca="1" si="56"/>
        <v>1191.54</v>
      </c>
      <c r="N105" s="139">
        <f t="shared" si="57"/>
        <v>13008.01</v>
      </c>
      <c r="O105" s="138">
        <f t="shared" ca="1" si="54"/>
        <v>12812.2</v>
      </c>
      <c r="P105" s="168">
        <f t="shared" si="55"/>
        <v>114732.15000000001</v>
      </c>
      <c r="Q105" s="169">
        <f t="shared" ca="1" si="53"/>
        <v>-101919.95000000001</v>
      </c>
    </row>
    <row r="106" spans="1:17" ht="18" hidden="1" outlineLevel="1" thickBot="1">
      <c r="A106" s="140" t="s">
        <v>58</v>
      </c>
      <c r="B106" s="60" t="str">
        <f>$A95</f>
        <v>2029</v>
      </c>
      <c r="C106" s="414">
        <f t="shared" ca="1" si="50"/>
        <v>0</v>
      </c>
      <c r="D106" s="167">
        <v>3476.37</v>
      </c>
      <c r="E106" s="414">
        <f t="shared" ca="1" si="51"/>
        <v>0</v>
      </c>
      <c r="F106" s="130">
        <v>3710.43</v>
      </c>
      <c r="G106" s="409">
        <f>+Récapitulatif!$M130</f>
        <v>1821.33</v>
      </c>
      <c r="H106" s="167"/>
      <c r="I106" s="414">
        <f t="shared" ca="1" si="52"/>
        <v>0</v>
      </c>
      <c r="J106" s="130">
        <v>1500</v>
      </c>
      <c r="K106" s="131">
        <f>+Récapitulatif!$M194</f>
        <v>0</v>
      </c>
      <c r="L106" s="132">
        <v>0</v>
      </c>
      <c r="M106" s="138">
        <f t="shared" ca="1" si="56"/>
        <v>1821.33</v>
      </c>
      <c r="N106" s="132">
        <f t="shared" si="57"/>
        <v>8686.7999999999993</v>
      </c>
      <c r="O106" s="138">
        <f t="shared" ca="1" si="54"/>
        <v>14633.53</v>
      </c>
      <c r="P106" s="170">
        <f t="shared" si="55"/>
        <v>123418.95000000001</v>
      </c>
      <c r="Q106" s="169">
        <f t="shared" ca="1" si="53"/>
        <v>-108785.42000000001</v>
      </c>
    </row>
    <row r="107" spans="1:17" ht="18" hidden="1" outlineLevel="1" thickBot="1">
      <c r="A107" s="174" t="s">
        <v>59</v>
      </c>
      <c r="B107" s="60" t="str">
        <f>$A95</f>
        <v>2029</v>
      </c>
      <c r="C107" s="414">
        <f t="shared" ca="1" si="50"/>
        <v>0</v>
      </c>
      <c r="D107" s="167">
        <v>5163.1400000000003</v>
      </c>
      <c r="E107" s="414">
        <f t="shared" ca="1" si="51"/>
        <v>0</v>
      </c>
      <c r="F107" s="184">
        <v>4122.58</v>
      </c>
      <c r="G107" s="409">
        <f>+Récapitulatif!$N130</f>
        <v>1649.72</v>
      </c>
      <c r="H107" s="130"/>
      <c r="I107" s="414">
        <f t="shared" ca="1" si="52"/>
        <v>0</v>
      </c>
      <c r="J107" s="130">
        <v>1500</v>
      </c>
      <c r="K107" s="131">
        <f>+Récapitulatif!$N194</f>
        <v>0</v>
      </c>
      <c r="L107" s="132">
        <v>0</v>
      </c>
      <c r="M107" s="138">
        <f t="shared" ca="1" si="56"/>
        <v>1649.72</v>
      </c>
      <c r="N107" s="132">
        <f t="shared" si="57"/>
        <v>10785.720000000001</v>
      </c>
      <c r="O107" s="138">
        <f t="shared" ca="1" si="54"/>
        <v>16283.25</v>
      </c>
      <c r="P107" s="170">
        <f t="shared" si="55"/>
        <v>134204.67000000001</v>
      </c>
      <c r="Q107" s="169">
        <f t="shared" ca="1" si="53"/>
        <v>-117921.42000000001</v>
      </c>
    </row>
    <row r="108" spans="1:17" ht="18" hidden="1" outlineLevel="1" thickBot="1">
      <c r="A108" s="185" t="s">
        <v>3974</v>
      </c>
      <c r="B108" s="60"/>
      <c r="C108" s="178">
        <f t="shared" ref="C108:N108" ca="1" si="58">SUM(C96:C107)</f>
        <v>0</v>
      </c>
      <c r="D108" s="178">
        <f t="shared" si="58"/>
        <v>67242.8</v>
      </c>
      <c r="E108" s="178">
        <f t="shared" ca="1" si="58"/>
        <v>0</v>
      </c>
      <c r="F108" s="178">
        <f t="shared" si="58"/>
        <v>48961.87</v>
      </c>
      <c r="G108" s="178">
        <f t="shared" si="58"/>
        <v>17554.96</v>
      </c>
      <c r="H108" s="178">
        <f t="shared" si="58"/>
        <v>0</v>
      </c>
      <c r="I108" s="178">
        <f t="shared" ca="1" si="58"/>
        <v>0</v>
      </c>
      <c r="J108" s="178">
        <f t="shared" si="58"/>
        <v>18000</v>
      </c>
      <c r="K108" s="178">
        <f t="shared" si="58"/>
        <v>0</v>
      </c>
      <c r="L108" s="178">
        <f t="shared" si="58"/>
        <v>0</v>
      </c>
      <c r="M108" s="178">
        <f t="shared" ca="1" si="58"/>
        <v>16283.25</v>
      </c>
      <c r="N108" s="178">
        <f t="shared" si="58"/>
        <v>134204.67000000001</v>
      </c>
      <c r="O108" s="178"/>
      <c r="P108" s="178"/>
      <c r="Q108" s="176"/>
    </row>
    <row r="109" spans="1:17" ht="58.2" hidden="1" customHeight="1" outlineLevel="1" thickBot="1"/>
    <row r="110" spans="1:17" ht="27" hidden="1" outlineLevel="1" thickBot="1">
      <c r="A110" s="880" t="s">
        <v>1605</v>
      </c>
      <c r="B110" s="871"/>
      <c r="C110" s="872"/>
      <c r="D110" s="872"/>
      <c r="E110" s="876"/>
      <c r="F110" s="872"/>
      <c r="G110" s="872"/>
      <c r="H110" s="872"/>
      <c r="I110" s="872"/>
      <c r="J110" s="872"/>
      <c r="K110" s="872"/>
      <c r="L110" s="872"/>
      <c r="M110" s="873"/>
      <c r="N110" s="873"/>
      <c r="O110" s="872"/>
      <c r="P110" s="872"/>
      <c r="Q110" s="874"/>
    </row>
    <row r="111" spans="1:17" ht="18" hidden="1" outlineLevel="1" thickBot="1">
      <c r="A111" s="160" t="s">
        <v>52</v>
      </c>
      <c r="B111" s="60" t="str">
        <f>$A110</f>
        <v>2030</v>
      </c>
      <c r="C111" s="869">
        <f t="shared" ref="C111:C122" ca="1" si="59">INDEX(INDIRECT(OFFSET($A$2, 0, COLUMN()-1)),
MATCH($B111*1,ListeAnnées,0),
MATCH($A111,ListeMois,0))</f>
        <v>0</v>
      </c>
      <c r="D111" s="162">
        <v>4168.76</v>
      </c>
      <c r="E111" s="869">
        <f t="shared" ref="E111:E122" ca="1" si="60">INDEX(INDIRECT(OFFSET($A$2, 0, COLUMN()-1)),
MATCH($B111*1,ListeAnnées,0),
MATCH($A111,ListeMois,0))</f>
        <v>0</v>
      </c>
      <c r="F111" s="163">
        <v>3334.57</v>
      </c>
      <c r="G111" s="878">
        <f>+Récapitulatif!$C145</f>
        <v>0</v>
      </c>
      <c r="H111" s="141"/>
      <c r="I111" s="869">
        <f t="shared" ref="I111:I122" ca="1" si="61">INDEX(INDIRECT(OFFSET($A$2, 0, COLUMN()-1)),
MATCH($B111*1,ListeAnnées,0),
MATCH($A111,ListeMois,0))</f>
        <v>0</v>
      </c>
      <c r="J111" s="141">
        <v>1500</v>
      </c>
      <c r="K111" s="61">
        <f>+Récapitulatif!$C209</f>
        <v>0</v>
      </c>
      <c r="L111" s="164">
        <v>0</v>
      </c>
      <c r="M111" s="61">
        <f ca="1">+C111+E111+G111+I111+K111</f>
        <v>0</v>
      </c>
      <c r="N111" s="164">
        <f>+D111+F111+H111+J111+L111</f>
        <v>9003.33</v>
      </c>
      <c r="O111" s="61">
        <f ca="1">+M111</f>
        <v>0</v>
      </c>
      <c r="P111" s="165">
        <f>+N111</f>
        <v>9003.33</v>
      </c>
      <c r="Q111" s="166">
        <f t="shared" ref="Q111:Q122" ca="1" si="62">-P111+O111</f>
        <v>-9003.33</v>
      </c>
    </row>
    <row r="112" spans="1:17" ht="18" hidden="1" outlineLevel="1" thickBot="1">
      <c r="A112" s="135" t="s">
        <v>53</v>
      </c>
      <c r="B112" s="60" t="str">
        <f>$A110</f>
        <v>2030</v>
      </c>
      <c r="C112" s="414">
        <f t="shared" ca="1" si="59"/>
        <v>0</v>
      </c>
      <c r="D112" s="167">
        <v>4069.84</v>
      </c>
      <c r="E112" s="414">
        <f t="shared" ca="1" si="60"/>
        <v>0</v>
      </c>
      <c r="F112" s="130">
        <v>3399.26</v>
      </c>
      <c r="G112" s="819">
        <f>+Récapitulatif!$D145</f>
        <v>0</v>
      </c>
      <c r="H112" s="137"/>
      <c r="I112" s="414">
        <f t="shared" ca="1" si="61"/>
        <v>0</v>
      </c>
      <c r="J112" s="137">
        <v>1500</v>
      </c>
      <c r="K112" s="138">
        <f>+Récapitulatif!$D209</f>
        <v>0</v>
      </c>
      <c r="L112" s="139">
        <v>0</v>
      </c>
      <c r="M112" s="138">
        <v>0</v>
      </c>
      <c r="N112" s="139">
        <f>+D112+F112+H112+J112+L112</f>
        <v>8969.1</v>
      </c>
      <c r="O112" s="138">
        <f t="shared" ref="O112:O122" ca="1" si="63">+O111+M112</f>
        <v>0</v>
      </c>
      <c r="P112" s="168">
        <f t="shared" ref="P112:P122" si="64">+P111+N112</f>
        <v>17972.43</v>
      </c>
      <c r="Q112" s="169">
        <f t="shared" ca="1" si="62"/>
        <v>-17972.43</v>
      </c>
    </row>
    <row r="113" spans="1:17" ht="18" hidden="1" outlineLevel="1" thickBot="1">
      <c r="A113" s="140" t="s">
        <v>26</v>
      </c>
      <c r="B113" s="60" t="str">
        <f>$A110</f>
        <v>2030</v>
      </c>
      <c r="C113" s="414">
        <f t="shared" ca="1" si="59"/>
        <v>0</v>
      </c>
      <c r="D113" s="167">
        <v>5183.41</v>
      </c>
      <c r="E113" s="414">
        <f t="shared" ca="1" si="60"/>
        <v>0</v>
      </c>
      <c r="F113" s="137">
        <v>2963.08</v>
      </c>
      <c r="G113" s="409">
        <f>+Récapitulatif!$E145</f>
        <v>0</v>
      </c>
      <c r="H113" s="130"/>
      <c r="I113" s="414">
        <f t="shared" ca="1" si="61"/>
        <v>0</v>
      </c>
      <c r="J113" s="130">
        <v>1500</v>
      </c>
      <c r="K113" s="131">
        <f>+Récapitulatif!$E209</f>
        <v>0</v>
      </c>
      <c r="L113" s="132">
        <v>0</v>
      </c>
      <c r="M113" s="138">
        <f ca="1">+C113+E113+G113+I113+K113</f>
        <v>0</v>
      </c>
      <c r="N113" s="132">
        <f>+D113+F113+H113+J113+L113</f>
        <v>9646.49</v>
      </c>
      <c r="O113" s="138">
        <f t="shared" ca="1" si="63"/>
        <v>0</v>
      </c>
      <c r="P113" s="170">
        <f t="shared" si="64"/>
        <v>27618.92</v>
      </c>
      <c r="Q113" s="169">
        <f t="shared" ca="1" si="62"/>
        <v>-27618.92</v>
      </c>
    </row>
    <row r="114" spans="1:17" ht="18" hidden="1" outlineLevel="1" thickBot="1">
      <c r="A114" s="135" t="s">
        <v>27</v>
      </c>
      <c r="B114" s="60" t="str">
        <f>$A110</f>
        <v>2030</v>
      </c>
      <c r="C114" s="414">
        <f t="shared" ca="1" si="59"/>
        <v>0</v>
      </c>
      <c r="D114" s="167">
        <v>5187.51</v>
      </c>
      <c r="E114" s="414">
        <f t="shared" ca="1" si="60"/>
        <v>0</v>
      </c>
      <c r="F114" s="130">
        <v>3845.29</v>
      </c>
      <c r="G114" s="819">
        <f>+Récapitulatif!$F145</f>
        <v>0</v>
      </c>
      <c r="H114" s="137"/>
      <c r="I114" s="414">
        <f t="shared" ca="1" si="61"/>
        <v>0</v>
      </c>
      <c r="J114" s="137">
        <v>1500</v>
      </c>
      <c r="K114" s="138">
        <f>+Récapitulatif!$F209</f>
        <v>0</v>
      </c>
      <c r="L114" s="139">
        <v>0</v>
      </c>
      <c r="M114" s="138">
        <f t="shared" ref="M114:M122" ca="1" si="65">+C114+E114+G114+I114+K114</f>
        <v>0</v>
      </c>
      <c r="N114" s="139">
        <f t="shared" ref="N114:N122" si="66">+D114+F114+H114+J114+L114</f>
        <v>10532.8</v>
      </c>
      <c r="O114" s="138">
        <f t="shared" ca="1" si="63"/>
        <v>0</v>
      </c>
      <c r="P114" s="168">
        <f t="shared" si="64"/>
        <v>38151.72</v>
      </c>
      <c r="Q114" s="169">
        <f t="shared" ca="1" si="62"/>
        <v>-38151.72</v>
      </c>
    </row>
    <row r="115" spans="1:17" ht="18" hidden="1" outlineLevel="1" thickBot="1">
      <c r="A115" s="140" t="s">
        <v>28</v>
      </c>
      <c r="B115" s="60" t="str">
        <f>$A110</f>
        <v>2030</v>
      </c>
      <c r="C115" s="414">
        <f t="shared" ca="1" si="59"/>
        <v>0</v>
      </c>
      <c r="D115" s="167">
        <v>6248.39</v>
      </c>
      <c r="E115" s="414">
        <f t="shared" ca="1" si="60"/>
        <v>0</v>
      </c>
      <c r="F115" s="137">
        <v>4413.55</v>
      </c>
      <c r="G115" s="409">
        <f>+Récapitulatif!$G145</f>
        <v>0</v>
      </c>
      <c r="H115" s="130"/>
      <c r="I115" s="414">
        <f t="shared" ca="1" si="61"/>
        <v>0</v>
      </c>
      <c r="J115" s="130">
        <v>1500</v>
      </c>
      <c r="K115" s="131">
        <f>+Récapitulatif!$G209</f>
        <v>0</v>
      </c>
      <c r="L115" s="132">
        <v>0</v>
      </c>
      <c r="M115" s="138">
        <f t="shared" ca="1" si="65"/>
        <v>0</v>
      </c>
      <c r="N115" s="132">
        <f t="shared" si="66"/>
        <v>12161.94</v>
      </c>
      <c r="O115" s="138">
        <f t="shared" ca="1" si="63"/>
        <v>0</v>
      </c>
      <c r="P115" s="170">
        <f t="shared" si="64"/>
        <v>50313.66</v>
      </c>
      <c r="Q115" s="169">
        <f t="shared" ca="1" si="62"/>
        <v>-50313.66</v>
      </c>
    </row>
    <row r="116" spans="1:17" ht="18" hidden="1" outlineLevel="1" thickBot="1">
      <c r="A116" s="135" t="s">
        <v>29</v>
      </c>
      <c r="B116" s="60" t="str">
        <f>$A110</f>
        <v>2030</v>
      </c>
      <c r="C116" s="414">
        <f t="shared" ca="1" si="59"/>
        <v>0</v>
      </c>
      <c r="D116" s="167">
        <v>7527.69</v>
      </c>
      <c r="E116" s="414">
        <f t="shared" ca="1" si="60"/>
        <v>0</v>
      </c>
      <c r="F116" s="130">
        <v>4611.71</v>
      </c>
      <c r="G116" s="819">
        <f>+Récapitulatif!$H145</f>
        <v>0</v>
      </c>
      <c r="H116" s="137"/>
      <c r="I116" s="414">
        <f t="shared" ca="1" si="61"/>
        <v>0</v>
      </c>
      <c r="J116" s="137">
        <v>1500</v>
      </c>
      <c r="K116" s="138">
        <f>+Récapitulatif!$H209</f>
        <v>0</v>
      </c>
      <c r="L116" s="139">
        <v>0</v>
      </c>
      <c r="M116" s="138">
        <f t="shared" ca="1" si="65"/>
        <v>0</v>
      </c>
      <c r="N116" s="139">
        <f t="shared" si="66"/>
        <v>13639.4</v>
      </c>
      <c r="O116" s="138">
        <f t="shared" ca="1" si="63"/>
        <v>0</v>
      </c>
      <c r="P116" s="168">
        <f t="shared" si="64"/>
        <v>63953.060000000005</v>
      </c>
      <c r="Q116" s="169">
        <f t="shared" ca="1" si="62"/>
        <v>-63953.060000000005</v>
      </c>
    </row>
    <row r="117" spans="1:17" ht="18" hidden="1" outlineLevel="1" thickBot="1">
      <c r="A117" s="140" t="s">
        <v>54</v>
      </c>
      <c r="B117" s="60" t="str">
        <f>$A110</f>
        <v>2030</v>
      </c>
      <c r="C117" s="414">
        <f t="shared" ca="1" si="59"/>
        <v>0</v>
      </c>
      <c r="D117" s="167">
        <v>6788.34</v>
      </c>
      <c r="E117" s="414">
        <f t="shared" ca="1" si="60"/>
        <v>0</v>
      </c>
      <c r="F117" s="137">
        <v>5307.92</v>
      </c>
      <c r="G117" s="409">
        <f>+Récapitulatif!$I145</f>
        <v>0</v>
      </c>
      <c r="H117" s="130"/>
      <c r="I117" s="414">
        <f t="shared" ca="1" si="61"/>
        <v>0</v>
      </c>
      <c r="J117" s="130">
        <v>1500</v>
      </c>
      <c r="K117" s="131">
        <f>+Récapitulatif!$I209</f>
        <v>0</v>
      </c>
      <c r="L117" s="132">
        <v>0</v>
      </c>
      <c r="M117" s="138">
        <f t="shared" ca="1" si="65"/>
        <v>0</v>
      </c>
      <c r="N117" s="132">
        <f t="shared" si="66"/>
        <v>13596.26</v>
      </c>
      <c r="O117" s="138">
        <f t="shared" ca="1" si="63"/>
        <v>0</v>
      </c>
      <c r="P117" s="170">
        <f t="shared" si="64"/>
        <v>77549.320000000007</v>
      </c>
      <c r="Q117" s="169">
        <f t="shared" ca="1" si="62"/>
        <v>-77549.320000000007</v>
      </c>
    </row>
    <row r="118" spans="1:17" ht="18" hidden="1" outlineLevel="1" thickBot="1">
      <c r="A118" s="135" t="s">
        <v>55</v>
      </c>
      <c r="B118" s="60" t="str">
        <f>$A110</f>
        <v>2030</v>
      </c>
      <c r="C118" s="414">
        <f t="shared" ca="1" si="59"/>
        <v>0</v>
      </c>
      <c r="D118" s="167">
        <v>6437.18</v>
      </c>
      <c r="E118" s="414">
        <f t="shared" ca="1" si="60"/>
        <v>0</v>
      </c>
      <c r="F118" s="130">
        <v>3395.31</v>
      </c>
      <c r="G118" s="819">
        <f>+Récapitulatif!$J145</f>
        <v>0</v>
      </c>
      <c r="H118" s="137"/>
      <c r="I118" s="414">
        <f t="shared" ca="1" si="61"/>
        <v>0</v>
      </c>
      <c r="J118" s="137">
        <v>1500</v>
      </c>
      <c r="K118" s="138">
        <f>+Récapitulatif!$J209</f>
        <v>0</v>
      </c>
      <c r="L118" s="139">
        <v>0</v>
      </c>
      <c r="M118" s="138">
        <f t="shared" ca="1" si="65"/>
        <v>0</v>
      </c>
      <c r="N118" s="139">
        <f t="shared" si="66"/>
        <v>11332.49</v>
      </c>
      <c r="O118" s="138">
        <f t="shared" ca="1" si="63"/>
        <v>0</v>
      </c>
      <c r="P118" s="168">
        <f t="shared" si="64"/>
        <v>88881.810000000012</v>
      </c>
      <c r="Q118" s="169">
        <f t="shared" ca="1" si="62"/>
        <v>-88881.810000000012</v>
      </c>
    </row>
    <row r="119" spans="1:17" ht="18" hidden="1" outlineLevel="1" thickBot="1">
      <c r="A119" s="140" t="s">
        <v>56</v>
      </c>
      <c r="B119" s="60" t="str">
        <f>$A110</f>
        <v>2030</v>
      </c>
      <c r="C119" s="414">
        <f t="shared" ca="1" si="59"/>
        <v>0</v>
      </c>
      <c r="D119" s="167">
        <v>6306.07</v>
      </c>
      <c r="E119" s="414">
        <f t="shared" ca="1" si="60"/>
        <v>0</v>
      </c>
      <c r="F119" s="137">
        <v>5036.26</v>
      </c>
      <c r="G119" s="409">
        <f>+Récapitulatif!$K145</f>
        <v>0</v>
      </c>
      <c r="H119" s="130"/>
      <c r="I119" s="414">
        <f t="shared" ca="1" si="61"/>
        <v>0</v>
      </c>
      <c r="J119" s="130">
        <v>1500</v>
      </c>
      <c r="K119" s="131">
        <f>+Récapitulatif!$K209</f>
        <v>0</v>
      </c>
      <c r="L119" s="132">
        <v>0</v>
      </c>
      <c r="M119" s="138">
        <f t="shared" ca="1" si="65"/>
        <v>0</v>
      </c>
      <c r="N119" s="132">
        <f t="shared" si="66"/>
        <v>12842.33</v>
      </c>
      <c r="O119" s="138">
        <f t="shared" ca="1" si="63"/>
        <v>0</v>
      </c>
      <c r="P119" s="170">
        <f t="shared" si="64"/>
        <v>101724.14000000001</v>
      </c>
      <c r="Q119" s="169">
        <f t="shared" ca="1" si="62"/>
        <v>-101724.14000000001</v>
      </c>
    </row>
    <row r="120" spans="1:17" ht="18" hidden="1" outlineLevel="1" thickBot="1">
      <c r="A120" s="135" t="s">
        <v>57</v>
      </c>
      <c r="B120" s="60" t="str">
        <f>$A110</f>
        <v>2030</v>
      </c>
      <c r="C120" s="414">
        <f t="shared" ca="1" si="59"/>
        <v>0</v>
      </c>
      <c r="D120" s="167">
        <v>6686.1</v>
      </c>
      <c r="E120" s="414">
        <f t="shared" ca="1" si="60"/>
        <v>0</v>
      </c>
      <c r="F120" s="130">
        <v>4821.91</v>
      </c>
      <c r="G120" s="819">
        <f>+Récapitulatif!$L145</f>
        <v>0</v>
      </c>
      <c r="H120" s="137"/>
      <c r="I120" s="414">
        <f t="shared" ca="1" si="61"/>
        <v>0</v>
      </c>
      <c r="J120" s="137">
        <v>1500</v>
      </c>
      <c r="K120" s="138">
        <f>+Récapitulatif!$L209</f>
        <v>0</v>
      </c>
      <c r="L120" s="139">
        <v>0</v>
      </c>
      <c r="M120" s="138">
        <f t="shared" ca="1" si="65"/>
        <v>0</v>
      </c>
      <c r="N120" s="139">
        <f t="shared" si="66"/>
        <v>13008.01</v>
      </c>
      <c r="O120" s="138">
        <f t="shared" ca="1" si="63"/>
        <v>0</v>
      </c>
      <c r="P120" s="168">
        <f t="shared" si="64"/>
        <v>114732.15000000001</v>
      </c>
      <c r="Q120" s="169">
        <f t="shared" ca="1" si="62"/>
        <v>-114732.15000000001</v>
      </c>
    </row>
    <row r="121" spans="1:17" ht="18" hidden="1" outlineLevel="1" thickBot="1">
      <c r="A121" s="140" t="s">
        <v>58</v>
      </c>
      <c r="B121" s="60" t="str">
        <f>$A110</f>
        <v>2030</v>
      </c>
      <c r="C121" s="414">
        <f t="shared" ca="1" si="59"/>
        <v>0</v>
      </c>
      <c r="D121" s="167">
        <v>3476.37</v>
      </c>
      <c r="E121" s="414">
        <f t="shared" ca="1" si="60"/>
        <v>0</v>
      </c>
      <c r="F121" s="130">
        <v>3710.43</v>
      </c>
      <c r="G121" s="409">
        <f>+Récapitulatif!$M145</f>
        <v>0</v>
      </c>
      <c r="H121" s="167"/>
      <c r="I121" s="414">
        <f t="shared" ca="1" si="61"/>
        <v>0</v>
      </c>
      <c r="J121" s="130">
        <v>1500</v>
      </c>
      <c r="K121" s="131">
        <f>+Récapitulatif!$M209</f>
        <v>0</v>
      </c>
      <c r="L121" s="132">
        <v>0</v>
      </c>
      <c r="M121" s="138">
        <f t="shared" ca="1" si="65"/>
        <v>0</v>
      </c>
      <c r="N121" s="132">
        <f t="shared" si="66"/>
        <v>8686.7999999999993</v>
      </c>
      <c r="O121" s="138">
        <f t="shared" ca="1" si="63"/>
        <v>0</v>
      </c>
      <c r="P121" s="170">
        <f t="shared" si="64"/>
        <v>123418.95000000001</v>
      </c>
      <c r="Q121" s="169">
        <f t="shared" ca="1" si="62"/>
        <v>-123418.95000000001</v>
      </c>
    </row>
    <row r="122" spans="1:17" ht="18" hidden="1" outlineLevel="1" thickBot="1">
      <c r="A122" s="174" t="s">
        <v>59</v>
      </c>
      <c r="B122" s="60" t="str">
        <f>$A110</f>
        <v>2030</v>
      </c>
      <c r="C122" s="414">
        <f t="shared" ca="1" si="59"/>
        <v>0</v>
      </c>
      <c r="D122" s="167">
        <v>5163.1400000000003</v>
      </c>
      <c r="E122" s="414">
        <f t="shared" ca="1" si="60"/>
        <v>0</v>
      </c>
      <c r="F122" s="184">
        <v>4122.58</v>
      </c>
      <c r="G122" s="409">
        <f>+Récapitulatif!$N145</f>
        <v>0</v>
      </c>
      <c r="H122" s="130"/>
      <c r="I122" s="414">
        <f t="shared" ca="1" si="61"/>
        <v>0</v>
      </c>
      <c r="J122" s="130">
        <v>1500</v>
      </c>
      <c r="K122" s="131">
        <f>+Récapitulatif!$N209</f>
        <v>0</v>
      </c>
      <c r="L122" s="132">
        <v>0</v>
      </c>
      <c r="M122" s="138">
        <f t="shared" ca="1" si="65"/>
        <v>0</v>
      </c>
      <c r="N122" s="132">
        <f t="shared" si="66"/>
        <v>10785.720000000001</v>
      </c>
      <c r="O122" s="138">
        <f t="shared" ca="1" si="63"/>
        <v>0</v>
      </c>
      <c r="P122" s="170">
        <f t="shared" si="64"/>
        <v>134204.67000000001</v>
      </c>
      <c r="Q122" s="169">
        <f t="shared" ca="1" si="62"/>
        <v>-134204.67000000001</v>
      </c>
    </row>
    <row r="123" spans="1:17" ht="18" hidden="1" outlineLevel="1" thickBot="1">
      <c r="A123" s="185" t="s">
        <v>3975</v>
      </c>
      <c r="B123" s="60"/>
      <c r="C123" s="178">
        <f t="shared" ref="C123:N123" ca="1" si="67">SUM(C111:C122)</f>
        <v>0</v>
      </c>
      <c r="D123" s="178">
        <f t="shared" si="67"/>
        <v>67242.8</v>
      </c>
      <c r="E123" s="178">
        <f t="shared" ca="1" si="67"/>
        <v>0</v>
      </c>
      <c r="F123" s="178">
        <f t="shared" si="67"/>
        <v>48961.87</v>
      </c>
      <c r="G123" s="178">
        <f t="shared" si="67"/>
        <v>0</v>
      </c>
      <c r="H123" s="178">
        <f t="shared" si="67"/>
        <v>0</v>
      </c>
      <c r="I123" s="178">
        <f t="shared" ca="1" si="67"/>
        <v>0</v>
      </c>
      <c r="J123" s="178">
        <f t="shared" si="67"/>
        <v>18000</v>
      </c>
      <c r="K123" s="178">
        <f t="shared" si="67"/>
        <v>0</v>
      </c>
      <c r="L123" s="178">
        <f t="shared" si="67"/>
        <v>0</v>
      </c>
      <c r="M123" s="178">
        <f t="shared" ca="1" si="67"/>
        <v>0</v>
      </c>
      <c r="N123" s="178">
        <f t="shared" si="67"/>
        <v>134204.67000000001</v>
      </c>
      <c r="O123" s="178"/>
      <c r="P123" s="178"/>
      <c r="Q123" s="176"/>
    </row>
    <row r="124" spans="1:17" collapsed="1"/>
  </sheetData>
  <mergeCells count="7">
    <mergeCell ref="O3:Q3"/>
    <mergeCell ref="M3:N3"/>
    <mergeCell ref="C3:D3"/>
    <mergeCell ref="E3:F3"/>
    <mergeCell ref="I3:J3"/>
    <mergeCell ref="K3:L3"/>
    <mergeCell ref="G3:H3"/>
  </mergeCells>
  <phoneticPr fontId="15" type="noConversion"/>
  <pageMargins left="0.7" right="0.7" top="0.75" bottom="0.75" header="0.3" footer="0.3"/>
  <pageSetup paperSize="9" scale="5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8C09-D224-4990-BD9F-534095887B1F}">
  <sheetPr codeName="Feuil12"/>
  <dimension ref="A1:F16"/>
  <sheetViews>
    <sheetView showGridLines="0" topLeftCell="A13" workbookViewId="0">
      <selection activeCell="G18" sqref="G18"/>
    </sheetView>
  </sheetViews>
  <sheetFormatPr baseColWidth="10" defaultColWidth="11.35546875" defaultRowHeight="24"/>
  <cols>
    <col min="2" max="2" width="3.7109375" customWidth="1"/>
    <col min="3" max="5" width="7.78515625" style="2" customWidth="1"/>
    <col min="6" max="6" width="8.28515625" style="2" customWidth="1"/>
  </cols>
  <sheetData>
    <row r="1" spans="1:6">
      <c r="A1" s="294"/>
      <c r="B1" s="294"/>
      <c r="C1" s="1277" t="s">
        <v>50</v>
      </c>
      <c r="D1" s="1278"/>
      <c r="E1" s="1277" t="s">
        <v>51</v>
      </c>
      <c r="F1" s="1278"/>
    </row>
    <row r="2" spans="1:6">
      <c r="A2" s="294"/>
      <c r="B2" s="294"/>
      <c r="C2" s="1021" t="s">
        <v>10</v>
      </c>
      <c r="D2" s="1021" t="s">
        <v>8</v>
      </c>
      <c r="E2" s="1021" t="s">
        <v>10</v>
      </c>
      <c r="F2" s="1021" t="s">
        <v>8</v>
      </c>
    </row>
    <row r="3" spans="1:6">
      <c r="A3" s="294" t="s">
        <v>52</v>
      </c>
      <c r="B3" s="294">
        <v>28</v>
      </c>
      <c r="C3" s="1022">
        <v>120</v>
      </c>
      <c r="D3" s="1022">
        <v>200</v>
      </c>
      <c r="E3" s="1022">
        <f>+C3*B3</f>
        <v>3360</v>
      </c>
      <c r="F3" s="1022">
        <f>+D3*B3</f>
        <v>5600</v>
      </c>
    </row>
    <row r="4" spans="1:6">
      <c r="A4" s="294" t="s">
        <v>53</v>
      </c>
      <c r="B4" s="294">
        <v>27</v>
      </c>
      <c r="C4" s="1022">
        <v>120</v>
      </c>
      <c r="D4" s="1022">
        <v>200</v>
      </c>
      <c r="E4" s="1022">
        <f t="shared" ref="E4:E14" si="0">+C4*B4</f>
        <v>3240</v>
      </c>
      <c r="F4" s="1022">
        <f t="shared" ref="F4:F14" si="1">+D4*B4</f>
        <v>5400</v>
      </c>
    </row>
    <row r="5" spans="1:6">
      <c r="A5" s="294" t="s">
        <v>26</v>
      </c>
      <c r="B5" s="294">
        <v>28</v>
      </c>
      <c r="C5" s="1022">
        <v>130</v>
      </c>
      <c r="D5" s="1022">
        <v>210</v>
      </c>
      <c r="E5" s="1022">
        <f t="shared" si="0"/>
        <v>3640</v>
      </c>
      <c r="F5" s="1022">
        <f t="shared" si="1"/>
        <v>5880</v>
      </c>
    </row>
    <row r="6" spans="1:6">
      <c r="A6" s="294" t="s">
        <v>27</v>
      </c>
      <c r="B6" s="294">
        <v>27</v>
      </c>
      <c r="C6" s="1022">
        <v>180</v>
      </c>
      <c r="D6" s="1022">
        <v>250</v>
      </c>
      <c r="E6" s="1022">
        <f t="shared" si="0"/>
        <v>4860</v>
      </c>
      <c r="F6" s="1022">
        <f t="shared" si="1"/>
        <v>6750</v>
      </c>
    </row>
    <row r="7" spans="1:6">
      <c r="A7" s="294" t="s">
        <v>28</v>
      </c>
      <c r="B7" s="294">
        <v>28</v>
      </c>
      <c r="C7" s="1022">
        <v>210</v>
      </c>
      <c r="D7" s="1022">
        <v>350</v>
      </c>
      <c r="E7" s="1022">
        <f t="shared" si="0"/>
        <v>5880</v>
      </c>
      <c r="F7" s="1022">
        <f t="shared" si="1"/>
        <v>9800</v>
      </c>
    </row>
    <row r="8" spans="1:6">
      <c r="A8" s="294" t="s">
        <v>29</v>
      </c>
      <c r="B8" s="294">
        <v>27</v>
      </c>
      <c r="C8" s="1022">
        <v>210</v>
      </c>
      <c r="D8" s="1022">
        <v>300</v>
      </c>
      <c r="E8" s="1022">
        <f t="shared" si="0"/>
        <v>5670</v>
      </c>
      <c r="F8" s="1022">
        <f t="shared" si="1"/>
        <v>8100</v>
      </c>
    </row>
    <row r="9" spans="1:6">
      <c r="A9" s="294" t="s">
        <v>54</v>
      </c>
      <c r="B9" s="294">
        <v>28</v>
      </c>
      <c r="C9" s="1022">
        <v>210</v>
      </c>
      <c r="D9" s="1022">
        <v>300</v>
      </c>
      <c r="E9" s="1022">
        <f t="shared" si="0"/>
        <v>5880</v>
      </c>
      <c r="F9" s="1022">
        <f t="shared" si="1"/>
        <v>8400</v>
      </c>
    </row>
    <row r="10" spans="1:6">
      <c r="A10" s="294" t="s">
        <v>55</v>
      </c>
      <c r="B10" s="294">
        <v>28</v>
      </c>
      <c r="C10" s="1022">
        <v>300</v>
      </c>
      <c r="D10" s="1022">
        <v>450</v>
      </c>
      <c r="E10" s="1022">
        <f t="shared" si="0"/>
        <v>8400</v>
      </c>
      <c r="F10" s="1022">
        <f t="shared" si="1"/>
        <v>12600</v>
      </c>
    </row>
    <row r="11" spans="1:6">
      <c r="A11" s="289" t="s">
        <v>56</v>
      </c>
      <c r="B11" s="289">
        <v>27</v>
      </c>
      <c r="C11" s="1020">
        <v>210</v>
      </c>
      <c r="D11" s="1020">
        <v>400</v>
      </c>
      <c r="E11" s="1020">
        <f t="shared" si="0"/>
        <v>5670</v>
      </c>
      <c r="F11" s="1020">
        <f t="shared" si="1"/>
        <v>10800</v>
      </c>
    </row>
    <row r="12" spans="1:6">
      <c r="A12" s="186" t="s">
        <v>57</v>
      </c>
      <c r="B12" s="186">
        <v>28</v>
      </c>
      <c r="C12" s="189">
        <v>210</v>
      </c>
      <c r="D12" s="189">
        <v>400</v>
      </c>
      <c r="E12" s="189">
        <f t="shared" si="0"/>
        <v>5880</v>
      </c>
      <c r="F12" s="189">
        <f t="shared" si="1"/>
        <v>11200</v>
      </c>
    </row>
    <row r="13" spans="1:6">
      <c r="A13" s="186" t="s">
        <v>58</v>
      </c>
      <c r="B13" s="186">
        <v>27</v>
      </c>
      <c r="C13" s="189">
        <v>130</v>
      </c>
      <c r="D13" s="189">
        <v>250</v>
      </c>
      <c r="E13" s="189">
        <f t="shared" si="0"/>
        <v>3510</v>
      </c>
      <c r="F13" s="189">
        <f t="shared" si="1"/>
        <v>6750</v>
      </c>
    </row>
    <row r="14" spans="1:6">
      <c r="A14" s="186" t="s">
        <v>59</v>
      </c>
      <c r="B14" s="186">
        <v>28</v>
      </c>
      <c r="C14" s="189">
        <v>130</v>
      </c>
      <c r="D14" s="189">
        <v>250</v>
      </c>
      <c r="E14" s="189">
        <f t="shared" si="0"/>
        <v>3640</v>
      </c>
      <c r="F14" s="189">
        <f t="shared" si="1"/>
        <v>7000</v>
      </c>
    </row>
    <row r="15" spans="1:6">
      <c r="A15" s="63"/>
      <c r="B15" s="63">
        <f>SUM(B3:B14)</f>
        <v>331</v>
      </c>
      <c r="C15" s="64">
        <f>+E15/B15</f>
        <v>180.15105740181269</v>
      </c>
      <c r="D15" s="65">
        <f>+F15/B15</f>
        <v>296.91842900302117</v>
      </c>
      <c r="E15" s="50">
        <f>SUM(E3:E14)</f>
        <v>59630</v>
      </c>
      <c r="F15" s="50">
        <f>SUM(F3:F14)</f>
        <v>98280</v>
      </c>
    </row>
    <row r="16" spans="1:6">
      <c r="C16" s="20"/>
      <c r="D16" s="21"/>
      <c r="E16" s="21"/>
      <c r="F16" s="21"/>
    </row>
  </sheetData>
  <mergeCells count="2">
    <mergeCell ref="C1:D1"/>
    <mergeCell ref="E1:F1"/>
  </mergeCells>
  <phoneticPr fontId="1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27748-4F81-4551-B500-EB4E82EFE306}">
  <sheetPr codeName="Feuil6"/>
  <dimension ref="A1:ALL418"/>
  <sheetViews>
    <sheetView showGridLines="0" workbookViewId="0">
      <pane xSplit="1" topLeftCell="BV1" activePane="topRight" state="frozen"/>
      <selection pane="topRight" activeCell="CE7" sqref="CE7"/>
    </sheetView>
  </sheetViews>
  <sheetFormatPr baseColWidth="10" defaultColWidth="10.7109375" defaultRowHeight="24"/>
  <cols>
    <col min="1" max="1" width="13.28515625" customWidth="1"/>
    <col min="2" max="54" width="2.2109375" customWidth="1"/>
    <col min="55" max="55" width="2.35546875" customWidth="1"/>
    <col min="56" max="649" width="2.2109375" customWidth="1"/>
  </cols>
  <sheetData>
    <row r="1" spans="1:1000">
      <c r="A1" s="63"/>
      <c r="B1" s="63"/>
      <c r="C1" s="63"/>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c r="FU1" s="63"/>
      <c r="FV1" s="63"/>
      <c r="FW1" s="63"/>
      <c r="FX1" s="63"/>
      <c r="FY1" s="63"/>
      <c r="FZ1" s="63"/>
      <c r="GA1" s="63"/>
      <c r="GB1" s="63"/>
      <c r="GC1" s="63"/>
      <c r="GD1" s="63"/>
      <c r="GE1" s="63"/>
      <c r="GF1" s="63"/>
      <c r="GG1" s="63"/>
      <c r="GH1" s="63"/>
      <c r="GI1" s="63"/>
      <c r="GJ1" s="63"/>
      <c r="GK1" s="63"/>
      <c r="GL1" s="63"/>
      <c r="GM1" s="63"/>
      <c r="GN1" s="63"/>
      <c r="GO1" s="63"/>
      <c r="GP1" s="63"/>
      <c r="GQ1" s="63"/>
      <c r="GR1" s="63"/>
      <c r="GS1" s="63"/>
      <c r="GT1" s="63"/>
      <c r="GU1" s="63"/>
      <c r="GV1" s="63"/>
      <c r="GW1" s="63"/>
      <c r="GX1" s="63"/>
      <c r="GY1" s="63"/>
      <c r="GZ1" s="63"/>
      <c r="HA1" s="63"/>
      <c r="HB1" s="63"/>
      <c r="HC1" s="63"/>
      <c r="HD1" s="63"/>
      <c r="HE1" s="63"/>
      <c r="HF1" s="63"/>
      <c r="HG1" s="63"/>
      <c r="HH1" s="63"/>
      <c r="HI1" s="63"/>
      <c r="HJ1" s="63"/>
      <c r="HK1" s="63"/>
      <c r="HL1" s="63"/>
      <c r="HM1" s="63"/>
      <c r="HN1" s="63"/>
      <c r="HO1" s="63"/>
      <c r="HP1" s="63"/>
      <c r="HQ1" s="63"/>
      <c r="HR1" s="63"/>
      <c r="HS1" s="63"/>
      <c r="HT1" s="63"/>
      <c r="HU1" s="63"/>
      <c r="HV1" s="63"/>
      <c r="HW1" s="63"/>
      <c r="HX1" s="63"/>
      <c r="HY1" s="63"/>
      <c r="HZ1" s="63"/>
      <c r="IA1" s="63"/>
      <c r="IB1" s="63"/>
      <c r="IC1" s="63"/>
      <c r="ID1" s="63"/>
      <c r="IE1" s="63"/>
      <c r="IF1" s="63"/>
      <c r="IG1" s="63"/>
      <c r="IH1" s="63"/>
      <c r="II1" s="63"/>
      <c r="IJ1" s="63"/>
      <c r="IK1" s="63"/>
      <c r="IL1" s="63"/>
      <c r="IM1" s="63"/>
      <c r="IN1" s="63"/>
      <c r="IO1" s="63"/>
      <c r="IP1" s="63"/>
      <c r="IQ1" s="63"/>
      <c r="IR1" s="63"/>
      <c r="IS1" s="63"/>
      <c r="IT1" s="63"/>
      <c r="IU1" s="63"/>
      <c r="IV1" s="63"/>
      <c r="IW1" s="63"/>
      <c r="IX1" s="63"/>
      <c r="IY1" s="63"/>
      <c r="IZ1" s="63"/>
      <c r="JA1" s="63"/>
      <c r="JB1" s="63"/>
      <c r="JC1" s="63"/>
      <c r="JD1" s="63"/>
      <c r="JE1" s="63"/>
      <c r="JF1" s="63"/>
      <c r="JG1" s="63"/>
      <c r="JH1" s="63"/>
      <c r="JI1" s="63"/>
      <c r="JJ1" s="63"/>
      <c r="JK1" s="63"/>
      <c r="JL1" s="63"/>
      <c r="JM1" s="63"/>
      <c r="JN1" s="63"/>
      <c r="JO1" s="63"/>
      <c r="JP1" s="63"/>
      <c r="JQ1" s="63"/>
      <c r="JR1" s="63"/>
      <c r="JS1" s="63"/>
      <c r="JT1" s="63"/>
      <c r="JU1" s="63"/>
      <c r="JV1" s="63"/>
      <c r="JW1" s="63"/>
      <c r="JX1" s="63"/>
      <c r="JY1" s="63"/>
      <c r="JZ1" s="63"/>
      <c r="KA1" s="63"/>
      <c r="KB1" s="63"/>
      <c r="KC1" s="63"/>
      <c r="KD1" s="63"/>
      <c r="KE1" s="63"/>
      <c r="KF1" s="63"/>
      <c r="KG1" s="63"/>
      <c r="KH1" s="63"/>
      <c r="KI1" s="63"/>
      <c r="KJ1" s="63"/>
      <c r="KK1" s="63"/>
      <c r="KL1" s="63"/>
      <c r="KM1" s="63"/>
      <c r="KN1" s="63"/>
      <c r="KO1" s="63"/>
      <c r="KP1" s="63"/>
      <c r="KQ1" s="63"/>
      <c r="KR1" s="63"/>
      <c r="KS1" s="63"/>
      <c r="KT1" s="63"/>
      <c r="KU1" s="63"/>
      <c r="KV1" s="63"/>
      <c r="KW1" s="63"/>
      <c r="KX1" s="63"/>
      <c r="KY1" s="63"/>
      <c r="KZ1" s="63"/>
      <c r="LA1" s="63"/>
      <c r="LB1" s="63"/>
      <c r="LC1" s="63"/>
      <c r="LD1" s="63"/>
      <c r="LE1" s="63"/>
      <c r="LF1" s="63"/>
      <c r="LG1" s="63"/>
      <c r="LH1" s="63"/>
      <c r="LI1" s="63"/>
      <c r="LJ1" s="63"/>
      <c r="LK1" s="63"/>
      <c r="LL1" s="63"/>
      <c r="LM1" s="63"/>
      <c r="LN1" s="63"/>
      <c r="LO1" s="63"/>
      <c r="LP1" s="63"/>
      <c r="LQ1" s="63"/>
      <c r="LR1" s="63"/>
      <c r="LS1" s="63"/>
      <c r="LT1" s="63"/>
      <c r="LU1" s="63"/>
      <c r="LV1" s="63"/>
      <c r="LW1" s="63"/>
      <c r="LX1" s="63"/>
      <c r="LY1" s="63"/>
      <c r="LZ1" s="63"/>
      <c r="MA1" s="63"/>
      <c r="MB1" s="63"/>
      <c r="MC1" s="63"/>
      <c r="MD1" s="63"/>
      <c r="ME1" s="63"/>
      <c r="MF1" s="63"/>
      <c r="MG1" s="63"/>
      <c r="MH1" s="63"/>
      <c r="MI1" s="63"/>
      <c r="MJ1" s="63"/>
      <c r="MK1" s="63"/>
      <c r="ML1" s="63"/>
      <c r="MM1" s="63"/>
      <c r="MN1" s="63"/>
      <c r="MO1" s="63"/>
      <c r="MP1" s="63"/>
      <c r="MQ1" s="63"/>
      <c r="MR1" s="63"/>
      <c r="MS1" s="63"/>
      <c r="MT1" s="63"/>
      <c r="MU1" s="63"/>
      <c r="MV1" s="63"/>
      <c r="MW1" s="63"/>
      <c r="MX1" s="63"/>
      <c r="MY1" s="63"/>
      <c r="MZ1" s="63"/>
      <c r="NA1" s="63"/>
      <c r="NB1" s="63"/>
    </row>
    <row r="2" spans="1:1000">
      <c r="A2" s="1279" t="s">
        <v>60</v>
      </c>
      <c r="B2" s="896" t="s">
        <v>2425</v>
      </c>
      <c r="C2" s="680"/>
      <c r="D2" s="680"/>
      <c r="E2" s="680"/>
      <c r="F2" s="680"/>
      <c r="G2" s="680"/>
      <c r="H2" s="680"/>
      <c r="I2" s="680"/>
      <c r="J2" s="912"/>
      <c r="K2" s="680"/>
      <c r="L2" s="680"/>
      <c r="M2" s="680"/>
      <c r="N2" s="680"/>
      <c r="O2" s="680"/>
      <c r="P2" s="680"/>
      <c r="Q2" s="912"/>
      <c r="R2" s="680"/>
      <c r="S2" s="680"/>
      <c r="T2" s="680"/>
      <c r="U2" s="680"/>
      <c r="V2" s="680"/>
      <c r="W2" s="680"/>
      <c r="X2" s="912"/>
      <c r="Y2" s="680"/>
      <c r="Z2" s="680"/>
      <c r="AA2" s="680"/>
      <c r="AB2" s="680"/>
      <c r="AC2" s="298"/>
      <c r="AD2" s="917" t="s">
        <v>2795</v>
      </c>
      <c r="AE2" s="912"/>
      <c r="AF2" s="897"/>
      <c r="AG2" s="897"/>
      <c r="AH2" s="680"/>
      <c r="AI2" s="680"/>
      <c r="AJ2" s="680"/>
      <c r="AK2" s="680"/>
      <c r="AL2" s="912"/>
      <c r="AM2" s="680"/>
      <c r="AN2" s="680"/>
      <c r="AO2" s="680"/>
      <c r="AP2" s="680"/>
      <c r="AQ2" s="680"/>
      <c r="AR2" s="680"/>
      <c r="AS2" s="912"/>
      <c r="AT2" s="680"/>
      <c r="AU2" s="680"/>
      <c r="AV2" s="680"/>
      <c r="AW2" s="680"/>
      <c r="AX2" s="680"/>
      <c r="AY2" s="680"/>
      <c r="AZ2" s="912"/>
      <c r="BA2" s="680"/>
      <c r="BB2" s="680"/>
      <c r="BC2" s="680"/>
      <c r="BD2" s="680"/>
      <c r="BE2" s="680"/>
      <c r="BF2" s="680"/>
      <c r="BG2" s="912"/>
      <c r="BH2" s="298"/>
      <c r="BI2" s="917" t="s">
        <v>2888</v>
      </c>
      <c r="BJ2" s="680"/>
      <c r="BK2" s="897"/>
      <c r="BL2" s="897"/>
      <c r="BM2" s="680"/>
      <c r="BN2" s="912"/>
      <c r="BO2" s="680"/>
      <c r="BP2" s="680"/>
      <c r="BQ2" s="680"/>
      <c r="BR2" s="680"/>
      <c r="BS2" s="680"/>
      <c r="BT2" s="680"/>
      <c r="BU2" s="912"/>
      <c r="BV2" s="680"/>
      <c r="BW2" s="680"/>
      <c r="BX2" s="680"/>
      <c r="BY2" s="680"/>
      <c r="BZ2" s="680"/>
      <c r="CA2" s="680"/>
      <c r="CB2" s="912"/>
      <c r="CC2" s="680"/>
      <c r="CD2" s="680"/>
      <c r="CE2" s="680"/>
      <c r="CF2" s="680"/>
      <c r="CG2" s="680"/>
      <c r="CH2" s="680"/>
      <c r="CI2" s="912"/>
      <c r="CJ2" s="680"/>
      <c r="CK2" s="680"/>
      <c r="CL2" s="298"/>
      <c r="CM2" s="917" t="s">
        <v>2993</v>
      </c>
      <c r="CN2" s="802"/>
      <c r="CO2" s="898"/>
      <c r="CP2" s="913"/>
      <c r="CQ2" s="680"/>
      <c r="CR2" s="680"/>
      <c r="CS2" s="680"/>
      <c r="CT2" s="680"/>
      <c r="CU2" s="680"/>
      <c r="CV2" s="680"/>
      <c r="CW2" s="912"/>
      <c r="CX2" s="680"/>
      <c r="CY2" s="680"/>
      <c r="CZ2" s="680"/>
      <c r="DA2" s="680"/>
      <c r="DB2" s="680"/>
      <c r="DC2" s="680"/>
      <c r="DD2" s="912"/>
      <c r="DE2" s="680"/>
      <c r="DF2" s="680"/>
      <c r="DG2" s="680"/>
      <c r="DH2" s="680"/>
      <c r="DI2" s="680"/>
      <c r="DJ2" s="680"/>
      <c r="DK2" s="912"/>
      <c r="DL2" s="680"/>
      <c r="DM2" s="680"/>
      <c r="DN2" s="680"/>
      <c r="DO2" s="680"/>
      <c r="DP2" s="680"/>
      <c r="DQ2" s="298"/>
      <c r="DR2" s="918" t="s">
        <v>3089</v>
      </c>
      <c r="DS2" s="802"/>
      <c r="DT2" s="898"/>
      <c r="DU2" s="898"/>
      <c r="DV2" s="680"/>
      <c r="DW2" s="680"/>
      <c r="DX2" s="680"/>
      <c r="DY2" s="912"/>
      <c r="DZ2" s="680"/>
      <c r="EA2" s="680"/>
      <c r="EB2" s="680"/>
      <c r="EC2" s="680"/>
      <c r="ED2" s="680"/>
      <c r="EE2" s="680"/>
      <c r="EF2" s="912"/>
      <c r="EG2" s="680"/>
      <c r="EH2" s="680"/>
      <c r="EI2" s="680"/>
      <c r="EJ2" s="680"/>
      <c r="EK2" s="680"/>
      <c r="EL2" s="680"/>
      <c r="EM2" s="912"/>
      <c r="EN2" s="680"/>
      <c r="EO2" s="680"/>
      <c r="EP2" s="680"/>
      <c r="EQ2" s="680"/>
      <c r="ER2" s="680"/>
      <c r="ES2" s="680"/>
      <c r="ET2" s="912"/>
      <c r="EU2" s="298"/>
      <c r="EV2" s="917" t="s">
        <v>3257</v>
      </c>
      <c r="EW2" s="897"/>
      <c r="EX2" s="680"/>
      <c r="EY2" s="898"/>
      <c r="EZ2" s="680"/>
      <c r="FA2" s="912"/>
      <c r="FB2" s="680"/>
      <c r="FC2" s="680"/>
      <c r="FD2" s="680"/>
      <c r="FE2" s="680"/>
      <c r="FF2" s="680"/>
      <c r="FG2" s="680"/>
      <c r="FH2" s="912"/>
      <c r="FI2" s="680"/>
      <c r="FJ2" s="680"/>
      <c r="FK2" s="680"/>
      <c r="FL2" s="680"/>
      <c r="FM2" s="680"/>
      <c r="FN2" s="680"/>
      <c r="FO2" s="912"/>
      <c r="FP2" s="680"/>
      <c r="FQ2" s="680"/>
      <c r="FR2" s="680"/>
      <c r="FS2" s="680"/>
      <c r="FT2" s="680"/>
      <c r="FU2" s="680"/>
      <c r="FV2" s="912"/>
      <c r="FW2" s="680"/>
      <c r="FX2" s="680"/>
      <c r="FY2" s="680"/>
      <c r="FZ2" s="298"/>
      <c r="GA2" s="896" t="s">
        <v>3383</v>
      </c>
      <c r="GB2" s="897"/>
      <c r="GC2" s="826"/>
      <c r="GD2" s="898"/>
      <c r="GE2" s="680"/>
      <c r="GF2" s="680"/>
      <c r="GG2" s="680"/>
      <c r="GH2" s="680"/>
      <c r="GI2" s="680"/>
      <c r="GJ2" s="912"/>
      <c r="GK2" s="680"/>
      <c r="GL2" s="680"/>
      <c r="GM2" s="680"/>
      <c r="GN2" s="680"/>
      <c r="GO2" s="680"/>
      <c r="GP2" s="680"/>
      <c r="GQ2" s="912"/>
      <c r="GR2" s="680"/>
      <c r="GS2" s="680"/>
      <c r="GT2" s="680"/>
      <c r="GU2" s="680"/>
      <c r="GV2" s="680"/>
      <c r="GW2" s="680"/>
      <c r="GX2" s="912"/>
      <c r="GY2" s="680"/>
      <c r="GZ2" s="680"/>
      <c r="HA2" s="680"/>
      <c r="HB2" s="680"/>
      <c r="HC2" s="680"/>
      <c r="HD2" s="680"/>
      <c r="HE2" s="303"/>
      <c r="HF2" s="896" t="s">
        <v>3600</v>
      </c>
      <c r="HG2" s="680"/>
      <c r="HH2" s="898"/>
      <c r="HI2" s="898"/>
      <c r="HJ2" s="680"/>
      <c r="HK2" s="680"/>
      <c r="HL2" s="912"/>
      <c r="HM2" s="680"/>
      <c r="HN2" s="680"/>
      <c r="HO2" s="680"/>
      <c r="HP2" s="680"/>
      <c r="HQ2" s="680"/>
      <c r="HR2" s="680"/>
      <c r="HS2" s="912"/>
      <c r="HT2" s="680"/>
      <c r="HU2" s="680"/>
      <c r="HV2" s="680"/>
      <c r="HW2" s="680"/>
      <c r="HX2" s="680"/>
      <c r="HY2" s="680"/>
      <c r="HZ2" s="912"/>
      <c r="IA2" s="680"/>
      <c r="IB2" s="680"/>
      <c r="IC2" s="680"/>
      <c r="ID2" s="680"/>
      <c r="IE2" s="680"/>
      <c r="IF2" s="680"/>
      <c r="IG2" s="912"/>
      <c r="IH2" s="680"/>
      <c r="II2" s="298"/>
      <c r="IJ2" s="896" t="s">
        <v>3641</v>
      </c>
      <c r="IK2" s="897"/>
      <c r="IL2" s="898"/>
      <c r="IM2" s="898"/>
      <c r="IN2" s="912"/>
      <c r="IO2" s="680"/>
      <c r="IP2" s="680"/>
      <c r="IQ2" s="680"/>
      <c r="IR2" s="680"/>
      <c r="IS2" s="680"/>
      <c r="IT2" s="680"/>
      <c r="IU2" s="912"/>
      <c r="IV2" s="680"/>
      <c r="IW2" s="680"/>
      <c r="IX2" s="680"/>
      <c r="IY2" s="680"/>
      <c r="IZ2" s="680"/>
      <c r="JA2" s="680"/>
      <c r="JB2" s="912"/>
      <c r="JC2" s="680"/>
      <c r="JD2" s="680"/>
      <c r="JE2" s="680"/>
      <c r="JF2" s="680"/>
      <c r="JG2" s="680"/>
      <c r="JH2" s="680"/>
      <c r="JI2" s="912"/>
      <c r="JJ2" s="680"/>
      <c r="JK2" s="680"/>
      <c r="JL2" s="680"/>
      <c r="JM2" s="680"/>
      <c r="JN2" s="298"/>
      <c r="JO2" s="896" t="s">
        <v>3687</v>
      </c>
      <c r="JP2" s="913"/>
      <c r="JQ2" s="898"/>
      <c r="JR2" s="898"/>
      <c r="JS2" s="680"/>
      <c r="JT2" s="680"/>
      <c r="JU2" s="680"/>
      <c r="JV2" s="680"/>
      <c r="JW2" s="912"/>
      <c r="JX2" s="680"/>
      <c r="JY2" s="680"/>
      <c r="JZ2" s="680"/>
      <c r="KA2" s="680"/>
      <c r="KB2" s="680"/>
      <c r="KC2" s="680"/>
      <c r="KD2" s="912"/>
      <c r="KE2" s="680"/>
      <c r="KF2" s="680"/>
      <c r="KG2" s="680"/>
      <c r="KH2" s="680"/>
      <c r="KI2" s="680"/>
      <c r="KJ2" s="680"/>
      <c r="KK2" s="912"/>
      <c r="KL2" s="680"/>
      <c r="KM2" s="680"/>
      <c r="KN2" s="680"/>
      <c r="KO2" s="680"/>
      <c r="KP2" s="680"/>
      <c r="KQ2" s="680"/>
      <c r="KR2" s="303"/>
      <c r="KS2" s="896" t="s">
        <v>3709</v>
      </c>
      <c r="KT2" s="897"/>
      <c r="KU2" s="680"/>
      <c r="KV2" s="898"/>
      <c r="KW2" s="680"/>
      <c r="KX2" s="680"/>
      <c r="KY2" s="912"/>
      <c r="KZ2" s="680"/>
      <c r="LA2" s="680"/>
      <c r="LB2" s="680"/>
      <c r="LC2" s="680"/>
      <c r="LD2" s="680"/>
      <c r="LE2" s="680"/>
      <c r="LF2" s="912"/>
      <c r="LG2" s="680"/>
      <c r="LH2" s="680"/>
      <c r="LI2" s="680"/>
      <c r="LJ2" s="680"/>
      <c r="LK2" s="680"/>
      <c r="LL2" s="680"/>
      <c r="LM2" s="912"/>
      <c r="LN2" s="680"/>
      <c r="LO2" s="680"/>
      <c r="LP2" s="680"/>
      <c r="LQ2" s="680"/>
      <c r="LR2" s="680"/>
      <c r="LS2" s="680"/>
      <c r="LT2" s="912"/>
      <c r="LU2" s="680"/>
      <c r="LV2" s="680"/>
      <c r="LW2" s="298"/>
      <c r="LX2" s="897" t="s">
        <v>3929</v>
      </c>
      <c r="LY2" s="897"/>
      <c r="LZ2" s="680"/>
      <c r="MA2" s="912"/>
      <c r="MB2" s="680"/>
      <c r="MC2" s="680"/>
      <c r="MD2" s="680"/>
      <c r="ME2" s="680"/>
      <c r="MF2" s="680"/>
      <c r="MG2" s="680"/>
      <c r="MH2" s="912"/>
      <c r="MI2" s="680"/>
      <c r="MJ2" s="680"/>
      <c r="MK2" s="680"/>
      <c r="ML2" s="680"/>
      <c r="MM2" s="680"/>
      <c r="MN2" s="680"/>
      <c r="MO2" s="912"/>
      <c r="MP2" s="680"/>
      <c r="MQ2" s="680"/>
      <c r="MR2" s="680"/>
      <c r="MS2" s="680"/>
      <c r="MT2" s="680"/>
      <c r="MU2" s="680"/>
      <c r="MV2" s="912"/>
      <c r="MW2" s="680"/>
      <c r="MX2" s="680"/>
      <c r="MY2" s="680"/>
      <c r="MZ2" s="680"/>
      <c r="NA2" s="680"/>
      <c r="NB2" s="680"/>
      <c r="NC2" s="7"/>
      <c r="ND2" s="1333"/>
      <c r="NE2" s="1333"/>
      <c r="NF2" s="1333"/>
      <c r="NG2" s="1333"/>
      <c r="NH2" s="1333"/>
      <c r="NI2" s="1333"/>
      <c r="NJ2" s="1333"/>
      <c r="NK2" s="1333"/>
      <c r="NL2" s="1333"/>
      <c r="NM2" s="1333"/>
      <c r="NN2" s="1333"/>
      <c r="NO2" s="1333"/>
      <c r="NP2" s="1333"/>
      <c r="NQ2" s="1333"/>
      <c r="NR2" s="1333"/>
      <c r="NS2" s="1333"/>
      <c r="NT2" s="1333"/>
      <c r="NU2" s="1333"/>
      <c r="NV2" s="1333"/>
      <c r="NW2" s="1333"/>
      <c r="NX2" s="1333"/>
      <c r="NY2" s="1333"/>
      <c r="NZ2" s="1333"/>
      <c r="OA2" s="1333"/>
      <c r="OB2" s="1333"/>
      <c r="OC2" s="1333"/>
      <c r="OD2" s="1333"/>
      <c r="OE2" s="1333"/>
      <c r="OF2" s="1333"/>
      <c r="OG2" s="1333"/>
      <c r="OH2" s="1333"/>
      <c r="OI2" s="1333"/>
      <c r="OJ2" s="1333"/>
      <c r="OK2" s="1333"/>
      <c r="OL2" s="1333"/>
      <c r="OM2" s="1333"/>
      <c r="ON2" s="1333"/>
      <c r="OO2" s="1333"/>
      <c r="OP2" s="1333"/>
      <c r="OQ2" s="1333"/>
      <c r="OR2" s="1333"/>
      <c r="OS2" s="1333"/>
      <c r="OT2" s="1333"/>
      <c r="OU2" s="1333"/>
      <c r="OV2" s="1333"/>
      <c r="OW2" s="1333"/>
      <c r="OX2" s="1333"/>
      <c r="OY2" s="1333"/>
      <c r="OZ2" s="1333"/>
      <c r="PA2" s="1333"/>
      <c r="PB2" s="1333"/>
    </row>
    <row r="3" spans="1:1000" s="16" customFormat="1" ht="21.6">
      <c r="A3" s="1280"/>
      <c r="B3" s="899">
        <v>1</v>
      </c>
      <c r="C3" s="911">
        <v>2</v>
      </c>
      <c r="D3" s="900">
        <v>3</v>
      </c>
      <c r="E3" s="900">
        <v>4</v>
      </c>
      <c r="F3" s="900">
        <v>5</v>
      </c>
      <c r="G3" s="900">
        <v>6</v>
      </c>
      <c r="H3" s="900">
        <v>7</v>
      </c>
      <c r="I3" s="900">
        <v>8</v>
      </c>
      <c r="J3" s="908">
        <v>9</v>
      </c>
      <c r="K3" s="900">
        <v>10</v>
      </c>
      <c r="L3" s="900">
        <v>11</v>
      </c>
      <c r="M3" s="900">
        <v>12</v>
      </c>
      <c r="N3" s="900">
        <v>13</v>
      </c>
      <c r="O3" s="900">
        <v>14</v>
      </c>
      <c r="P3" s="900">
        <v>15</v>
      </c>
      <c r="Q3" s="908">
        <v>16</v>
      </c>
      <c r="R3" s="900">
        <v>17</v>
      </c>
      <c r="S3" s="900">
        <v>18</v>
      </c>
      <c r="T3" s="900">
        <v>19</v>
      </c>
      <c r="U3" s="900">
        <v>20</v>
      </c>
      <c r="V3" s="900">
        <v>21</v>
      </c>
      <c r="W3" s="900">
        <v>22</v>
      </c>
      <c r="X3" s="908">
        <v>23</v>
      </c>
      <c r="Y3" s="900">
        <v>24</v>
      </c>
      <c r="Z3" s="900">
        <v>25</v>
      </c>
      <c r="AA3" s="900">
        <v>26</v>
      </c>
      <c r="AB3" s="900">
        <v>27</v>
      </c>
      <c r="AC3" s="914">
        <v>28</v>
      </c>
      <c r="AD3" s="899">
        <v>1</v>
      </c>
      <c r="AE3" s="908">
        <v>2</v>
      </c>
      <c r="AF3" s="900">
        <v>3</v>
      </c>
      <c r="AG3" s="900">
        <v>4</v>
      </c>
      <c r="AH3" s="900">
        <v>5</v>
      </c>
      <c r="AI3" s="900">
        <v>6</v>
      </c>
      <c r="AJ3" s="900">
        <v>7</v>
      </c>
      <c r="AK3" s="900">
        <v>8</v>
      </c>
      <c r="AL3" s="908">
        <v>9</v>
      </c>
      <c r="AM3" s="900">
        <v>10</v>
      </c>
      <c r="AN3" s="900">
        <v>11</v>
      </c>
      <c r="AO3" s="900">
        <v>12</v>
      </c>
      <c r="AP3" s="900">
        <v>13</v>
      </c>
      <c r="AQ3" s="900">
        <v>14</v>
      </c>
      <c r="AR3" s="900">
        <v>15</v>
      </c>
      <c r="AS3" s="908">
        <v>16</v>
      </c>
      <c r="AT3" s="900">
        <v>17</v>
      </c>
      <c r="AU3" s="900">
        <v>18</v>
      </c>
      <c r="AV3" s="900">
        <v>19</v>
      </c>
      <c r="AW3" s="900">
        <v>20</v>
      </c>
      <c r="AX3" s="900">
        <v>21</v>
      </c>
      <c r="AY3" s="900">
        <v>22</v>
      </c>
      <c r="AZ3" s="908">
        <v>23</v>
      </c>
      <c r="BA3" s="900">
        <v>24</v>
      </c>
      <c r="BB3" s="900">
        <v>25</v>
      </c>
      <c r="BC3" s="900">
        <v>26</v>
      </c>
      <c r="BD3" s="900">
        <v>27</v>
      </c>
      <c r="BE3" s="900">
        <v>28</v>
      </c>
      <c r="BF3" s="900">
        <v>29</v>
      </c>
      <c r="BG3" s="908">
        <v>30</v>
      </c>
      <c r="BH3" s="914">
        <v>31</v>
      </c>
      <c r="BI3" s="899">
        <v>1</v>
      </c>
      <c r="BJ3" s="900">
        <v>2</v>
      </c>
      <c r="BK3" s="900">
        <v>3</v>
      </c>
      <c r="BL3" s="900">
        <v>4</v>
      </c>
      <c r="BM3" s="900">
        <v>5</v>
      </c>
      <c r="BN3" s="908">
        <v>6</v>
      </c>
      <c r="BO3" s="900">
        <v>7</v>
      </c>
      <c r="BP3" s="900">
        <v>8</v>
      </c>
      <c r="BQ3" s="900">
        <v>9</v>
      </c>
      <c r="BR3" s="900">
        <v>10</v>
      </c>
      <c r="BS3" s="900">
        <v>11</v>
      </c>
      <c r="BT3" s="900">
        <v>12</v>
      </c>
      <c r="BU3" s="908">
        <v>13</v>
      </c>
      <c r="BV3" s="900">
        <v>14</v>
      </c>
      <c r="BW3" s="900">
        <v>15</v>
      </c>
      <c r="BX3" s="900">
        <v>16</v>
      </c>
      <c r="BY3" s="900">
        <v>17</v>
      </c>
      <c r="BZ3" s="900">
        <v>18</v>
      </c>
      <c r="CA3" s="900">
        <v>19</v>
      </c>
      <c r="CB3" s="908">
        <v>20</v>
      </c>
      <c r="CC3" s="900">
        <v>21</v>
      </c>
      <c r="CD3" s="900">
        <v>22</v>
      </c>
      <c r="CE3" s="900">
        <v>23</v>
      </c>
      <c r="CF3" s="900">
        <v>24</v>
      </c>
      <c r="CG3" s="900">
        <v>25</v>
      </c>
      <c r="CH3" s="900">
        <v>26</v>
      </c>
      <c r="CI3" s="908">
        <v>27</v>
      </c>
      <c r="CJ3" s="900">
        <v>28</v>
      </c>
      <c r="CK3" s="900">
        <v>29</v>
      </c>
      <c r="CL3" s="914">
        <v>30</v>
      </c>
      <c r="CM3" s="899">
        <v>1</v>
      </c>
      <c r="CN3" s="900">
        <v>2</v>
      </c>
      <c r="CO3" s="900">
        <v>3</v>
      </c>
      <c r="CP3" s="908">
        <v>4</v>
      </c>
      <c r="CQ3" s="900">
        <v>5</v>
      </c>
      <c r="CR3" s="900">
        <v>6</v>
      </c>
      <c r="CS3" s="900">
        <v>7</v>
      </c>
      <c r="CT3" s="900">
        <v>8</v>
      </c>
      <c r="CU3" s="900">
        <v>9</v>
      </c>
      <c r="CV3" s="900">
        <v>10</v>
      </c>
      <c r="CW3" s="908">
        <v>11</v>
      </c>
      <c r="CX3" s="900">
        <v>12</v>
      </c>
      <c r="CY3" s="900">
        <v>13</v>
      </c>
      <c r="CZ3" s="900">
        <v>14</v>
      </c>
      <c r="DA3" s="900">
        <v>15</v>
      </c>
      <c r="DB3" s="900">
        <v>16</v>
      </c>
      <c r="DC3" s="900">
        <v>17</v>
      </c>
      <c r="DD3" s="908">
        <v>18</v>
      </c>
      <c r="DE3" s="900">
        <v>19</v>
      </c>
      <c r="DF3" s="900">
        <v>20</v>
      </c>
      <c r="DG3" s="900">
        <v>21</v>
      </c>
      <c r="DH3" s="900">
        <v>22</v>
      </c>
      <c r="DI3" s="900">
        <v>23</v>
      </c>
      <c r="DJ3" s="900">
        <v>24</v>
      </c>
      <c r="DK3" s="908">
        <v>25</v>
      </c>
      <c r="DL3" s="900">
        <v>26</v>
      </c>
      <c r="DM3" s="900">
        <v>27</v>
      </c>
      <c r="DN3" s="900">
        <v>28</v>
      </c>
      <c r="DO3" s="900">
        <v>29</v>
      </c>
      <c r="DP3" s="900">
        <v>30</v>
      </c>
      <c r="DQ3" s="914">
        <v>31</v>
      </c>
      <c r="DR3" s="899">
        <v>1</v>
      </c>
      <c r="DS3" s="900">
        <v>2</v>
      </c>
      <c r="DT3" s="900">
        <v>3</v>
      </c>
      <c r="DU3" s="900">
        <v>4</v>
      </c>
      <c r="DV3" s="900">
        <v>5</v>
      </c>
      <c r="DW3" s="900">
        <v>6</v>
      </c>
      <c r="DX3" s="900">
        <v>7</v>
      </c>
      <c r="DY3" s="908">
        <v>8</v>
      </c>
      <c r="DZ3" s="900">
        <v>9</v>
      </c>
      <c r="EA3" s="900">
        <v>10</v>
      </c>
      <c r="EB3" s="900">
        <v>11</v>
      </c>
      <c r="EC3" s="900">
        <v>12</v>
      </c>
      <c r="ED3" s="900">
        <v>13</v>
      </c>
      <c r="EE3" s="900">
        <v>14</v>
      </c>
      <c r="EF3" s="908">
        <v>15</v>
      </c>
      <c r="EG3" s="900">
        <v>16</v>
      </c>
      <c r="EH3" s="900">
        <v>17</v>
      </c>
      <c r="EI3" s="900">
        <v>18</v>
      </c>
      <c r="EJ3" s="900">
        <v>19</v>
      </c>
      <c r="EK3" s="900">
        <v>20</v>
      </c>
      <c r="EL3" s="900">
        <v>21</v>
      </c>
      <c r="EM3" s="908">
        <v>22</v>
      </c>
      <c r="EN3" s="900">
        <v>23</v>
      </c>
      <c r="EO3" s="900">
        <v>24</v>
      </c>
      <c r="EP3" s="900">
        <v>25</v>
      </c>
      <c r="EQ3" s="900">
        <v>26</v>
      </c>
      <c r="ER3" s="900">
        <v>27</v>
      </c>
      <c r="ES3" s="900">
        <v>28</v>
      </c>
      <c r="ET3" s="908">
        <v>29</v>
      </c>
      <c r="EU3" s="914">
        <v>30</v>
      </c>
      <c r="EV3" s="899">
        <v>1</v>
      </c>
      <c r="EW3" s="900">
        <v>2</v>
      </c>
      <c r="EX3" s="900">
        <v>3</v>
      </c>
      <c r="EY3" s="900">
        <v>4</v>
      </c>
      <c r="EZ3" s="900">
        <v>5</v>
      </c>
      <c r="FA3" s="908">
        <v>6</v>
      </c>
      <c r="FB3" s="900">
        <v>7</v>
      </c>
      <c r="FC3" s="900">
        <v>8</v>
      </c>
      <c r="FD3" s="900">
        <v>9</v>
      </c>
      <c r="FE3" s="900">
        <v>10</v>
      </c>
      <c r="FF3" s="900">
        <v>11</v>
      </c>
      <c r="FG3" s="900">
        <v>12</v>
      </c>
      <c r="FH3" s="908">
        <v>13</v>
      </c>
      <c r="FI3" s="900">
        <v>14</v>
      </c>
      <c r="FJ3" s="900">
        <v>15</v>
      </c>
      <c r="FK3" s="900">
        <v>16</v>
      </c>
      <c r="FL3" s="900">
        <v>17</v>
      </c>
      <c r="FM3" s="900">
        <v>18</v>
      </c>
      <c r="FN3" s="900">
        <v>19</v>
      </c>
      <c r="FO3" s="908">
        <v>20</v>
      </c>
      <c r="FP3" s="900">
        <v>21</v>
      </c>
      <c r="FQ3" s="900">
        <v>22</v>
      </c>
      <c r="FR3" s="900">
        <v>23</v>
      </c>
      <c r="FS3" s="900">
        <v>24</v>
      </c>
      <c r="FT3" s="900">
        <v>25</v>
      </c>
      <c r="FU3" s="900">
        <v>26</v>
      </c>
      <c r="FV3" s="908">
        <v>27</v>
      </c>
      <c r="FW3" s="900">
        <v>28</v>
      </c>
      <c r="FX3" s="900">
        <v>29</v>
      </c>
      <c r="FY3" s="900">
        <v>30</v>
      </c>
      <c r="FZ3" s="914">
        <v>31</v>
      </c>
      <c r="GA3" s="899">
        <v>1</v>
      </c>
      <c r="GB3" s="900">
        <v>2</v>
      </c>
      <c r="GC3" s="908">
        <v>3</v>
      </c>
      <c r="GD3" s="900">
        <v>4</v>
      </c>
      <c r="GE3" s="900">
        <v>5</v>
      </c>
      <c r="GF3" s="900">
        <v>6</v>
      </c>
      <c r="GG3" s="900">
        <v>7</v>
      </c>
      <c r="GH3" s="900">
        <v>8</v>
      </c>
      <c r="GI3" s="900">
        <v>9</v>
      </c>
      <c r="GJ3" s="908">
        <v>10</v>
      </c>
      <c r="GK3" s="900">
        <v>11</v>
      </c>
      <c r="GL3" s="900">
        <v>12</v>
      </c>
      <c r="GM3" s="900">
        <v>13</v>
      </c>
      <c r="GN3" s="900">
        <v>14</v>
      </c>
      <c r="GO3" s="900">
        <v>15</v>
      </c>
      <c r="GP3" s="900">
        <v>16</v>
      </c>
      <c r="GQ3" s="908">
        <v>17</v>
      </c>
      <c r="GR3" s="900">
        <v>18</v>
      </c>
      <c r="GS3" s="900">
        <v>19</v>
      </c>
      <c r="GT3" s="900">
        <v>20</v>
      </c>
      <c r="GU3" s="900">
        <v>21</v>
      </c>
      <c r="GV3" s="900">
        <v>22</v>
      </c>
      <c r="GW3" s="900">
        <v>23</v>
      </c>
      <c r="GX3" s="908">
        <v>24</v>
      </c>
      <c r="GY3" s="900">
        <v>25</v>
      </c>
      <c r="GZ3" s="900">
        <v>26</v>
      </c>
      <c r="HA3" s="900">
        <v>27</v>
      </c>
      <c r="HB3" s="900">
        <v>28</v>
      </c>
      <c r="HC3" s="900">
        <v>29</v>
      </c>
      <c r="HD3" s="900">
        <v>30</v>
      </c>
      <c r="HE3" s="919">
        <v>31</v>
      </c>
      <c r="HF3" s="899">
        <v>1</v>
      </c>
      <c r="HG3" s="900">
        <v>2</v>
      </c>
      <c r="HH3" s="900">
        <v>3</v>
      </c>
      <c r="HI3" s="900">
        <v>4</v>
      </c>
      <c r="HJ3" s="900">
        <v>5</v>
      </c>
      <c r="HK3" s="900">
        <v>6</v>
      </c>
      <c r="HL3" s="908">
        <v>7</v>
      </c>
      <c r="HM3" s="900">
        <v>8</v>
      </c>
      <c r="HN3" s="900">
        <v>9</v>
      </c>
      <c r="HO3" s="900">
        <v>10</v>
      </c>
      <c r="HP3" s="900">
        <v>11</v>
      </c>
      <c r="HQ3" s="900">
        <v>12</v>
      </c>
      <c r="HR3" s="900">
        <v>13</v>
      </c>
      <c r="HS3" s="908">
        <v>14</v>
      </c>
      <c r="HT3" s="900">
        <v>15</v>
      </c>
      <c r="HU3" s="900">
        <v>16</v>
      </c>
      <c r="HV3" s="900">
        <v>17</v>
      </c>
      <c r="HW3" s="900">
        <v>18</v>
      </c>
      <c r="HX3" s="900">
        <v>19</v>
      </c>
      <c r="HY3" s="900">
        <v>20</v>
      </c>
      <c r="HZ3" s="908">
        <v>21</v>
      </c>
      <c r="IA3" s="900">
        <v>22</v>
      </c>
      <c r="IB3" s="900">
        <v>23</v>
      </c>
      <c r="IC3" s="900">
        <v>24</v>
      </c>
      <c r="ID3" s="900">
        <v>25</v>
      </c>
      <c r="IE3" s="900">
        <v>26</v>
      </c>
      <c r="IF3" s="900">
        <v>27</v>
      </c>
      <c r="IG3" s="908">
        <v>28</v>
      </c>
      <c r="IH3" s="900">
        <v>29</v>
      </c>
      <c r="II3" s="914">
        <v>30</v>
      </c>
      <c r="IJ3" s="899">
        <v>1</v>
      </c>
      <c r="IK3" s="900">
        <v>2</v>
      </c>
      <c r="IL3" s="900">
        <v>3</v>
      </c>
      <c r="IM3" s="900">
        <v>4</v>
      </c>
      <c r="IN3" s="908">
        <v>5</v>
      </c>
      <c r="IO3" s="900">
        <v>6</v>
      </c>
      <c r="IP3" s="900">
        <v>7</v>
      </c>
      <c r="IQ3" s="900">
        <v>8</v>
      </c>
      <c r="IR3" s="900">
        <v>9</v>
      </c>
      <c r="IS3" s="900">
        <v>10</v>
      </c>
      <c r="IT3" s="900">
        <v>11</v>
      </c>
      <c r="IU3" s="908">
        <v>12</v>
      </c>
      <c r="IV3" s="900">
        <v>13</v>
      </c>
      <c r="IW3" s="900">
        <v>14</v>
      </c>
      <c r="IX3" s="900">
        <v>15</v>
      </c>
      <c r="IY3" s="900">
        <v>16</v>
      </c>
      <c r="IZ3" s="900">
        <v>17</v>
      </c>
      <c r="JA3" s="900">
        <v>18</v>
      </c>
      <c r="JB3" s="908">
        <v>19</v>
      </c>
      <c r="JC3" s="900">
        <v>20</v>
      </c>
      <c r="JD3" s="900">
        <v>21</v>
      </c>
      <c r="JE3" s="900">
        <v>22</v>
      </c>
      <c r="JF3" s="900">
        <v>23</v>
      </c>
      <c r="JG3" s="900">
        <v>24</v>
      </c>
      <c r="JH3" s="900">
        <v>25</v>
      </c>
      <c r="JI3" s="908">
        <v>26</v>
      </c>
      <c r="JJ3" s="900">
        <v>27</v>
      </c>
      <c r="JK3" s="900">
        <v>28</v>
      </c>
      <c r="JL3" s="900">
        <v>29</v>
      </c>
      <c r="JM3" s="900">
        <v>30</v>
      </c>
      <c r="JN3" s="914">
        <v>31</v>
      </c>
      <c r="JO3" s="899">
        <v>1</v>
      </c>
      <c r="JP3" s="908">
        <v>2</v>
      </c>
      <c r="JQ3" s="900">
        <v>3</v>
      </c>
      <c r="JR3" s="900">
        <v>4</v>
      </c>
      <c r="JS3" s="900">
        <v>5</v>
      </c>
      <c r="JT3" s="900">
        <v>6</v>
      </c>
      <c r="JU3" s="900">
        <v>7</v>
      </c>
      <c r="JV3" s="900">
        <v>8</v>
      </c>
      <c r="JW3" s="908">
        <v>9</v>
      </c>
      <c r="JX3" s="900">
        <v>10</v>
      </c>
      <c r="JY3" s="900">
        <v>11</v>
      </c>
      <c r="JZ3" s="900">
        <v>12</v>
      </c>
      <c r="KA3" s="900">
        <v>13</v>
      </c>
      <c r="KB3" s="900">
        <v>14</v>
      </c>
      <c r="KC3" s="900">
        <v>15</v>
      </c>
      <c r="KD3" s="908">
        <v>16</v>
      </c>
      <c r="KE3" s="900">
        <v>17</v>
      </c>
      <c r="KF3" s="900">
        <v>18</v>
      </c>
      <c r="KG3" s="900">
        <v>19</v>
      </c>
      <c r="KH3" s="900">
        <v>20</v>
      </c>
      <c r="KI3" s="900">
        <v>21</v>
      </c>
      <c r="KJ3" s="900">
        <v>22</v>
      </c>
      <c r="KK3" s="908">
        <v>23</v>
      </c>
      <c r="KL3" s="900">
        <v>24</v>
      </c>
      <c r="KM3" s="900">
        <v>25</v>
      </c>
      <c r="KN3" s="900">
        <v>26</v>
      </c>
      <c r="KO3" s="900">
        <v>27</v>
      </c>
      <c r="KP3" s="900">
        <v>28</v>
      </c>
      <c r="KQ3" s="900">
        <v>29</v>
      </c>
      <c r="KR3" s="919">
        <v>30</v>
      </c>
      <c r="KS3" s="899">
        <v>1</v>
      </c>
      <c r="KT3" s="900">
        <v>2</v>
      </c>
      <c r="KU3" s="900">
        <v>3</v>
      </c>
      <c r="KV3" s="900">
        <v>4</v>
      </c>
      <c r="KW3" s="900">
        <v>5</v>
      </c>
      <c r="KX3" s="900">
        <v>6</v>
      </c>
      <c r="KY3" s="908">
        <v>7</v>
      </c>
      <c r="KZ3" s="900">
        <v>8</v>
      </c>
      <c r="LA3" s="900">
        <v>9</v>
      </c>
      <c r="LB3" s="900">
        <v>10</v>
      </c>
      <c r="LC3" s="900">
        <v>11</v>
      </c>
      <c r="LD3" s="900">
        <v>12</v>
      </c>
      <c r="LE3" s="900">
        <v>13</v>
      </c>
      <c r="LF3" s="908">
        <v>14</v>
      </c>
      <c r="LG3" s="900">
        <v>15</v>
      </c>
      <c r="LH3" s="900">
        <v>16</v>
      </c>
      <c r="LI3" s="900">
        <v>17</v>
      </c>
      <c r="LJ3" s="900">
        <v>18</v>
      </c>
      <c r="LK3" s="900">
        <v>19</v>
      </c>
      <c r="LL3" s="900">
        <v>20</v>
      </c>
      <c r="LM3" s="908">
        <v>21</v>
      </c>
      <c r="LN3" s="900">
        <v>22</v>
      </c>
      <c r="LO3" s="900">
        <v>23</v>
      </c>
      <c r="LP3" s="900">
        <v>24</v>
      </c>
      <c r="LQ3" s="900">
        <v>25</v>
      </c>
      <c r="LR3" s="900">
        <v>26</v>
      </c>
      <c r="LS3" s="900">
        <v>27</v>
      </c>
      <c r="LT3" s="908">
        <v>28</v>
      </c>
      <c r="LU3" s="900">
        <v>29</v>
      </c>
      <c r="LV3" s="900">
        <v>30</v>
      </c>
      <c r="LW3" s="914">
        <v>31</v>
      </c>
      <c r="LX3" s="900">
        <v>1</v>
      </c>
      <c r="LY3" s="900">
        <v>2</v>
      </c>
      <c r="LZ3" s="900">
        <v>3</v>
      </c>
      <c r="MA3" s="908">
        <v>4</v>
      </c>
      <c r="MB3" s="900">
        <v>5</v>
      </c>
      <c r="MC3" s="900">
        <v>6</v>
      </c>
      <c r="MD3" s="900">
        <v>7</v>
      </c>
      <c r="ME3" s="900">
        <v>8</v>
      </c>
      <c r="MF3" s="900">
        <v>9</v>
      </c>
      <c r="MG3" s="900">
        <v>10</v>
      </c>
      <c r="MH3" s="908">
        <v>11</v>
      </c>
      <c r="MI3" s="900">
        <v>12</v>
      </c>
      <c r="MJ3" s="900">
        <v>13</v>
      </c>
      <c r="MK3" s="900">
        <v>14</v>
      </c>
      <c r="ML3" s="900">
        <v>15</v>
      </c>
      <c r="MM3" s="900">
        <v>16</v>
      </c>
      <c r="MN3" s="900">
        <v>17</v>
      </c>
      <c r="MO3" s="908">
        <v>18</v>
      </c>
      <c r="MP3" s="900">
        <v>19</v>
      </c>
      <c r="MQ3" s="900">
        <v>20</v>
      </c>
      <c r="MR3" s="900">
        <v>21</v>
      </c>
      <c r="MS3" s="900">
        <v>22</v>
      </c>
      <c r="MT3" s="900">
        <v>23</v>
      </c>
      <c r="MU3" s="900">
        <v>24</v>
      </c>
      <c r="MV3" s="908">
        <v>25</v>
      </c>
      <c r="MW3" s="900">
        <v>26</v>
      </c>
      <c r="MX3" s="900">
        <v>27</v>
      </c>
      <c r="MY3" s="900">
        <v>28</v>
      </c>
      <c r="MZ3" s="900">
        <v>29</v>
      </c>
      <c r="NA3" s="900">
        <v>30</v>
      </c>
      <c r="NB3" s="900">
        <v>31</v>
      </c>
      <c r="NC3" s="901"/>
      <c r="ND3" s="1334"/>
      <c r="NE3" s="1334"/>
      <c r="NF3" s="1334"/>
      <c r="NG3" s="1334"/>
      <c r="NH3" s="1334"/>
      <c r="NI3" s="1334"/>
      <c r="NJ3" s="1334"/>
      <c r="NK3" s="1334"/>
      <c r="NL3" s="1334"/>
      <c r="NM3" s="1334"/>
      <c r="NN3" s="1334"/>
      <c r="NO3" s="1334"/>
      <c r="NP3" s="1334"/>
      <c r="NQ3" s="1334"/>
      <c r="NR3" s="1334"/>
      <c r="NS3" s="1334"/>
      <c r="NT3" s="1334"/>
      <c r="NU3" s="1334"/>
      <c r="NV3" s="1334"/>
      <c r="NW3" s="1334"/>
      <c r="NX3" s="1334"/>
      <c r="NY3" s="1334"/>
      <c r="NZ3" s="1334"/>
      <c r="OA3" s="1334"/>
      <c r="OB3" s="1334"/>
      <c r="OC3" s="1334"/>
      <c r="OD3" s="1334"/>
      <c r="OE3" s="1334"/>
      <c r="OF3" s="1334"/>
      <c r="OG3" s="1334"/>
      <c r="OH3" s="1334"/>
      <c r="OI3" s="1334"/>
      <c r="OJ3" s="1334"/>
      <c r="OK3" s="1334"/>
      <c r="OL3" s="1334"/>
      <c r="OM3" s="1334"/>
      <c r="ON3" s="1334"/>
      <c r="OO3" s="1334"/>
      <c r="OP3" s="1334"/>
      <c r="OQ3" s="1334"/>
      <c r="OR3" s="1334"/>
      <c r="OS3" s="1334"/>
      <c r="OT3" s="1334"/>
      <c r="OU3" s="1334"/>
      <c r="OV3" s="1334"/>
      <c r="OW3" s="1334"/>
      <c r="OX3" s="1334"/>
      <c r="OY3" s="1334"/>
      <c r="OZ3" s="1334"/>
      <c r="PA3" s="1334"/>
      <c r="PB3" s="1334"/>
    </row>
    <row r="4" spans="1:1000" s="19" customFormat="1">
      <c r="A4" s="803" t="s">
        <v>8</v>
      </c>
      <c r="B4" s="902" t="s">
        <v>61</v>
      </c>
      <c r="C4" s="907" t="s">
        <v>61</v>
      </c>
      <c r="D4" s="66" t="s">
        <v>61</v>
      </c>
      <c r="E4" s="66"/>
      <c r="F4" s="66" t="s">
        <v>983</v>
      </c>
      <c r="G4" s="66" t="s">
        <v>61</v>
      </c>
      <c r="H4" s="66" t="s">
        <v>61</v>
      </c>
      <c r="I4" s="66" t="s">
        <v>61</v>
      </c>
      <c r="J4" s="926" t="s">
        <v>61</v>
      </c>
      <c r="K4" s="66" t="s">
        <v>61</v>
      </c>
      <c r="L4" s="66" t="s">
        <v>983</v>
      </c>
      <c r="M4" s="66" t="s">
        <v>61</v>
      </c>
      <c r="N4" s="66" t="s">
        <v>983</v>
      </c>
      <c r="O4" s="66" t="s">
        <v>61</v>
      </c>
      <c r="P4" s="66" t="s">
        <v>61</v>
      </c>
      <c r="Q4" s="909"/>
      <c r="R4" s="66" t="s">
        <v>983</v>
      </c>
      <c r="S4" s="66" t="s">
        <v>61</v>
      </c>
      <c r="T4" s="66" t="s">
        <v>61</v>
      </c>
      <c r="U4" s="66" t="s">
        <v>61</v>
      </c>
      <c r="V4" s="66" t="s">
        <v>61</v>
      </c>
      <c r="W4" s="66" t="s">
        <v>983</v>
      </c>
      <c r="X4" s="909" t="s">
        <v>61</v>
      </c>
      <c r="Y4" s="66" t="s">
        <v>61</v>
      </c>
      <c r="Z4" s="66" t="s">
        <v>61</v>
      </c>
      <c r="AA4" s="66" t="s">
        <v>61</v>
      </c>
      <c r="AB4" s="66" t="s">
        <v>61</v>
      </c>
      <c r="AC4" s="915"/>
      <c r="AD4" s="924">
        <v>180</v>
      </c>
      <c r="AE4" s="922">
        <v>180</v>
      </c>
      <c r="AF4" s="67">
        <v>180</v>
      </c>
      <c r="AG4" s="66" t="s">
        <v>983</v>
      </c>
      <c r="AH4" s="66" t="s">
        <v>61</v>
      </c>
      <c r="AI4" s="66" t="s">
        <v>61</v>
      </c>
      <c r="AJ4" s="66" t="s">
        <v>61</v>
      </c>
      <c r="AK4" s="66" t="s">
        <v>983</v>
      </c>
      <c r="AL4" s="909" t="s">
        <v>61</v>
      </c>
      <c r="AM4" s="66" t="s">
        <v>61</v>
      </c>
      <c r="AN4" s="66" t="s">
        <v>61</v>
      </c>
      <c r="AO4" s="66" t="s">
        <v>61</v>
      </c>
      <c r="AP4" s="66" t="s">
        <v>61</v>
      </c>
      <c r="AQ4" s="66" t="s">
        <v>983</v>
      </c>
      <c r="AR4" s="66" t="s">
        <v>61</v>
      </c>
      <c r="AS4" s="909" t="s">
        <v>61</v>
      </c>
      <c r="AT4" s="66" t="s">
        <v>983</v>
      </c>
      <c r="AU4" s="66" t="s">
        <v>61</v>
      </c>
      <c r="AV4" s="66" t="s">
        <v>61</v>
      </c>
      <c r="AW4" s="66" t="s">
        <v>61</v>
      </c>
      <c r="AX4" s="66" t="s">
        <v>61</v>
      </c>
      <c r="AY4" s="66" t="s">
        <v>61</v>
      </c>
      <c r="AZ4" s="909" t="s">
        <v>61</v>
      </c>
      <c r="BA4" s="67">
        <v>231</v>
      </c>
      <c r="BB4" s="67">
        <v>233</v>
      </c>
      <c r="BC4" s="66" t="s">
        <v>983</v>
      </c>
      <c r="BD4" s="66" t="s">
        <v>61</v>
      </c>
      <c r="BE4" s="66" t="s">
        <v>61</v>
      </c>
      <c r="BF4" s="66" t="s">
        <v>61</v>
      </c>
      <c r="BG4" s="909" t="s">
        <v>61</v>
      </c>
      <c r="BH4" s="915" t="s">
        <v>61</v>
      </c>
      <c r="BI4" s="902" t="s">
        <v>61</v>
      </c>
      <c r="BJ4" s="66" t="s">
        <v>61</v>
      </c>
      <c r="BK4" s="67">
        <v>335</v>
      </c>
      <c r="BL4" s="67">
        <v>328</v>
      </c>
      <c r="BM4" s="66" t="s">
        <v>983</v>
      </c>
      <c r="BN4" s="909" t="s">
        <v>61</v>
      </c>
      <c r="BO4" s="66" t="s">
        <v>61</v>
      </c>
      <c r="BP4" s="66" t="s">
        <v>61</v>
      </c>
      <c r="BQ4" s="66" t="s">
        <v>61</v>
      </c>
      <c r="BR4" s="66" t="s">
        <v>983</v>
      </c>
      <c r="BS4" s="66" t="s">
        <v>61</v>
      </c>
      <c r="BT4" s="66" t="s">
        <v>61</v>
      </c>
      <c r="BU4" s="909" t="s">
        <v>983</v>
      </c>
      <c r="BV4" s="66" t="s">
        <v>61</v>
      </c>
      <c r="BW4" s="66" t="s">
        <v>61</v>
      </c>
      <c r="BX4" s="66" t="s">
        <v>983</v>
      </c>
      <c r="BY4" s="66" t="s">
        <v>61</v>
      </c>
      <c r="BZ4" s="66" t="s">
        <v>61</v>
      </c>
      <c r="CA4" s="67">
        <v>267</v>
      </c>
      <c r="CB4" s="922">
        <v>260</v>
      </c>
      <c r="CC4" s="67">
        <v>268</v>
      </c>
      <c r="CD4" s="66" t="s">
        <v>983</v>
      </c>
      <c r="CE4" s="66" t="s">
        <v>61</v>
      </c>
      <c r="CF4" s="66" t="s">
        <v>61</v>
      </c>
      <c r="CG4" s="66" t="s">
        <v>61</v>
      </c>
      <c r="CH4" s="67">
        <v>259</v>
      </c>
      <c r="CI4" s="922">
        <v>260</v>
      </c>
      <c r="CJ4" s="67">
        <v>270</v>
      </c>
      <c r="CK4" s="66" t="s">
        <v>983</v>
      </c>
      <c r="CL4" s="915" t="s">
        <v>61</v>
      </c>
      <c r="CM4" s="902" t="s">
        <v>61</v>
      </c>
      <c r="CN4" s="66" t="s">
        <v>983</v>
      </c>
      <c r="CO4" s="66" t="s">
        <v>61</v>
      </c>
      <c r="CP4" s="909" t="s">
        <v>61</v>
      </c>
      <c r="CQ4" s="66" t="s">
        <v>61</v>
      </c>
      <c r="CR4" s="67">
        <v>385</v>
      </c>
      <c r="CS4" s="67">
        <v>396</v>
      </c>
      <c r="CT4" s="67">
        <v>396</v>
      </c>
      <c r="CU4" s="67">
        <v>387</v>
      </c>
      <c r="CV4" s="67">
        <v>368</v>
      </c>
      <c r="CW4" s="909" t="s">
        <v>983</v>
      </c>
      <c r="CX4" s="66" t="s">
        <v>61</v>
      </c>
      <c r="CY4" s="66" t="s">
        <v>61</v>
      </c>
      <c r="CZ4" s="66" t="s">
        <v>61</v>
      </c>
      <c r="DA4" s="66" t="s">
        <v>61</v>
      </c>
      <c r="DB4" s="66" t="s">
        <v>61</v>
      </c>
      <c r="DC4" s="67">
        <v>300</v>
      </c>
      <c r="DD4" s="909" t="s">
        <v>983</v>
      </c>
      <c r="DE4" s="66" t="s">
        <v>61</v>
      </c>
      <c r="DF4" s="66" t="s">
        <v>61</v>
      </c>
      <c r="DG4" s="67">
        <v>381</v>
      </c>
      <c r="DH4" s="67">
        <v>394</v>
      </c>
      <c r="DI4" s="67">
        <v>396</v>
      </c>
      <c r="DJ4" s="66" t="s">
        <v>983</v>
      </c>
      <c r="DK4" s="909" t="s">
        <v>61</v>
      </c>
      <c r="DL4" s="66" t="s">
        <v>61</v>
      </c>
      <c r="DM4" s="66" t="s">
        <v>61</v>
      </c>
      <c r="DN4" s="66" t="s">
        <v>983</v>
      </c>
      <c r="DO4" s="66" t="s">
        <v>61</v>
      </c>
      <c r="DP4" s="66" t="s">
        <v>61</v>
      </c>
      <c r="DQ4" s="915" t="s">
        <v>61</v>
      </c>
      <c r="DR4" s="924">
        <v>371</v>
      </c>
      <c r="DS4" s="66" t="s">
        <v>983</v>
      </c>
      <c r="DT4" s="66" t="s">
        <v>61</v>
      </c>
      <c r="DU4" s="66" t="s">
        <v>61</v>
      </c>
      <c r="DV4" s="66" t="s">
        <v>983</v>
      </c>
      <c r="DW4" s="66" t="s">
        <v>61</v>
      </c>
      <c r="DX4" s="66" t="s">
        <v>61</v>
      </c>
      <c r="DY4" s="909" t="s">
        <v>61</v>
      </c>
      <c r="DZ4" s="66" t="s">
        <v>61</v>
      </c>
      <c r="EA4" s="67">
        <v>339</v>
      </c>
      <c r="EB4" s="66" t="s">
        <v>983</v>
      </c>
      <c r="EC4" s="66" t="s">
        <v>61</v>
      </c>
      <c r="ED4" s="66" t="s">
        <v>61</v>
      </c>
      <c r="EE4" s="67">
        <v>414</v>
      </c>
      <c r="EF4" s="922">
        <v>414</v>
      </c>
      <c r="EG4" s="67">
        <v>414</v>
      </c>
      <c r="EH4" s="67">
        <v>414</v>
      </c>
      <c r="EI4" s="66" t="s">
        <v>983</v>
      </c>
      <c r="EJ4" s="66" t="s">
        <v>61</v>
      </c>
      <c r="EK4" s="66" t="s">
        <v>61</v>
      </c>
      <c r="EL4" s="66" t="s">
        <v>61</v>
      </c>
      <c r="EM4" s="909" t="s">
        <v>61</v>
      </c>
      <c r="EN4" s="66" t="s">
        <v>61</v>
      </c>
      <c r="EO4" s="67">
        <v>354</v>
      </c>
      <c r="EP4" s="67">
        <v>407</v>
      </c>
      <c r="EQ4" s="66"/>
      <c r="ER4" s="66"/>
      <c r="ES4" s="67">
        <v>403</v>
      </c>
      <c r="ET4" s="909" t="s">
        <v>983</v>
      </c>
      <c r="EU4" s="915" t="s">
        <v>61</v>
      </c>
      <c r="EV4" s="902" t="s">
        <v>61</v>
      </c>
      <c r="EW4" s="66" t="s">
        <v>983</v>
      </c>
      <c r="EX4" s="66" t="s">
        <v>61</v>
      </c>
      <c r="EY4" s="66" t="s">
        <v>61</v>
      </c>
      <c r="EZ4" s="67">
        <v>328</v>
      </c>
      <c r="FA4" s="909" t="s">
        <v>983</v>
      </c>
      <c r="FB4" s="66" t="s">
        <v>61</v>
      </c>
      <c r="FC4" s="66" t="s">
        <v>61</v>
      </c>
      <c r="FD4" s="66" t="s">
        <v>61</v>
      </c>
      <c r="FE4" s="66" t="s">
        <v>983</v>
      </c>
      <c r="FF4" s="66" t="s">
        <v>61</v>
      </c>
      <c r="FG4" s="66" t="s">
        <v>61</v>
      </c>
      <c r="FH4" s="909" t="s">
        <v>61</v>
      </c>
      <c r="FI4" s="66" t="s">
        <v>61</v>
      </c>
      <c r="FJ4" s="67">
        <v>392</v>
      </c>
      <c r="FK4" s="67">
        <v>405</v>
      </c>
      <c r="FL4" s="67">
        <v>405</v>
      </c>
      <c r="FM4" s="67">
        <v>405</v>
      </c>
      <c r="FN4" s="67">
        <v>405</v>
      </c>
      <c r="FO4" s="909" t="s">
        <v>983</v>
      </c>
      <c r="FP4" s="66" t="s">
        <v>61</v>
      </c>
      <c r="FQ4" s="66" t="s">
        <v>61</v>
      </c>
      <c r="FR4" s="66" t="s">
        <v>61</v>
      </c>
      <c r="FS4" s="66" t="s">
        <v>61</v>
      </c>
      <c r="FT4" s="67">
        <v>405</v>
      </c>
      <c r="FU4" s="67">
        <v>405</v>
      </c>
      <c r="FV4" s="922">
        <v>405</v>
      </c>
      <c r="FW4" s="67">
        <v>367</v>
      </c>
      <c r="FX4" s="67">
        <v>379</v>
      </c>
      <c r="FY4" s="67">
        <v>369</v>
      </c>
      <c r="FZ4" s="923">
        <v>370</v>
      </c>
      <c r="GA4" s="924">
        <v>380</v>
      </c>
      <c r="GB4" s="67">
        <v>377</v>
      </c>
      <c r="GC4" s="922">
        <v>405</v>
      </c>
      <c r="GD4" s="67">
        <v>389</v>
      </c>
      <c r="GE4" s="67">
        <v>370</v>
      </c>
      <c r="GF4" s="67">
        <v>383</v>
      </c>
      <c r="GG4" s="67">
        <v>368</v>
      </c>
      <c r="GH4" s="67">
        <v>366</v>
      </c>
      <c r="GI4" s="67">
        <v>344</v>
      </c>
      <c r="GJ4" s="922">
        <v>343</v>
      </c>
      <c r="GK4" s="67">
        <v>348</v>
      </c>
      <c r="GL4" s="66" t="s">
        <v>983</v>
      </c>
      <c r="GM4" s="66" t="s">
        <v>61</v>
      </c>
      <c r="GN4" s="66" t="s">
        <v>61</v>
      </c>
      <c r="GO4" s="67">
        <v>365</v>
      </c>
      <c r="GP4" s="67">
        <v>340</v>
      </c>
      <c r="GQ4" s="922">
        <v>346</v>
      </c>
      <c r="GR4" s="67">
        <v>354</v>
      </c>
      <c r="GS4" s="67">
        <v>351</v>
      </c>
      <c r="GT4" s="67">
        <v>361</v>
      </c>
      <c r="GU4" s="67">
        <v>362</v>
      </c>
      <c r="GV4" s="67">
        <v>380</v>
      </c>
      <c r="GW4" s="67">
        <v>375</v>
      </c>
      <c r="GX4" s="922">
        <v>382</v>
      </c>
      <c r="GY4" s="67">
        <v>363</v>
      </c>
      <c r="GZ4" s="67">
        <v>376</v>
      </c>
      <c r="HA4" s="67">
        <v>387</v>
      </c>
      <c r="HB4" s="67">
        <v>400</v>
      </c>
      <c r="HC4" s="67">
        <v>397</v>
      </c>
      <c r="HD4" s="67">
        <v>405</v>
      </c>
      <c r="HE4" s="925">
        <v>405</v>
      </c>
      <c r="HF4" s="924">
        <v>360</v>
      </c>
      <c r="HG4" s="67">
        <v>360</v>
      </c>
      <c r="HH4" s="67">
        <v>360</v>
      </c>
      <c r="HI4" s="67">
        <v>360</v>
      </c>
      <c r="HJ4" s="67">
        <v>360</v>
      </c>
      <c r="HK4" s="67">
        <v>360</v>
      </c>
      <c r="HL4" s="909" t="s">
        <v>983</v>
      </c>
      <c r="HM4" s="66" t="s">
        <v>61</v>
      </c>
      <c r="HN4" s="66" t="s">
        <v>61</v>
      </c>
      <c r="HO4" s="66" t="s">
        <v>61</v>
      </c>
      <c r="HP4" s="66" t="s">
        <v>61</v>
      </c>
      <c r="HQ4" s="67">
        <v>360</v>
      </c>
      <c r="HR4" s="67">
        <v>360</v>
      </c>
      <c r="HS4" s="922">
        <v>360</v>
      </c>
      <c r="HT4" s="67">
        <v>360</v>
      </c>
      <c r="HU4" s="67">
        <v>360</v>
      </c>
      <c r="HV4" s="67">
        <v>360</v>
      </c>
      <c r="HW4" s="67">
        <v>360</v>
      </c>
      <c r="HX4" s="67">
        <v>360</v>
      </c>
      <c r="HY4" s="67">
        <v>360</v>
      </c>
      <c r="HZ4" s="922">
        <v>360</v>
      </c>
      <c r="IA4" s="67">
        <v>360</v>
      </c>
      <c r="IB4" s="67">
        <v>360</v>
      </c>
      <c r="IC4" s="67">
        <v>360</v>
      </c>
      <c r="ID4" s="67">
        <v>360</v>
      </c>
      <c r="IE4" s="67">
        <v>360</v>
      </c>
      <c r="IF4" s="67">
        <v>360</v>
      </c>
      <c r="IG4" s="922">
        <v>360</v>
      </c>
      <c r="IH4" s="67">
        <v>360</v>
      </c>
      <c r="II4" s="923">
        <v>360</v>
      </c>
      <c r="IJ4" s="924">
        <v>360</v>
      </c>
      <c r="IK4" s="67">
        <v>360</v>
      </c>
      <c r="IL4" s="67">
        <v>360</v>
      </c>
      <c r="IM4" s="67">
        <v>360</v>
      </c>
      <c r="IN4" s="922">
        <v>360</v>
      </c>
      <c r="IO4" s="67">
        <v>360</v>
      </c>
      <c r="IP4" s="67">
        <v>360</v>
      </c>
      <c r="IQ4" s="67">
        <v>360</v>
      </c>
      <c r="IR4" s="67">
        <v>360</v>
      </c>
      <c r="IS4" s="67">
        <v>360</v>
      </c>
      <c r="IT4" s="67">
        <v>360</v>
      </c>
      <c r="IU4" s="922">
        <v>360</v>
      </c>
      <c r="IV4" s="67">
        <v>360</v>
      </c>
      <c r="IW4" s="67">
        <v>360</v>
      </c>
      <c r="IX4" s="67">
        <v>360</v>
      </c>
      <c r="IY4" s="67">
        <v>360</v>
      </c>
      <c r="IZ4" s="67">
        <v>360</v>
      </c>
      <c r="JA4" s="67">
        <v>360</v>
      </c>
      <c r="JB4" s="922">
        <v>360</v>
      </c>
      <c r="JC4" s="67">
        <v>360</v>
      </c>
      <c r="JD4" s="67">
        <v>360</v>
      </c>
      <c r="JE4" s="67">
        <v>360</v>
      </c>
      <c r="JF4" s="67">
        <v>360</v>
      </c>
      <c r="JG4" s="67">
        <v>360</v>
      </c>
      <c r="JH4" s="67">
        <v>360</v>
      </c>
      <c r="JI4" s="922">
        <v>360</v>
      </c>
      <c r="JJ4" s="67">
        <v>360</v>
      </c>
      <c r="JK4" s="67">
        <v>360</v>
      </c>
      <c r="JL4" s="67">
        <v>360</v>
      </c>
      <c r="JM4" s="67">
        <v>360</v>
      </c>
      <c r="JN4" s="923">
        <v>360</v>
      </c>
      <c r="JO4" s="924">
        <v>288</v>
      </c>
      <c r="JP4" s="922">
        <v>288</v>
      </c>
      <c r="JQ4" s="67">
        <v>288</v>
      </c>
      <c r="JR4" s="67">
        <v>288</v>
      </c>
      <c r="JS4" s="67">
        <v>288</v>
      </c>
      <c r="JT4" s="67">
        <v>288</v>
      </c>
      <c r="JU4" s="67">
        <v>288</v>
      </c>
      <c r="JV4" s="67">
        <v>288</v>
      </c>
      <c r="JW4" s="922">
        <v>288</v>
      </c>
      <c r="JX4" s="67">
        <v>288</v>
      </c>
      <c r="JY4" s="67">
        <v>288</v>
      </c>
      <c r="JZ4" s="67">
        <v>288</v>
      </c>
      <c r="KA4" s="67">
        <v>288</v>
      </c>
      <c r="KB4" s="67">
        <v>288</v>
      </c>
      <c r="KC4" s="67">
        <v>288</v>
      </c>
      <c r="KD4" s="922">
        <v>288</v>
      </c>
      <c r="KE4" s="67">
        <v>288</v>
      </c>
      <c r="KF4" s="67">
        <v>288</v>
      </c>
      <c r="KG4" s="67">
        <v>288</v>
      </c>
      <c r="KH4" s="67">
        <v>288</v>
      </c>
      <c r="KI4" s="67">
        <v>288</v>
      </c>
      <c r="KJ4" s="67">
        <v>288</v>
      </c>
      <c r="KK4" s="922">
        <v>288</v>
      </c>
      <c r="KL4" s="67">
        <v>288</v>
      </c>
      <c r="KM4" s="67">
        <v>288</v>
      </c>
      <c r="KN4" s="67">
        <v>288</v>
      </c>
      <c r="KO4" s="67">
        <v>288</v>
      </c>
      <c r="KP4" s="67">
        <v>288</v>
      </c>
      <c r="KQ4" s="67">
        <v>288</v>
      </c>
      <c r="KR4" s="925">
        <v>288</v>
      </c>
      <c r="KS4" s="924">
        <v>306</v>
      </c>
      <c r="KT4" s="67">
        <v>306</v>
      </c>
      <c r="KU4" s="67">
        <v>306</v>
      </c>
      <c r="KV4" s="67">
        <v>306</v>
      </c>
      <c r="KW4" s="67">
        <v>306</v>
      </c>
      <c r="KX4" s="67">
        <v>306</v>
      </c>
      <c r="KY4" s="922">
        <v>306</v>
      </c>
      <c r="KZ4" s="67">
        <v>306</v>
      </c>
      <c r="LA4" s="67">
        <v>306</v>
      </c>
      <c r="LB4" s="67">
        <v>306</v>
      </c>
      <c r="LC4" s="67">
        <v>306</v>
      </c>
      <c r="LD4" s="67">
        <v>306</v>
      </c>
      <c r="LE4" s="67">
        <v>306</v>
      </c>
      <c r="LF4" s="922">
        <v>306</v>
      </c>
      <c r="LG4" s="67">
        <v>306</v>
      </c>
      <c r="LH4" s="67">
        <v>306</v>
      </c>
      <c r="LI4" s="67">
        <v>306</v>
      </c>
      <c r="LJ4" s="67">
        <v>306</v>
      </c>
      <c r="LK4" s="67">
        <v>306</v>
      </c>
      <c r="LL4" s="67">
        <v>306</v>
      </c>
      <c r="LM4" s="922">
        <v>306</v>
      </c>
      <c r="LN4" s="67">
        <v>306</v>
      </c>
      <c r="LO4" s="67">
        <v>306</v>
      </c>
      <c r="LP4" s="67">
        <v>306</v>
      </c>
      <c r="LQ4" s="67">
        <v>306</v>
      </c>
      <c r="LR4" s="67">
        <v>306</v>
      </c>
      <c r="LS4" s="66" t="s">
        <v>983</v>
      </c>
      <c r="LT4" s="909" t="s">
        <v>61</v>
      </c>
      <c r="LU4" s="66" t="s">
        <v>61</v>
      </c>
      <c r="LV4" s="66" t="s">
        <v>61</v>
      </c>
      <c r="LW4" s="915" t="s">
        <v>61</v>
      </c>
      <c r="LX4" s="67">
        <v>324</v>
      </c>
      <c r="LY4" s="67">
        <v>324</v>
      </c>
      <c r="LZ4" s="67">
        <v>324</v>
      </c>
      <c r="MA4" s="922">
        <v>324</v>
      </c>
      <c r="MB4" s="67">
        <v>324</v>
      </c>
      <c r="MC4" s="67">
        <v>324</v>
      </c>
      <c r="MD4" s="67">
        <v>324</v>
      </c>
      <c r="ME4" s="67">
        <v>324</v>
      </c>
      <c r="MF4" s="67">
        <v>324</v>
      </c>
      <c r="MG4" s="67">
        <v>324</v>
      </c>
      <c r="MH4" s="922">
        <v>324</v>
      </c>
      <c r="MI4" s="67">
        <v>324</v>
      </c>
      <c r="MJ4" s="67">
        <v>324</v>
      </c>
      <c r="MK4" s="67">
        <v>324</v>
      </c>
      <c r="ML4" s="67">
        <v>324</v>
      </c>
      <c r="MM4" s="67">
        <v>324</v>
      </c>
      <c r="MN4" s="67">
        <v>324</v>
      </c>
      <c r="MO4" s="922">
        <v>324</v>
      </c>
      <c r="MP4" s="67">
        <v>324</v>
      </c>
      <c r="MQ4" s="67">
        <v>324</v>
      </c>
      <c r="MR4" s="67">
        <v>324</v>
      </c>
      <c r="MS4" s="67">
        <v>324</v>
      </c>
      <c r="MT4" s="67">
        <v>324</v>
      </c>
      <c r="MU4" s="67">
        <v>324</v>
      </c>
      <c r="MV4" s="922">
        <v>324</v>
      </c>
      <c r="MW4" s="67">
        <v>324</v>
      </c>
      <c r="MX4" s="67">
        <v>324</v>
      </c>
      <c r="MY4" s="67">
        <v>324</v>
      </c>
      <c r="MZ4" s="67">
        <v>324</v>
      </c>
      <c r="NA4" s="67">
        <v>324</v>
      </c>
      <c r="NB4" s="67">
        <v>324</v>
      </c>
      <c r="NC4" s="903"/>
      <c r="ND4" s="31"/>
      <c r="NE4" s="15"/>
      <c r="NF4" s="15"/>
      <c r="NG4" s="15"/>
      <c r="NH4" s="15"/>
      <c r="NI4" s="15"/>
      <c r="NJ4" s="15"/>
      <c r="NK4" s="15"/>
      <c r="NL4" s="15"/>
      <c r="NM4" s="15"/>
      <c r="NN4" s="15"/>
      <c r="NO4" s="15"/>
      <c r="NP4" s="15"/>
      <c r="NQ4" s="15"/>
      <c r="NR4" s="15"/>
      <c r="NS4" s="15"/>
      <c r="NT4" s="15"/>
      <c r="NU4" s="15"/>
      <c r="NV4" s="15"/>
      <c r="NW4" s="15"/>
      <c r="NX4" s="15"/>
      <c r="NY4" s="15"/>
      <c r="NZ4" s="15"/>
      <c r="OA4" s="15"/>
      <c r="OB4" s="15"/>
      <c r="OC4" s="15"/>
      <c r="OD4" s="15"/>
      <c r="OE4" s="15"/>
      <c r="OF4" s="15"/>
      <c r="OG4" s="15"/>
      <c r="OH4" s="15"/>
      <c r="OI4" s="15"/>
      <c r="OJ4" s="15"/>
      <c r="OK4" s="15"/>
      <c r="OL4" s="15"/>
      <c r="OM4" s="15"/>
      <c r="ON4" s="15"/>
      <c r="OO4" s="15"/>
      <c r="OP4" s="15"/>
      <c r="OQ4" s="15"/>
      <c r="OR4" s="15"/>
      <c r="OS4" s="15"/>
      <c r="OT4" s="15"/>
      <c r="OU4" s="15"/>
      <c r="OV4" s="15"/>
      <c r="OW4" s="15"/>
      <c r="OX4" s="15"/>
      <c r="OY4" s="15"/>
      <c r="OZ4" s="15"/>
      <c r="PA4" s="17"/>
      <c r="PB4" s="17"/>
      <c r="PC4" s="17"/>
      <c r="PD4" s="17"/>
      <c r="PE4" s="17"/>
      <c r="PF4" s="17"/>
      <c r="PG4" s="17"/>
      <c r="PH4" s="17"/>
      <c r="PI4" s="17"/>
      <c r="PJ4" s="17"/>
      <c r="PK4" s="17"/>
      <c r="PL4" s="17"/>
      <c r="PM4" s="17"/>
      <c r="PN4" s="17"/>
      <c r="PO4" s="17"/>
      <c r="PP4" s="17"/>
      <c r="PQ4" s="17"/>
      <c r="PR4" s="17"/>
      <c r="PS4" s="17"/>
      <c r="PT4" s="17"/>
      <c r="PU4" s="17"/>
      <c r="PV4" s="17"/>
      <c r="PW4" s="17"/>
      <c r="PX4" s="17"/>
      <c r="PY4" s="17"/>
      <c r="PZ4" s="17"/>
      <c r="QA4" s="17"/>
      <c r="QB4" s="17"/>
      <c r="QC4" s="17"/>
      <c r="QD4" s="17"/>
      <c r="QE4" s="17"/>
      <c r="QF4" s="17"/>
      <c r="QG4" s="17"/>
      <c r="QH4" s="17"/>
      <c r="QI4" s="17"/>
      <c r="QJ4" s="17"/>
      <c r="QK4" s="17"/>
      <c r="QL4" s="17"/>
      <c r="QM4" s="17"/>
      <c r="QN4" s="17"/>
      <c r="QO4" s="17"/>
      <c r="QP4" s="17"/>
      <c r="QQ4" s="17"/>
      <c r="QR4" s="17"/>
      <c r="QS4" s="17"/>
      <c r="QT4" s="17"/>
      <c r="QU4" s="17"/>
      <c r="QV4" s="17"/>
      <c r="QW4" s="17"/>
      <c r="QX4" s="17"/>
      <c r="QY4" s="17"/>
      <c r="QZ4" s="17"/>
      <c r="RA4" s="17"/>
      <c r="RB4" s="17"/>
      <c r="RC4" s="17"/>
      <c r="RD4" s="17"/>
      <c r="RE4" s="17"/>
      <c r="RF4" s="17"/>
      <c r="RG4" s="17"/>
      <c r="RH4" s="17"/>
      <c r="RI4" s="17"/>
      <c r="RJ4" s="17"/>
      <c r="RK4" s="17"/>
      <c r="RL4" s="17"/>
      <c r="RM4" s="17"/>
      <c r="RN4" s="17"/>
      <c r="RO4" s="17"/>
      <c r="RP4" s="17"/>
      <c r="RQ4" s="17"/>
      <c r="RR4" s="17"/>
      <c r="RS4" s="17"/>
      <c r="RT4" s="17"/>
      <c r="RU4" s="17"/>
      <c r="RV4" s="17"/>
      <c r="RW4" s="17"/>
      <c r="RX4" s="17"/>
      <c r="RY4" s="17"/>
      <c r="RZ4" s="17"/>
      <c r="SA4" s="17"/>
      <c r="SB4" s="17"/>
      <c r="SC4" s="17"/>
      <c r="SD4" s="17"/>
      <c r="SE4" s="17"/>
      <c r="SF4" s="17"/>
      <c r="SG4" s="17"/>
      <c r="SH4" s="17"/>
      <c r="SI4" s="17"/>
      <c r="SJ4" s="17"/>
      <c r="SK4" s="17"/>
      <c r="SL4" s="17"/>
      <c r="SM4" s="17"/>
      <c r="SN4" s="17"/>
      <c r="SO4" s="17"/>
      <c r="SP4" s="17"/>
      <c r="SQ4" s="17"/>
      <c r="SR4" s="17"/>
      <c r="SS4" s="17"/>
      <c r="ST4" s="17"/>
      <c r="SU4" s="17"/>
      <c r="SV4" s="17"/>
      <c r="SW4" s="17"/>
      <c r="SX4" s="17"/>
      <c r="SY4" s="17"/>
      <c r="SZ4" s="17"/>
      <c r="TA4" s="17"/>
      <c r="TB4" s="17"/>
      <c r="TC4" s="17"/>
      <c r="TD4" s="17"/>
      <c r="TE4" s="17"/>
      <c r="TF4" s="17"/>
      <c r="TG4" s="17"/>
      <c r="TH4" s="17"/>
      <c r="TI4" s="17"/>
      <c r="TJ4" s="17"/>
      <c r="TK4" s="17"/>
      <c r="TL4" s="17"/>
      <c r="TM4" s="17"/>
      <c r="TN4" s="17"/>
      <c r="TO4" s="17"/>
      <c r="TP4" s="17"/>
      <c r="TQ4" s="17"/>
      <c r="TR4" s="17"/>
      <c r="TS4" s="17"/>
      <c r="TT4" s="17"/>
      <c r="TU4" s="17"/>
      <c r="TV4" s="17"/>
      <c r="TW4" s="17"/>
      <c r="TX4" s="17"/>
      <c r="TY4" s="17"/>
      <c r="TZ4" s="17"/>
      <c r="UA4" s="17"/>
      <c r="UB4" s="17"/>
      <c r="UC4" s="17"/>
      <c r="UD4" s="17"/>
      <c r="UE4" s="17"/>
      <c r="UF4" s="17"/>
      <c r="UG4" s="17"/>
      <c r="UH4" s="17"/>
      <c r="UI4" s="17"/>
      <c r="UJ4" s="17"/>
      <c r="UK4" s="17"/>
      <c r="UL4" s="17"/>
      <c r="UM4" s="17"/>
      <c r="UN4" s="17"/>
      <c r="UO4" s="17"/>
      <c r="UP4" s="17"/>
      <c r="UQ4" s="17"/>
      <c r="UR4" s="17"/>
      <c r="US4" s="17"/>
      <c r="UT4" s="17"/>
      <c r="UU4" s="17"/>
      <c r="UV4" s="17"/>
      <c r="UW4" s="17"/>
      <c r="UX4" s="17"/>
      <c r="UY4" s="17"/>
      <c r="UZ4" s="17"/>
      <c r="VA4" s="17"/>
      <c r="VB4" s="17"/>
      <c r="VC4" s="17"/>
      <c r="VD4" s="17"/>
      <c r="VE4" s="17"/>
      <c r="VF4" s="17"/>
      <c r="VG4" s="17"/>
      <c r="VH4" s="17"/>
      <c r="VI4" s="17"/>
      <c r="VJ4" s="17"/>
      <c r="VK4" s="17"/>
      <c r="VL4" s="17"/>
      <c r="VM4" s="17"/>
      <c r="VN4" s="17"/>
      <c r="VO4" s="17"/>
      <c r="VP4" s="17"/>
      <c r="VQ4" s="17"/>
      <c r="VR4" s="17"/>
      <c r="VS4" s="17"/>
      <c r="VT4" s="17"/>
      <c r="VU4" s="17"/>
      <c r="VV4" s="17"/>
      <c r="VW4" s="17"/>
      <c r="VX4" s="17"/>
      <c r="VY4" s="17"/>
      <c r="VZ4" s="17"/>
      <c r="WA4" s="17"/>
      <c r="WB4" s="17"/>
      <c r="WC4" s="17"/>
      <c r="WD4" s="17"/>
      <c r="WE4" s="17"/>
      <c r="WF4" s="17"/>
      <c r="WG4" s="17"/>
      <c r="WH4" s="17"/>
      <c r="WI4" s="17"/>
      <c r="WJ4" s="17"/>
      <c r="WK4" s="17"/>
      <c r="WL4" s="17"/>
      <c r="WM4" s="17"/>
      <c r="WN4" s="17"/>
      <c r="WO4" s="17"/>
      <c r="WP4" s="17"/>
      <c r="WQ4" s="17"/>
      <c r="WR4" s="17"/>
      <c r="WS4" s="17"/>
      <c r="WT4" s="17"/>
      <c r="WU4" s="17"/>
      <c r="WV4" s="17"/>
      <c r="WW4" s="17"/>
      <c r="WX4" s="17"/>
      <c r="WY4" s="17"/>
      <c r="WZ4" s="17"/>
      <c r="XA4" s="17"/>
      <c r="XB4" s="17"/>
      <c r="XC4" s="17"/>
      <c r="XD4" s="17"/>
      <c r="XE4" s="17"/>
      <c r="XF4" s="17"/>
      <c r="XG4" s="17"/>
      <c r="XH4" s="17"/>
      <c r="XI4" s="17"/>
      <c r="XJ4" s="17"/>
      <c r="XK4" s="17"/>
      <c r="XL4" s="17"/>
      <c r="XM4" s="17"/>
      <c r="XN4" s="17"/>
      <c r="XO4" s="17"/>
      <c r="XP4" s="17"/>
      <c r="XQ4" s="17"/>
      <c r="XR4" s="17"/>
      <c r="XS4" s="17"/>
      <c r="XT4" s="17"/>
      <c r="XU4" s="17"/>
      <c r="XV4" s="17"/>
      <c r="XW4" s="17"/>
      <c r="XX4" s="17"/>
      <c r="XY4" s="17"/>
      <c r="XZ4" s="17"/>
      <c r="YA4" s="17"/>
      <c r="YB4" s="17"/>
      <c r="YC4" s="17"/>
      <c r="YD4" s="17"/>
      <c r="YE4" s="17"/>
      <c r="YF4" s="17"/>
      <c r="YG4" s="17"/>
      <c r="YH4" s="17"/>
      <c r="YI4" s="17"/>
      <c r="YJ4" s="17"/>
      <c r="YK4" s="17"/>
      <c r="YL4" s="17"/>
      <c r="YM4" s="17"/>
      <c r="YN4" s="17"/>
      <c r="YO4" s="17"/>
      <c r="YP4" s="17"/>
      <c r="YQ4" s="17"/>
      <c r="YR4" s="17"/>
      <c r="YS4" s="17"/>
      <c r="YT4" s="17"/>
      <c r="YU4" s="17"/>
      <c r="YV4" s="17"/>
      <c r="YW4" s="17"/>
      <c r="YX4" s="17"/>
      <c r="YY4" s="17"/>
      <c r="YZ4" s="17"/>
      <c r="ZA4" s="17"/>
      <c r="ZB4" s="17"/>
      <c r="ZC4" s="17"/>
      <c r="ZD4" s="17"/>
      <c r="ZE4" s="17"/>
      <c r="ZF4" s="17"/>
      <c r="ZG4" s="17"/>
      <c r="ZH4" s="17"/>
      <c r="ZI4" s="17"/>
      <c r="ZJ4" s="17"/>
      <c r="ZK4" s="17"/>
      <c r="ZL4" s="17"/>
      <c r="ZM4" s="17"/>
      <c r="ZN4" s="17"/>
      <c r="ZO4" s="17"/>
      <c r="ZP4" s="17"/>
      <c r="ZQ4" s="17"/>
      <c r="ZR4" s="17"/>
      <c r="ZS4" s="17"/>
      <c r="ZT4" s="17"/>
      <c r="ZU4" s="17"/>
      <c r="ZV4" s="17"/>
      <c r="ZW4" s="17"/>
      <c r="ZX4" s="17"/>
      <c r="ZY4" s="17"/>
      <c r="ZZ4" s="17"/>
      <c r="AAA4" s="17"/>
      <c r="AAB4" s="17"/>
      <c r="AAC4" s="17"/>
      <c r="AAD4" s="17"/>
      <c r="AAE4" s="17"/>
      <c r="AAF4" s="17"/>
      <c r="AAG4" s="17"/>
      <c r="AAH4" s="17"/>
      <c r="AAI4" s="17"/>
      <c r="AAJ4" s="17"/>
      <c r="AAK4" s="17"/>
      <c r="AAL4" s="17"/>
      <c r="AAM4" s="17"/>
      <c r="AAN4" s="17"/>
      <c r="AAO4" s="17"/>
      <c r="AAP4" s="17"/>
      <c r="AAQ4" s="17"/>
      <c r="AAR4" s="17"/>
      <c r="AAS4" s="17"/>
      <c r="AAT4" s="17"/>
      <c r="AAU4" s="17"/>
      <c r="AAV4" s="17"/>
      <c r="AAW4" s="17"/>
      <c r="AAX4" s="17"/>
      <c r="AAY4" s="17"/>
      <c r="AAZ4" s="17"/>
      <c r="ABA4" s="17"/>
      <c r="ABB4" s="17"/>
      <c r="ABC4" s="17"/>
      <c r="ABD4" s="17"/>
      <c r="ABE4" s="17"/>
      <c r="ABF4" s="17"/>
      <c r="ABG4" s="17"/>
      <c r="ABH4" s="17"/>
      <c r="ABI4" s="17"/>
      <c r="ABJ4" s="17"/>
      <c r="ABK4" s="17"/>
      <c r="ABL4" s="17"/>
      <c r="ABM4" s="17"/>
      <c r="ABN4" s="17"/>
      <c r="ABO4" s="17"/>
      <c r="ABP4" s="17"/>
      <c r="ABQ4" s="17"/>
      <c r="ABR4" s="17"/>
      <c r="ABS4" s="17"/>
      <c r="ABT4" s="17"/>
      <c r="ABU4" s="17"/>
      <c r="ABV4" s="17"/>
      <c r="ABW4" s="17"/>
      <c r="ABX4" s="17"/>
      <c r="ABY4" s="17"/>
      <c r="ABZ4" s="17"/>
      <c r="ACA4" s="17"/>
      <c r="ACB4" s="17"/>
      <c r="ACC4" s="17"/>
      <c r="ACD4" s="17"/>
      <c r="ACE4" s="17"/>
      <c r="ACF4" s="17"/>
      <c r="ACG4" s="17"/>
      <c r="ACH4" s="17"/>
      <c r="ACI4" s="17"/>
      <c r="ACJ4" s="17"/>
      <c r="ACK4" s="17"/>
      <c r="ACL4" s="17"/>
      <c r="ACM4" s="17"/>
      <c r="ACN4" s="17"/>
      <c r="ACO4" s="17"/>
      <c r="ACP4" s="17"/>
      <c r="ACQ4" s="17"/>
      <c r="ACR4" s="17"/>
      <c r="ACS4" s="17"/>
      <c r="ACT4" s="17"/>
      <c r="ACU4" s="17"/>
      <c r="ACV4" s="17"/>
      <c r="ACW4" s="17"/>
      <c r="ACX4" s="17"/>
      <c r="ACY4" s="17"/>
      <c r="ACZ4" s="17"/>
      <c r="ADA4" s="17"/>
      <c r="ADB4" s="17"/>
      <c r="ADC4" s="17"/>
      <c r="ADD4" s="17"/>
      <c r="ADE4" s="17"/>
      <c r="ADF4" s="17"/>
      <c r="ADG4" s="17"/>
      <c r="ADH4" s="17"/>
      <c r="ADI4" s="17"/>
      <c r="ADJ4" s="17"/>
      <c r="ADK4" s="17"/>
      <c r="ADL4" s="17"/>
      <c r="ADM4" s="17"/>
      <c r="ADN4" s="17"/>
      <c r="ADO4" s="17"/>
      <c r="ADP4" s="17"/>
      <c r="ADQ4" s="17"/>
      <c r="ADR4" s="17"/>
      <c r="ADS4" s="17"/>
      <c r="ADT4" s="17"/>
      <c r="ADU4" s="17"/>
      <c r="ADV4" s="17"/>
      <c r="ADW4" s="17"/>
      <c r="ADX4" s="17"/>
      <c r="ADY4" s="17"/>
      <c r="ADZ4" s="17"/>
      <c r="AEA4" s="17"/>
      <c r="AEB4" s="17"/>
      <c r="AEC4" s="17"/>
      <c r="AED4" s="17"/>
      <c r="AEE4" s="17"/>
      <c r="AEF4" s="17"/>
      <c r="AEG4" s="17"/>
      <c r="AEH4" s="17"/>
      <c r="AEI4" s="17"/>
      <c r="AEJ4" s="17"/>
      <c r="AEK4" s="17"/>
      <c r="AEL4" s="17"/>
      <c r="AEM4" s="17"/>
      <c r="AEN4" s="17"/>
      <c r="AEO4" s="17"/>
      <c r="AEP4" s="17"/>
      <c r="AEQ4" s="17"/>
      <c r="AER4" s="17"/>
      <c r="AES4" s="17"/>
      <c r="AET4" s="17"/>
      <c r="AEU4" s="17"/>
      <c r="AEV4" s="17"/>
      <c r="AEW4" s="17"/>
      <c r="AEX4" s="17"/>
      <c r="AEY4" s="17"/>
      <c r="AEZ4" s="17"/>
      <c r="AFA4" s="17"/>
      <c r="AFB4" s="17"/>
      <c r="AFC4" s="17"/>
      <c r="AFD4" s="17"/>
      <c r="AFE4" s="17"/>
      <c r="AFF4" s="17"/>
      <c r="AFG4" s="17"/>
      <c r="AFH4" s="17"/>
      <c r="AFI4" s="17"/>
      <c r="AFJ4" s="17"/>
      <c r="AFK4" s="17"/>
      <c r="AFL4" s="17"/>
      <c r="AFM4" s="17"/>
      <c r="AFN4" s="17"/>
      <c r="AFO4" s="17"/>
      <c r="AFP4" s="17"/>
      <c r="AFQ4" s="17"/>
      <c r="AFR4" s="17"/>
      <c r="AFS4" s="17"/>
      <c r="AFT4" s="17"/>
      <c r="AFU4" s="17"/>
      <c r="AFV4" s="17"/>
      <c r="AFW4" s="17"/>
      <c r="AFX4" s="17"/>
      <c r="AFY4" s="17"/>
      <c r="AFZ4" s="17"/>
      <c r="AGA4" s="17"/>
      <c r="AGB4" s="17"/>
      <c r="AGC4" s="17"/>
      <c r="AGD4" s="17"/>
      <c r="AGE4" s="17"/>
      <c r="AGF4" s="17"/>
      <c r="AGG4" s="17"/>
      <c r="AGH4" s="17"/>
      <c r="AGI4" s="17"/>
      <c r="AGJ4" s="17"/>
      <c r="AGK4" s="17"/>
      <c r="AGL4" s="17"/>
      <c r="AGM4" s="17"/>
      <c r="AGN4" s="17"/>
      <c r="AGO4" s="17"/>
      <c r="AGP4" s="17"/>
      <c r="AGQ4" s="17"/>
      <c r="AGR4" s="17"/>
      <c r="AGS4" s="17"/>
      <c r="AGT4" s="17"/>
      <c r="AGU4" s="17"/>
      <c r="AGV4" s="17"/>
      <c r="AGW4" s="17"/>
      <c r="AGX4" s="17"/>
      <c r="AGY4" s="17"/>
      <c r="AGZ4" s="17"/>
      <c r="AHA4" s="17"/>
      <c r="AHB4" s="17"/>
      <c r="AHC4" s="17"/>
      <c r="AHD4" s="17"/>
      <c r="AHE4" s="17"/>
      <c r="AHF4" s="17"/>
      <c r="AHG4" s="17"/>
      <c r="AHH4" s="17"/>
      <c r="AHI4" s="17"/>
      <c r="AHJ4" s="17"/>
      <c r="AHK4" s="17"/>
      <c r="AHL4" s="17"/>
      <c r="AHM4" s="17"/>
      <c r="AHN4" s="17"/>
      <c r="AHO4" s="17"/>
      <c r="AHP4" s="17"/>
      <c r="AHQ4" s="17"/>
      <c r="AHR4" s="17"/>
      <c r="AHS4" s="17"/>
      <c r="AHT4" s="17"/>
      <c r="AHU4" s="17"/>
      <c r="AHV4" s="17"/>
      <c r="AHW4" s="17"/>
      <c r="AHX4" s="17"/>
      <c r="AHY4" s="17"/>
      <c r="AHZ4" s="17"/>
      <c r="AIA4" s="17"/>
      <c r="AIB4" s="17"/>
      <c r="AIC4" s="17"/>
      <c r="AID4" s="17"/>
      <c r="AIE4" s="17"/>
      <c r="AIF4" s="17"/>
      <c r="AIG4" s="17"/>
      <c r="AIH4" s="17"/>
      <c r="AII4" s="17"/>
      <c r="AIJ4" s="17"/>
      <c r="AIK4" s="17"/>
      <c r="AIL4" s="17"/>
      <c r="AIM4" s="17"/>
      <c r="AIN4" s="17"/>
      <c r="AIO4" s="17"/>
      <c r="AIP4" s="17"/>
      <c r="AIQ4" s="17"/>
      <c r="AIR4" s="17"/>
      <c r="AIS4" s="17"/>
      <c r="AIT4" s="17"/>
      <c r="AIU4" s="17"/>
      <c r="AIV4" s="17"/>
      <c r="AIW4" s="17"/>
      <c r="AIX4" s="17"/>
      <c r="AIY4" s="17"/>
      <c r="AIZ4" s="17"/>
      <c r="AJA4" s="17"/>
      <c r="AJB4" s="17"/>
      <c r="AJC4" s="17"/>
      <c r="AJD4" s="17"/>
      <c r="AJE4" s="17"/>
      <c r="AJF4" s="17"/>
      <c r="AJG4" s="17"/>
      <c r="AJH4" s="17"/>
      <c r="AJI4" s="17"/>
      <c r="AJJ4" s="17"/>
      <c r="AJK4" s="17"/>
      <c r="AJL4" s="17"/>
      <c r="AJM4" s="17"/>
      <c r="AJN4" s="17"/>
      <c r="AJO4" s="17"/>
      <c r="AJP4" s="17"/>
      <c r="AJQ4" s="17"/>
      <c r="AJR4" s="17"/>
      <c r="AJS4" s="17"/>
      <c r="AJT4" s="17"/>
      <c r="AJU4" s="17"/>
      <c r="AJV4" s="17"/>
      <c r="AJW4" s="17"/>
      <c r="AJX4" s="17"/>
      <c r="AJY4" s="17"/>
      <c r="AJZ4" s="17"/>
      <c r="AKA4" s="17"/>
      <c r="AKB4" s="17"/>
      <c r="AKC4" s="17"/>
      <c r="AKD4" s="17"/>
      <c r="AKE4" s="17"/>
      <c r="AKF4" s="17"/>
      <c r="AKG4" s="17"/>
      <c r="AKH4" s="17"/>
      <c r="AKI4" s="17"/>
      <c r="AKJ4" s="17"/>
      <c r="AKK4" s="17"/>
      <c r="AKL4" s="17"/>
      <c r="AKM4" s="17"/>
      <c r="AKN4" s="17"/>
      <c r="AKO4" s="17"/>
      <c r="AKP4" s="17"/>
      <c r="AKQ4" s="17"/>
      <c r="AKR4" s="17"/>
      <c r="AKS4" s="17"/>
      <c r="AKT4" s="17"/>
      <c r="AKU4" s="17"/>
      <c r="AKV4" s="17"/>
      <c r="AKW4" s="17"/>
      <c r="AKX4" s="17"/>
      <c r="AKY4" s="17"/>
      <c r="AKZ4" s="17"/>
      <c r="ALA4" s="17"/>
      <c r="ALB4" s="17"/>
      <c r="ALC4" s="17"/>
      <c r="ALD4" s="17"/>
      <c r="ALE4" s="17"/>
      <c r="ALF4" s="17"/>
      <c r="ALG4" s="17"/>
      <c r="ALH4" s="17"/>
      <c r="ALI4" s="17"/>
      <c r="ALJ4" s="17"/>
      <c r="ALK4" s="17"/>
      <c r="ALL4" s="17"/>
    </row>
    <row r="5" spans="1:1000" s="19" customFormat="1">
      <c r="A5" s="803" t="s">
        <v>10</v>
      </c>
      <c r="B5" s="902" t="s">
        <v>61</v>
      </c>
      <c r="C5" s="66" t="s">
        <v>61</v>
      </c>
      <c r="D5" s="66" t="s">
        <v>983</v>
      </c>
      <c r="E5" s="66" t="s">
        <v>61</v>
      </c>
      <c r="F5" s="66" t="s">
        <v>61</v>
      </c>
      <c r="G5" s="66" t="s">
        <v>983</v>
      </c>
      <c r="H5" s="66" t="s">
        <v>61</v>
      </c>
      <c r="I5" s="66" t="s">
        <v>983</v>
      </c>
      <c r="J5" s="909" t="s">
        <v>61</v>
      </c>
      <c r="K5" s="66" t="s">
        <v>61</v>
      </c>
      <c r="L5" s="66" t="s">
        <v>61</v>
      </c>
      <c r="M5" s="66" t="s">
        <v>983</v>
      </c>
      <c r="N5" s="66" t="s">
        <v>61</v>
      </c>
      <c r="O5" s="66" t="s">
        <v>983</v>
      </c>
      <c r="P5" s="66" t="s">
        <v>61</v>
      </c>
      <c r="Q5" s="909" t="s">
        <v>61</v>
      </c>
      <c r="R5" s="66" t="s">
        <v>61</v>
      </c>
      <c r="S5" s="66"/>
      <c r="T5" s="66" t="s">
        <v>983</v>
      </c>
      <c r="U5" s="66" t="s">
        <v>61</v>
      </c>
      <c r="V5" s="66" t="s">
        <v>61</v>
      </c>
      <c r="W5" s="66"/>
      <c r="X5" s="909" t="s">
        <v>983</v>
      </c>
      <c r="Y5" s="66" t="s">
        <v>61</v>
      </c>
      <c r="Z5" s="66" t="s">
        <v>61</v>
      </c>
      <c r="AA5" s="66" t="s">
        <v>983</v>
      </c>
      <c r="AB5" s="66" t="s">
        <v>61</v>
      </c>
      <c r="AC5" s="915" t="s">
        <v>983</v>
      </c>
      <c r="AD5" s="902" t="s">
        <v>61</v>
      </c>
      <c r="AE5" s="909" t="s">
        <v>61</v>
      </c>
      <c r="AF5" s="66" t="s">
        <v>61</v>
      </c>
      <c r="AG5" s="66" t="s">
        <v>61</v>
      </c>
      <c r="AH5" s="66" t="s">
        <v>61</v>
      </c>
      <c r="AI5" s="66" t="s">
        <v>61</v>
      </c>
      <c r="AJ5" s="66" t="s">
        <v>61</v>
      </c>
      <c r="AK5" s="66" t="s">
        <v>61</v>
      </c>
      <c r="AL5" s="909" t="s">
        <v>61</v>
      </c>
      <c r="AM5" s="66" t="s">
        <v>983</v>
      </c>
      <c r="AN5" s="66" t="s">
        <v>61</v>
      </c>
      <c r="AO5" s="66" t="s">
        <v>61</v>
      </c>
      <c r="AP5" s="66" t="s">
        <v>61</v>
      </c>
      <c r="AQ5" s="66" t="s">
        <v>61</v>
      </c>
      <c r="AR5" s="66" t="s">
        <v>983</v>
      </c>
      <c r="AS5" s="909" t="s">
        <v>61</v>
      </c>
      <c r="AT5" s="67">
        <v>159</v>
      </c>
      <c r="AU5" s="66" t="s">
        <v>983</v>
      </c>
      <c r="AV5" s="66" t="s">
        <v>61</v>
      </c>
      <c r="AW5" s="66" t="s">
        <v>61</v>
      </c>
      <c r="AX5" s="66" t="s">
        <v>983</v>
      </c>
      <c r="AY5" s="66" t="s">
        <v>61</v>
      </c>
      <c r="AZ5" s="922">
        <v>190</v>
      </c>
      <c r="BA5" s="67">
        <v>194</v>
      </c>
      <c r="BB5" s="67">
        <v>198</v>
      </c>
      <c r="BC5" s="67">
        <v>211</v>
      </c>
      <c r="BD5" s="67">
        <v>226</v>
      </c>
      <c r="BE5" s="66" t="s">
        <v>983</v>
      </c>
      <c r="BF5" s="66" t="s">
        <v>61</v>
      </c>
      <c r="BG5" s="922">
        <v>191</v>
      </c>
      <c r="BH5" s="923">
        <v>198</v>
      </c>
      <c r="BI5" s="902" t="s">
        <v>983</v>
      </c>
      <c r="BJ5" s="66" t="s">
        <v>61</v>
      </c>
      <c r="BK5" s="66" t="s">
        <v>61</v>
      </c>
      <c r="BL5" s="66" t="s">
        <v>61</v>
      </c>
      <c r="BM5" s="67">
        <v>228</v>
      </c>
      <c r="BN5" s="922">
        <v>213</v>
      </c>
      <c r="BO5" s="66" t="s">
        <v>983</v>
      </c>
      <c r="BP5" s="66" t="s">
        <v>61</v>
      </c>
      <c r="BQ5" s="66" t="s">
        <v>61</v>
      </c>
      <c r="BR5" s="67">
        <v>272</v>
      </c>
      <c r="BS5" s="67">
        <v>279</v>
      </c>
      <c r="BT5" s="67">
        <v>265</v>
      </c>
      <c r="BU5" s="922">
        <v>259</v>
      </c>
      <c r="BV5" s="67">
        <v>257</v>
      </c>
      <c r="BW5" s="67">
        <v>257</v>
      </c>
      <c r="BX5" s="66" t="s">
        <v>983</v>
      </c>
      <c r="BY5" s="66" t="s">
        <v>61</v>
      </c>
      <c r="BZ5" s="66" t="s">
        <v>61</v>
      </c>
      <c r="CA5" s="66" t="s">
        <v>61</v>
      </c>
      <c r="CB5" s="909" t="s">
        <v>61</v>
      </c>
      <c r="CC5" s="67">
        <v>230</v>
      </c>
      <c r="CD5" s="67">
        <v>237</v>
      </c>
      <c r="CE5" s="67">
        <v>245</v>
      </c>
      <c r="CF5" s="66" t="s">
        <v>983</v>
      </c>
      <c r="CG5" s="66" t="s">
        <v>61</v>
      </c>
      <c r="CH5" s="66" t="s">
        <v>61</v>
      </c>
      <c r="CI5" s="909" t="s">
        <v>61</v>
      </c>
      <c r="CJ5" s="66" t="s">
        <v>61</v>
      </c>
      <c r="CK5" s="67">
        <v>178</v>
      </c>
      <c r="CL5" s="915" t="s">
        <v>983</v>
      </c>
      <c r="CM5" s="902" t="s">
        <v>61</v>
      </c>
      <c r="CN5" s="66" t="s">
        <v>61</v>
      </c>
      <c r="CO5" s="67">
        <v>256</v>
      </c>
      <c r="CP5" s="922">
        <v>254</v>
      </c>
      <c r="CQ5" s="67">
        <v>222</v>
      </c>
      <c r="CR5" s="67">
        <v>239</v>
      </c>
      <c r="CS5" s="67">
        <v>239</v>
      </c>
      <c r="CT5" s="66" t="s">
        <v>983</v>
      </c>
      <c r="CU5" s="66" t="s">
        <v>61</v>
      </c>
      <c r="CV5" s="66" t="s">
        <v>61</v>
      </c>
      <c r="CW5" s="909" t="s">
        <v>61</v>
      </c>
      <c r="CX5" s="66" t="s">
        <v>61</v>
      </c>
      <c r="CY5" s="66" t="s">
        <v>61</v>
      </c>
      <c r="CZ5" s="67">
        <v>227</v>
      </c>
      <c r="DA5" s="66" t="s">
        <v>983</v>
      </c>
      <c r="DB5" s="66" t="s">
        <v>61</v>
      </c>
      <c r="DC5" s="66" t="s">
        <v>61</v>
      </c>
      <c r="DD5" s="922">
        <v>244</v>
      </c>
      <c r="DE5" s="67">
        <v>259</v>
      </c>
      <c r="DF5" s="67">
        <v>297</v>
      </c>
      <c r="DG5" s="67">
        <v>297</v>
      </c>
      <c r="DH5" s="67">
        <v>297</v>
      </c>
      <c r="DI5" s="67">
        <v>297</v>
      </c>
      <c r="DJ5" s="67">
        <v>297</v>
      </c>
      <c r="DK5" s="922">
        <v>297</v>
      </c>
      <c r="DL5" s="67">
        <v>297</v>
      </c>
      <c r="DM5" s="66" t="s">
        <v>983</v>
      </c>
      <c r="DN5" s="66" t="s">
        <v>61</v>
      </c>
      <c r="DO5" s="66" t="s">
        <v>61</v>
      </c>
      <c r="DP5" s="66" t="s">
        <v>61</v>
      </c>
      <c r="DQ5" s="915" t="s">
        <v>61</v>
      </c>
      <c r="DR5" s="924">
        <v>297</v>
      </c>
      <c r="DS5" s="67">
        <v>297</v>
      </c>
      <c r="DT5" s="67">
        <v>297</v>
      </c>
      <c r="DU5" s="67">
        <v>297</v>
      </c>
      <c r="DV5" s="67">
        <v>297</v>
      </c>
      <c r="DW5" s="66" t="s">
        <v>983</v>
      </c>
      <c r="DX5" s="66" t="s">
        <v>61</v>
      </c>
      <c r="DY5" s="909" t="s">
        <v>61</v>
      </c>
      <c r="DZ5" s="66" t="s">
        <v>61</v>
      </c>
      <c r="EA5" s="66" t="s">
        <v>61</v>
      </c>
      <c r="EB5" s="66" t="s">
        <v>61</v>
      </c>
      <c r="EC5" s="67">
        <v>297</v>
      </c>
      <c r="ED5" s="67">
        <v>297</v>
      </c>
      <c r="EE5" s="67">
        <v>297</v>
      </c>
      <c r="EF5" s="909" t="s">
        <v>983</v>
      </c>
      <c r="EG5" s="66" t="s">
        <v>61</v>
      </c>
      <c r="EH5" s="66" t="s">
        <v>61</v>
      </c>
      <c r="EI5" s="66" t="s">
        <v>61</v>
      </c>
      <c r="EJ5" s="67">
        <v>297</v>
      </c>
      <c r="EK5" s="67">
        <v>297</v>
      </c>
      <c r="EL5" s="67">
        <v>297</v>
      </c>
      <c r="EM5" s="922">
        <v>297</v>
      </c>
      <c r="EN5" s="67">
        <v>297</v>
      </c>
      <c r="EO5" s="67">
        <v>297</v>
      </c>
      <c r="EP5" s="67">
        <v>297</v>
      </c>
      <c r="EQ5" s="66"/>
      <c r="ER5" s="66"/>
      <c r="ES5" s="67">
        <v>297</v>
      </c>
      <c r="ET5" s="922">
        <v>289</v>
      </c>
      <c r="EU5" s="923">
        <v>284</v>
      </c>
      <c r="EV5" s="924">
        <v>279</v>
      </c>
      <c r="EW5" s="67">
        <v>297</v>
      </c>
      <c r="EX5" s="66" t="s">
        <v>983</v>
      </c>
      <c r="EY5" s="66" t="s">
        <v>61</v>
      </c>
      <c r="EZ5" s="66" t="s">
        <v>61</v>
      </c>
      <c r="FA5" s="909" t="s">
        <v>61</v>
      </c>
      <c r="FB5" s="66" t="s">
        <v>61</v>
      </c>
      <c r="FC5" s="67">
        <v>266</v>
      </c>
      <c r="FD5" s="66" t="s">
        <v>983</v>
      </c>
      <c r="FE5" s="66" t="s">
        <v>61</v>
      </c>
      <c r="FF5" s="66" t="s">
        <v>61</v>
      </c>
      <c r="FG5" s="66" t="s">
        <v>61</v>
      </c>
      <c r="FH5" s="922">
        <v>281</v>
      </c>
      <c r="FI5" s="67">
        <v>281</v>
      </c>
      <c r="FJ5" s="67">
        <v>252</v>
      </c>
      <c r="FK5" s="67">
        <v>297</v>
      </c>
      <c r="FL5" s="67">
        <v>297</v>
      </c>
      <c r="FM5" s="67">
        <v>297</v>
      </c>
      <c r="FN5" s="67">
        <v>297</v>
      </c>
      <c r="FO5" s="909" t="s">
        <v>983</v>
      </c>
      <c r="FP5" s="66" t="s">
        <v>61</v>
      </c>
      <c r="FQ5" s="66" t="s">
        <v>61</v>
      </c>
      <c r="FR5" s="67">
        <v>197</v>
      </c>
      <c r="FS5" s="67">
        <v>192</v>
      </c>
      <c r="FT5" s="66" t="s">
        <v>983</v>
      </c>
      <c r="FU5" s="66" t="s">
        <v>61</v>
      </c>
      <c r="FV5" s="909" t="s">
        <v>61</v>
      </c>
      <c r="FW5" s="67">
        <v>235</v>
      </c>
      <c r="FX5" s="67">
        <v>240</v>
      </c>
      <c r="FY5" s="67">
        <v>243</v>
      </c>
      <c r="FZ5" s="923">
        <v>239</v>
      </c>
      <c r="GA5" s="924">
        <v>261</v>
      </c>
      <c r="GB5" s="67">
        <v>248</v>
      </c>
      <c r="GC5" s="922">
        <v>261</v>
      </c>
      <c r="GD5" s="67">
        <v>261</v>
      </c>
      <c r="GE5" s="67">
        <v>252</v>
      </c>
      <c r="GF5" s="67">
        <v>261</v>
      </c>
      <c r="GG5" s="67">
        <v>261</v>
      </c>
      <c r="GH5" s="67">
        <v>261</v>
      </c>
      <c r="GI5" s="67">
        <v>261</v>
      </c>
      <c r="GJ5" s="922">
        <v>247</v>
      </c>
      <c r="GK5" s="67">
        <v>259</v>
      </c>
      <c r="GL5" s="67">
        <v>244</v>
      </c>
      <c r="GM5" s="67">
        <v>261</v>
      </c>
      <c r="GN5" s="67">
        <v>261</v>
      </c>
      <c r="GO5" s="67">
        <v>261</v>
      </c>
      <c r="GP5" s="67">
        <v>254</v>
      </c>
      <c r="GQ5" s="922">
        <v>258</v>
      </c>
      <c r="GR5" s="67">
        <v>261</v>
      </c>
      <c r="GS5" s="67">
        <v>261</v>
      </c>
      <c r="GT5" s="67">
        <v>261</v>
      </c>
      <c r="GU5" s="67">
        <v>261</v>
      </c>
      <c r="GV5" s="66" t="s">
        <v>983</v>
      </c>
      <c r="GW5" s="66" t="s">
        <v>61</v>
      </c>
      <c r="GX5" s="909" t="s">
        <v>61</v>
      </c>
      <c r="GY5" s="67">
        <v>261</v>
      </c>
      <c r="GZ5" s="67">
        <v>261</v>
      </c>
      <c r="HA5" s="67">
        <v>261</v>
      </c>
      <c r="HB5" s="67">
        <v>261</v>
      </c>
      <c r="HC5" s="67">
        <v>261</v>
      </c>
      <c r="HD5" s="67">
        <v>261</v>
      </c>
      <c r="HE5" s="925">
        <v>261</v>
      </c>
      <c r="HF5" s="924">
        <v>297</v>
      </c>
      <c r="HG5" s="67">
        <v>297</v>
      </c>
      <c r="HH5" s="67">
        <v>297</v>
      </c>
      <c r="HI5" s="67">
        <v>297</v>
      </c>
      <c r="HJ5" s="67">
        <v>297</v>
      </c>
      <c r="HK5" s="67">
        <v>297</v>
      </c>
      <c r="HL5" s="922">
        <v>295</v>
      </c>
      <c r="HM5" s="67">
        <v>297</v>
      </c>
      <c r="HN5" s="67">
        <v>297</v>
      </c>
      <c r="HO5" s="67">
        <v>297</v>
      </c>
      <c r="HP5" s="67">
        <v>297</v>
      </c>
      <c r="HQ5" s="67">
        <v>297</v>
      </c>
      <c r="HR5" s="67">
        <v>297</v>
      </c>
      <c r="HS5" s="922">
        <v>297</v>
      </c>
      <c r="HT5" s="67">
        <v>297</v>
      </c>
      <c r="HU5" s="67">
        <v>297</v>
      </c>
      <c r="HV5" s="67">
        <v>297</v>
      </c>
      <c r="HW5" s="67">
        <v>297</v>
      </c>
      <c r="HX5" s="67">
        <v>297</v>
      </c>
      <c r="HY5" s="67">
        <v>297</v>
      </c>
      <c r="HZ5" s="909" t="s">
        <v>983</v>
      </c>
      <c r="IA5" s="66" t="s">
        <v>61</v>
      </c>
      <c r="IB5" s="66" t="s">
        <v>61</v>
      </c>
      <c r="IC5" s="66" t="s">
        <v>61</v>
      </c>
      <c r="ID5" s="66" t="s">
        <v>61</v>
      </c>
      <c r="IE5" s="66" t="s">
        <v>61</v>
      </c>
      <c r="IF5" s="66" t="s">
        <v>61</v>
      </c>
      <c r="IG5" s="909" t="s">
        <v>61</v>
      </c>
      <c r="IH5" s="67">
        <v>297</v>
      </c>
      <c r="II5" s="923">
        <v>297</v>
      </c>
      <c r="IJ5" s="924">
        <v>297</v>
      </c>
      <c r="IK5" s="67">
        <v>297</v>
      </c>
      <c r="IL5" s="67">
        <v>297</v>
      </c>
      <c r="IM5" s="67">
        <v>297</v>
      </c>
      <c r="IN5" s="922">
        <v>297</v>
      </c>
      <c r="IO5" s="67">
        <v>297</v>
      </c>
      <c r="IP5" s="67">
        <v>297</v>
      </c>
      <c r="IQ5" s="67">
        <v>297</v>
      </c>
      <c r="IR5" s="67">
        <v>297</v>
      </c>
      <c r="IS5" s="67">
        <v>297</v>
      </c>
      <c r="IT5" s="67">
        <v>297</v>
      </c>
      <c r="IU5" s="922">
        <v>297</v>
      </c>
      <c r="IV5" s="67">
        <v>297</v>
      </c>
      <c r="IW5" s="67">
        <v>297</v>
      </c>
      <c r="IX5" s="66" t="s">
        <v>983</v>
      </c>
      <c r="IY5" s="66" t="s">
        <v>61</v>
      </c>
      <c r="IZ5" s="66" t="s">
        <v>61</v>
      </c>
      <c r="JA5" s="66" t="s">
        <v>61</v>
      </c>
      <c r="JB5" s="922">
        <v>297</v>
      </c>
      <c r="JC5" s="67">
        <v>297</v>
      </c>
      <c r="JD5" s="67">
        <v>297</v>
      </c>
      <c r="JE5" s="67">
        <v>297</v>
      </c>
      <c r="JF5" s="67">
        <v>297</v>
      </c>
      <c r="JG5" s="67">
        <v>297</v>
      </c>
      <c r="JH5" s="67">
        <v>297</v>
      </c>
      <c r="JI5" s="922">
        <v>297</v>
      </c>
      <c r="JJ5" s="67">
        <v>297</v>
      </c>
      <c r="JK5" s="67">
        <v>297</v>
      </c>
      <c r="JL5" s="67">
        <v>297</v>
      </c>
      <c r="JM5" s="67">
        <v>297</v>
      </c>
      <c r="JN5" s="923">
        <v>297</v>
      </c>
      <c r="JO5" s="924">
        <v>252</v>
      </c>
      <c r="JP5" s="922">
        <v>252</v>
      </c>
      <c r="JQ5" s="67">
        <v>252</v>
      </c>
      <c r="JR5" s="67">
        <v>252</v>
      </c>
      <c r="JS5" s="67">
        <v>252</v>
      </c>
      <c r="JT5" s="67">
        <v>252</v>
      </c>
      <c r="JU5" s="67">
        <v>252</v>
      </c>
      <c r="JV5" s="67">
        <v>252</v>
      </c>
      <c r="JW5" s="922">
        <v>252</v>
      </c>
      <c r="JX5" s="67">
        <v>252</v>
      </c>
      <c r="JY5" s="67">
        <v>252</v>
      </c>
      <c r="JZ5" s="67">
        <v>252</v>
      </c>
      <c r="KA5" s="67">
        <v>252</v>
      </c>
      <c r="KB5" s="67">
        <v>252</v>
      </c>
      <c r="KC5" s="67">
        <v>252</v>
      </c>
      <c r="KD5" s="922">
        <v>252</v>
      </c>
      <c r="KE5" s="67">
        <v>252</v>
      </c>
      <c r="KF5" s="67">
        <v>252</v>
      </c>
      <c r="KG5" s="67">
        <v>252</v>
      </c>
      <c r="KH5" s="67">
        <v>252</v>
      </c>
      <c r="KI5" s="67">
        <v>252</v>
      </c>
      <c r="KJ5" s="67">
        <v>252</v>
      </c>
      <c r="KK5" s="922">
        <v>252</v>
      </c>
      <c r="KL5" s="67">
        <v>252</v>
      </c>
      <c r="KM5" s="67">
        <v>252</v>
      </c>
      <c r="KN5" s="67">
        <v>252</v>
      </c>
      <c r="KO5" s="67">
        <v>252</v>
      </c>
      <c r="KP5" s="67">
        <v>252</v>
      </c>
      <c r="KQ5" s="67">
        <v>252</v>
      </c>
      <c r="KR5" s="925">
        <v>252</v>
      </c>
      <c r="KS5" s="924">
        <v>261</v>
      </c>
      <c r="KT5" s="67">
        <v>261</v>
      </c>
      <c r="KU5" s="67">
        <v>261</v>
      </c>
      <c r="KV5" s="67">
        <v>261</v>
      </c>
      <c r="KW5" s="67">
        <v>261</v>
      </c>
      <c r="KX5" s="67">
        <v>260</v>
      </c>
      <c r="KY5" s="922">
        <v>261</v>
      </c>
      <c r="KZ5" s="67">
        <v>261</v>
      </c>
      <c r="LA5" s="67">
        <v>261</v>
      </c>
      <c r="LB5" s="67">
        <v>261</v>
      </c>
      <c r="LC5" s="67">
        <v>261</v>
      </c>
      <c r="LD5" s="67">
        <v>261</v>
      </c>
      <c r="LE5" s="67">
        <v>261</v>
      </c>
      <c r="LF5" s="922">
        <v>261</v>
      </c>
      <c r="LG5" s="67">
        <v>261</v>
      </c>
      <c r="LH5" s="67">
        <v>261</v>
      </c>
      <c r="LI5" s="67">
        <v>261</v>
      </c>
      <c r="LJ5" s="67">
        <v>261</v>
      </c>
      <c r="LK5" s="67">
        <v>261</v>
      </c>
      <c r="LL5" s="67">
        <v>261</v>
      </c>
      <c r="LM5" s="922">
        <v>261</v>
      </c>
      <c r="LN5" s="67">
        <v>261</v>
      </c>
      <c r="LO5" s="67">
        <v>261</v>
      </c>
      <c r="LP5" s="67">
        <v>261</v>
      </c>
      <c r="LQ5" s="67">
        <v>261</v>
      </c>
      <c r="LR5" s="67">
        <v>261</v>
      </c>
      <c r="LS5" s="67">
        <v>261</v>
      </c>
      <c r="LT5" s="922">
        <v>261</v>
      </c>
      <c r="LU5" s="67">
        <v>261</v>
      </c>
      <c r="LV5" s="67">
        <v>261</v>
      </c>
      <c r="LW5" s="923">
        <v>261</v>
      </c>
      <c r="LX5" s="67">
        <v>216</v>
      </c>
      <c r="LY5" s="67">
        <v>216</v>
      </c>
      <c r="LZ5" s="67">
        <v>216</v>
      </c>
      <c r="MA5" s="922">
        <v>216</v>
      </c>
      <c r="MB5" s="67">
        <v>216</v>
      </c>
      <c r="MC5" s="67">
        <v>216</v>
      </c>
      <c r="MD5" s="67">
        <v>216</v>
      </c>
      <c r="ME5" s="67">
        <v>216</v>
      </c>
      <c r="MF5" s="67">
        <v>216</v>
      </c>
      <c r="MG5" s="67">
        <v>216</v>
      </c>
      <c r="MH5" s="922">
        <v>216</v>
      </c>
      <c r="MI5" s="67">
        <v>216</v>
      </c>
      <c r="MJ5" s="67">
        <v>216</v>
      </c>
      <c r="MK5" s="67">
        <v>216</v>
      </c>
      <c r="ML5" s="67">
        <v>216</v>
      </c>
      <c r="MM5" s="67">
        <v>216</v>
      </c>
      <c r="MN5" s="67">
        <v>216</v>
      </c>
      <c r="MO5" s="922">
        <v>216</v>
      </c>
      <c r="MP5" s="67">
        <v>216</v>
      </c>
      <c r="MQ5" s="67">
        <v>216</v>
      </c>
      <c r="MR5" s="67">
        <v>216</v>
      </c>
      <c r="MS5" s="67">
        <v>216</v>
      </c>
      <c r="MT5" s="67">
        <v>216</v>
      </c>
      <c r="MU5" s="67">
        <v>216</v>
      </c>
      <c r="MV5" s="922">
        <v>216</v>
      </c>
      <c r="MW5" s="67">
        <v>216</v>
      </c>
      <c r="MX5" s="67">
        <v>216</v>
      </c>
      <c r="MY5" s="67">
        <v>216</v>
      </c>
      <c r="MZ5" s="67">
        <v>216</v>
      </c>
      <c r="NA5" s="67">
        <v>216</v>
      </c>
      <c r="NB5" s="67">
        <v>216</v>
      </c>
      <c r="NC5" s="903"/>
      <c r="ND5" s="15"/>
      <c r="NE5" s="15"/>
      <c r="NF5" s="15"/>
      <c r="NG5" s="15"/>
      <c r="NH5" s="15"/>
      <c r="NI5" s="15"/>
      <c r="NJ5" s="15"/>
      <c r="NK5" s="15"/>
      <c r="NL5" s="15"/>
      <c r="NM5" s="15"/>
      <c r="NN5" s="15"/>
      <c r="NO5" s="15"/>
      <c r="NP5" s="15"/>
      <c r="NQ5" s="15"/>
      <c r="NR5" s="15"/>
      <c r="NS5" s="15"/>
      <c r="NT5" s="15"/>
      <c r="NU5" s="15"/>
      <c r="NV5" s="15"/>
      <c r="NW5" s="15"/>
      <c r="NX5" s="15"/>
      <c r="NY5" s="15"/>
      <c r="NZ5" s="15"/>
      <c r="OA5" s="15"/>
      <c r="OB5" s="15"/>
      <c r="OC5" s="15"/>
      <c r="OD5" s="15"/>
      <c r="OE5" s="15"/>
      <c r="OF5" s="15"/>
      <c r="OG5" s="15"/>
      <c r="OH5" s="15"/>
      <c r="OI5" s="15"/>
      <c r="OJ5" s="15"/>
      <c r="OK5" s="15"/>
      <c r="OL5" s="15"/>
      <c r="OM5" s="15"/>
      <c r="ON5" s="15"/>
      <c r="OO5" s="15"/>
      <c r="OP5" s="15"/>
      <c r="OQ5" s="15"/>
      <c r="OR5" s="15"/>
      <c r="OS5" s="15"/>
      <c r="OT5" s="15"/>
      <c r="OU5" s="15"/>
      <c r="OV5" s="15"/>
      <c r="OW5" s="15"/>
      <c r="OX5" s="15"/>
      <c r="OY5" s="15"/>
      <c r="OZ5" s="15"/>
      <c r="PA5" s="17"/>
      <c r="PB5" s="17"/>
      <c r="PC5" s="17"/>
      <c r="PD5" s="17"/>
      <c r="PE5" s="17"/>
      <c r="PF5" s="17"/>
      <c r="PG5" s="17"/>
      <c r="PH5" s="17"/>
      <c r="PI5" s="17"/>
      <c r="PJ5" s="17"/>
      <c r="PK5" s="17"/>
      <c r="PL5" s="17"/>
      <c r="PM5" s="17"/>
      <c r="PN5" s="17"/>
      <c r="PO5" s="17"/>
      <c r="PP5" s="17"/>
      <c r="PQ5" s="17"/>
      <c r="PR5" s="17"/>
      <c r="PS5" s="17"/>
      <c r="PT5" s="17"/>
      <c r="PU5" s="17"/>
      <c r="PV5" s="17"/>
      <c r="PW5" s="17"/>
      <c r="PX5" s="17"/>
      <c r="PY5" s="17"/>
      <c r="PZ5" s="17"/>
      <c r="QA5" s="17"/>
      <c r="QB5" s="17"/>
      <c r="QC5" s="17"/>
      <c r="QD5" s="17"/>
      <c r="QE5" s="17"/>
      <c r="QF5" s="17"/>
      <c r="QG5" s="17"/>
      <c r="QH5" s="17"/>
      <c r="QI5" s="17"/>
      <c r="QJ5" s="17"/>
      <c r="QK5" s="17"/>
      <c r="QL5" s="17"/>
      <c r="QM5" s="17"/>
      <c r="QN5" s="17"/>
      <c r="QO5" s="17"/>
      <c r="QP5" s="17"/>
      <c r="QQ5" s="17"/>
      <c r="QR5" s="17"/>
      <c r="QS5" s="17"/>
      <c r="QT5" s="17"/>
      <c r="QU5" s="17"/>
      <c r="QV5" s="17"/>
      <c r="QW5" s="17"/>
      <c r="QX5" s="17"/>
      <c r="QY5" s="17"/>
      <c r="QZ5" s="17"/>
      <c r="RA5" s="17"/>
      <c r="RB5" s="17"/>
      <c r="RC5" s="17"/>
      <c r="RD5" s="17"/>
      <c r="RE5" s="17"/>
      <c r="RF5" s="17"/>
      <c r="RG5" s="17"/>
      <c r="RH5" s="17"/>
      <c r="RI5" s="17"/>
      <c r="RJ5" s="17"/>
      <c r="RK5" s="17"/>
      <c r="RL5" s="17"/>
      <c r="RM5" s="17"/>
      <c r="RN5" s="17"/>
      <c r="RO5" s="17"/>
      <c r="RP5" s="17"/>
      <c r="RQ5" s="17"/>
      <c r="RR5" s="17"/>
      <c r="RS5" s="17"/>
      <c r="RT5" s="17"/>
      <c r="RU5" s="17"/>
      <c r="RV5" s="17"/>
      <c r="RW5" s="17"/>
      <c r="RX5" s="17"/>
      <c r="RY5" s="17"/>
      <c r="RZ5" s="17"/>
      <c r="SA5" s="17"/>
      <c r="SB5" s="17"/>
      <c r="SC5" s="17"/>
      <c r="SD5" s="17"/>
      <c r="SE5" s="17"/>
      <c r="SF5" s="17"/>
      <c r="SG5" s="17"/>
      <c r="SH5" s="17"/>
      <c r="SI5" s="17"/>
      <c r="SJ5" s="17"/>
      <c r="SK5" s="17"/>
      <c r="SL5" s="17"/>
      <c r="SM5" s="17"/>
      <c r="SN5" s="17"/>
      <c r="SO5" s="17"/>
      <c r="SP5" s="17"/>
      <c r="SQ5" s="17"/>
      <c r="SR5" s="17"/>
      <c r="SS5" s="17"/>
      <c r="ST5" s="17"/>
      <c r="SU5" s="17"/>
      <c r="SV5" s="17"/>
      <c r="SW5" s="17"/>
      <c r="SX5" s="17"/>
      <c r="SY5" s="17"/>
      <c r="SZ5" s="17"/>
      <c r="TA5" s="17"/>
      <c r="TB5" s="17"/>
      <c r="TC5" s="17"/>
      <c r="TD5" s="17"/>
      <c r="TE5" s="17"/>
      <c r="TF5" s="17"/>
      <c r="TG5" s="17"/>
      <c r="TH5" s="17"/>
      <c r="TI5" s="17"/>
      <c r="TJ5" s="17"/>
      <c r="TK5" s="17"/>
      <c r="TL5" s="17"/>
      <c r="TM5" s="17"/>
      <c r="TN5" s="17"/>
      <c r="TO5" s="17"/>
      <c r="TP5" s="17"/>
      <c r="TQ5" s="17"/>
      <c r="TR5" s="17"/>
      <c r="TS5" s="17"/>
      <c r="TT5" s="17"/>
      <c r="TU5" s="17"/>
      <c r="TV5" s="17"/>
      <c r="TW5" s="17"/>
      <c r="TX5" s="17"/>
      <c r="TY5" s="17"/>
      <c r="TZ5" s="17"/>
      <c r="UA5" s="17"/>
      <c r="UB5" s="17"/>
      <c r="UC5" s="17"/>
      <c r="UD5" s="17"/>
      <c r="UE5" s="17"/>
      <c r="UF5" s="17"/>
      <c r="UG5" s="17"/>
      <c r="UH5" s="17"/>
      <c r="UI5" s="17"/>
      <c r="UJ5" s="17"/>
      <c r="UK5" s="17"/>
      <c r="UL5" s="17"/>
      <c r="UM5" s="17"/>
      <c r="UN5" s="17"/>
      <c r="UO5" s="17"/>
      <c r="UP5" s="17"/>
      <c r="UQ5" s="17"/>
      <c r="UR5" s="17"/>
      <c r="US5" s="17"/>
      <c r="UT5" s="17"/>
      <c r="UU5" s="17"/>
      <c r="UV5" s="17"/>
      <c r="UW5" s="17"/>
      <c r="UX5" s="17"/>
      <c r="UY5" s="17"/>
      <c r="UZ5" s="17"/>
      <c r="VA5" s="17"/>
      <c r="VB5" s="17"/>
      <c r="VC5" s="17"/>
      <c r="VD5" s="17"/>
      <c r="VE5" s="17"/>
      <c r="VF5" s="17"/>
      <c r="VG5" s="17"/>
      <c r="VH5" s="17"/>
      <c r="VI5" s="17"/>
      <c r="VJ5" s="17"/>
      <c r="VK5" s="17"/>
      <c r="VL5" s="17"/>
      <c r="VM5" s="17"/>
      <c r="VN5" s="17"/>
      <c r="VO5" s="17"/>
      <c r="VP5" s="17"/>
      <c r="VQ5" s="17"/>
      <c r="VR5" s="17"/>
      <c r="VS5" s="17"/>
      <c r="VT5" s="17"/>
      <c r="VU5" s="17"/>
      <c r="VV5" s="17"/>
      <c r="VW5" s="17"/>
      <c r="VX5" s="17"/>
      <c r="VY5" s="17"/>
      <c r="VZ5" s="17"/>
      <c r="WA5" s="17"/>
      <c r="WB5" s="17"/>
      <c r="WC5" s="17"/>
      <c r="WD5" s="17"/>
      <c r="WE5" s="17"/>
      <c r="WF5" s="17"/>
      <c r="WG5" s="17"/>
      <c r="WH5" s="17"/>
      <c r="WI5" s="17"/>
      <c r="WJ5" s="17"/>
      <c r="WK5" s="17"/>
      <c r="WL5" s="17"/>
      <c r="WM5" s="17"/>
      <c r="WN5" s="17"/>
      <c r="WO5" s="17"/>
      <c r="WP5" s="17"/>
      <c r="WQ5" s="17"/>
      <c r="WR5" s="17"/>
      <c r="WS5" s="17"/>
      <c r="WT5" s="17"/>
      <c r="WU5" s="17"/>
      <c r="WV5" s="17"/>
      <c r="WW5" s="17"/>
      <c r="WX5" s="17"/>
      <c r="WY5" s="17"/>
      <c r="WZ5" s="17"/>
      <c r="XA5" s="17"/>
      <c r="XB5" s="17"/>
      <c r="XC5" s="17"/>
      <c r="XD5" s="17"/>
      <c r="XE5" s="17"/>
      <c r="XF5" s="17"/>
      <c r="XG5" s="17"/>
      <c r="XH5" s="17"/>
      <c r="XI5" s="17"/>
      <c r="XJ5" s="17"/>
      <c r="XK5" s="17"/>
      <c r="XL5" s="17"/>
      <c r="XM5" s="17"/>
      <c r="XN5" s="17"/>
      <c r="XO5" s="17"/>
      <c r="XP5" s="17"/>
      <c r="XQ5" s="17"/>
      <c r="XR5" s="17"/>
      <c r="XS5" s="17"/>
      <c r="XT5" s="17"/>
      <c r="XU5" s="17"/>
      <c r="XV5" s="17"/>
      <c r="XW5" s="17"/>
      <c r="XX5" s="17"/>
      <c r="XY5" s="17"/>
      <c r="XZ5" s="17"/>
      <c r="YA5" s="17"/>
      <c r="YB5" s="17"/>
      <c r="YC5" s="17"/>
      <c r="YD5" s="17"/>
      <c r="YE5" s="17"/>
      <c r="YF5" s="17"/>
      <c r="YG5" s="17"/>
      <c r="YH5" s="17"/>
      <c r="YI5" s="17"/>
      <c r="YJ5" s="17"/>
      <c r="YK5" s="17"/>
      <c r="YL5" s="17"/>
      <c r="YM5" s="17"/>
      <c r="YN5" s="17"/>
      <c r="YO5" s="17"/>
      <c r="YP5" s="17"/>
      <c r="YQ5" s="17"/>
      <c r="YR5" s="17"/>
      <c r="YS5" s="17"/>
      <c r="YT5" s="17"/>
      <c r="YU5" s="17"/>
      <c r="YV5" s="17"/>
      <c r="YW5" s="17"/>
      <c r="YX5" s="17"/>
      <c r="YY5" s="17"/>
      <c r="YZ5" s="17"/>
      <c r="ZA5" s="17"/>
      <c r="ZB5" s="17"/>
      <c r="ZC5" s="17"/>
      <c r="ZD5" s="17"/>
      <c r="ZE5" s="17"/>
      <c r="ZF5" s="17"/>
      <c r="ZG5" s="17"/>
      <c r="ZH5" s="17"/>
      <c r="ZI5" s="17"/>
      <c r="ZJ5" s="17"/>
      <c r="ZK5" s="17"/>
      <c r="ZL5" s="17"/>
      <c r="ZM5" s="17"/>
      <c r="ZN5" s="17"/>
      <c r="ZO5" s="17"/>
      <c r="ZP5" s="17"/>
      <c r="ZQ5" s="17"/>
      <c r="ZR5" s="17"/>
      <c r="ZS5" s="17"/>
      <c r="ZT5" s="17"/>
      <c r="ZU5" s="17"/>
      <c r="ZV5" s="17"/>
      <c r="ZW5" s="17"/>
      <c r="ZX5" s="17"/>
      <c r="ZY5" s="17"/>
      <c r="ZZ5" s="17"/>
      <c r="AAA5" s="17"/>
      <c r="AAB5" s="17"/>
      <c r="AAC5" s="17"/>
      <c r="AAD5" s="17"/>
      <c r="AAE5" s="17"/>
      <c r="AAF5" s="17"/>
      <c r="AAG5" s="17"/>
      <c r="AAH5" s="17"/>
      <c r="AAI5" s="17"/>
      <c r="AAJ5" s="17"/>
      <c r="AAK5" s="17"/>
      <c r="AAL5" s="17"/>
      <c r="AAM5" s="17"/>
      <c r="AAN5" s="17"/>
      <c r="AAO5" s="17"/>
      <c r="AAP5" s="17"/>
      <c r="AAQ5" s="17"/>
      <c r="AAR5" s="17"/>
      <c r="AAS5" s="17"/>
      <c r="AAT5" s="17"/>
      <c r="AAU5" s="17"/>
      <c r="AAV5" s="17"/>
      <c r="AAW5" s="17"/>
      <c r="AAX5" s="17"/>
      <c r="AAY5" s="17"/>
      <c r="AAZ5" s="17"/>
      <c r="ABA5" s="17"/>
      <c r="ABB5" s="17"/>
      <c r="ABC5" s="17"/>
      <c r="ABD5" s="17"/>
      <c r="ABE5" s="17"/>
      <c r="ABF5" s="17"/>
      <c r="ABG5" s="17"/>
      <c r="ABH5" s="17"/>
      <c r="ABI5" s="17"/>
      <c r="ABJ5" s="17"/>
      <c r="ABK5" s="17"/>
      <c r="ABL5" s="17"/>
      <c r="ABM5" s="17"/>
      <c r="ABN5" s="17"/>
      <c r="ABO5" s="17"/>
      <c r="ABP5" s="17"/>
      <c r="ABQ5" s="17"/>
      <c r="ABR5" s="17"/>
      <c r="ABS5" s="17"/>
      <c r="ABT5" s="17"/>
      <c r="ABU5" s="17"/>
      <c r="ABV5" s="17"/>
      <c r="ABW5" s="17"/>
      <c r="ABX5" s="17"/>
      <c r="ABY5" s="17"/>
      <c r="ABZ5" s="17"/>
      <c r="ACA5" s="17"/>
      <c r="ACB5" s="17"/>
      <c r="ACC5" s="17"/>
      <c r="ACD5" s="17"/>
      <c r="ACE5" s="17"/>
      <c r="ACF5" s="17"/>
      <c r="ACG5" s="17"/>
      <c r="ACH5" s="17"/>
      <c r="ACI5" s="17"/>
      <c r="ACJ5" s="17"/>
      <c r="ACK5" s="17"/>
      <c r="ACL5" s="17"/>
      <c r="ACM5" s="17"/>
      <c r="ACN5" s="17"/>
      <c r="ACO5" s="17"/>
      <c r="ACP5" s="17"/>
      <c r="ACQ5" s="17"/>
      <c r="ACR5" s="17"/>
      <c r="ACS5" s="17"/>
      <c r="ACT5" s="17"/>
      <c r="ACU5" s="17"/>
      <c r="ACV5" s="17"/>
      <c r="ACW5" s="17"/>
      <c r="ACX5" s="17"/>
      <c r="ACY5" s="17"/>
      <c r="ACZ5" s="17"/>
      <c r="ADA5" s="17"/>
      <c r="ADB5" s="17"/>
      <c r="ADC5" s="17"/>
      <c r="ADD5" s="17"/>
      <c r="ADE5" s="17"/>
      <c r="ADF5" s="17"/>
      <c r="ADG5" s="17"/>
      <c r="ADH5" s="17"/>
      <c r="ADI5" s="17"/>
      <c r="ADJ5" s="17"/>
      <c r="ADK5" s="17"/>
      <c r="ADL5" s="17"/>
      <c r="ADM5" s="17"/>
      <c r="ADN5" s="17"/>
      <c r="ADO5" s="17"/>
      <c r="ADP5" s="17"/>
      <c r="ADQ5" s="17"/>
      <c r="ADR5" s="17"/>
      <c r="ADS5" s="17"/>
      <c r="ADT5" s="17"/>
      <c r="ADU5" s="17"/>
      <c r="ADV5" s="17"/>
      <c r="ADW5" s="17"/>
      <c r="ADX5" s="17"/>
      <c r="ADY5" s="17"/>
      <c r="ADZ5" s="17"/>
      <c r="AEA5" s="17"/>
      <c r="AEB5" s="17"/>
      <c r="AEC5" s="17"/>
      <c r="AED5" s="17"/>
      <c r="AEE5" s="17"/>
      <c r="AEF5" s="17"/>
      <c r="AEG5" s="17"/>
      <c r="AEH5" s="17"/>
      <c r="AEI5" s="17"/>
      <c r="AEJ5" s="17"/>
      <c r="AEK5" s="17"/>
      <c r="AEL5" s="17"/>
      <c r="AEM5" s="17"/>
      <c r="AEN5" s="17"/>
      <c r="AEO5" s="17"/>
      <c r="AEP5" s="17"/>
      <c r="AEQ5" s="17"/>
      <c r="AER5" s="17"/>
      <c r="AES5" s="17"/>
      <c r="AET5" s="17"/>
      <c r="AEU5" s="17"/>
      <c r="AEV5" s="17"/>
      <c r="AEW5" s="17"/>
      <c r="AEX5" s="17"/>
      <c r="AEY5" s="17"/>
      <c r="AEZ5" s="17"/>
      <c r="AFA5" s="17"/>
      <c r="AFB5" s="17"/>
      <c r="AFC5" s="17"/>
      <c r="AFD5" s="17"/>
      <c r="AFE5" s="17"/>
      <c r="AFF5" s="17"/>
      <c r="AFG5" s="17"/>
      <c r="AFH5" s="17"/>
      <c r="AFI5" s="17"/>
      <c r="AFJ5" s="17"/>
      <c r="AFK5" s="17"/>
      <c r="AFL5" s="17"/>
      <c r="AFM5" s="17"/>
      <c r="AFN5" s="17"/>
      <c r="AFO5" s="17"/>
      <c r="AFP5" s="17"/>
      <c r="AFQ5" s="17"/>
      <c r="AFR5" s="17"/>
      <c r="AFS5" s="17"/>
      <c r="AFT5" s="17"/>
      <c r="AFU5" s="17"/>
      <c r="AFV5" s="17"/>
      <c r="AFW5" s="17"/>
      <c r="AFX5" s="17"/>
      <c r="AFY5" s="17"/>
      <c r="AFZ5" s="17"/>
      <c r="AGA5" s="17"/>
      <c r="AGB5" s="17"/>
      <c r="AGC5" s="17"/>
      <c r="AGD5" s="17"/>
      <c r="AGE5" s="17"/>
      <c r="AGF5" s="17"/>
      <c r="AGG5" s="17"/>
      <c r="AGH5" s="17"/>
      <c r="AGI5" s="17"/>
      <c r="AGJ5" s="17"/>
      <c r="AGK5" s="17"/>
      <c r="AGL5" s="17"/>
      <c r="AGM5" s="17"/>
      <c r="AGN5" s="17"/>
      <c r="AGO5" s="17"/>
      <c r="AGP5" s="17"/>
      <c r="AGQ5" s="17"/>
      <c r="AGR5" s="17"/>
      <c r="AGS5" s="17"/>
      <c r="AGT5" s="17"/>
      <c r="AGU5" s="17"/>
      <c r="AGV5" s="17"/>
      <c r="AGW5" s="17"/>
      <c r="AGX5" s="17"/>
      <c r="AGY5" s="17"/>
      <c r="AGZ5" s="17"/>
      <c r="AHA5" s="17"/>
      <c r="AHB5" s="17"/>
      <c r="AHC5" s="17"/>
      <c r="AHD5" s="17"/>
      <c r="AHE5" s="17"/>
      <c r="AHF5" s="17"/>
      <c r="AHG5" s="17"/>
      <c r="AHH5" s="17"/>
      <c r="AHI5" s="17"/>
      <c r="AHJ5" s="17"/>
      <c r="AHK5" s="17"/>
      <c r="AHL5" s="17"/>
      <c r="AHM5" s="17"/>
      <c r="AHN5" s="17"/>
      <c r="AHO5" s="17"/>
      <c r="AHP5" s="17"/>
      <c r="AHQ5" s="17"/>
      <c r="AHR5" s="17"/>
      <c r="AHS5" s="17"/>
      <c r="AHT5" s="17"/>
      <c r="AHU5" s="17"/>
      <c r="AHV5" s="17"/>
      <c r="AHW5" s="17"/>
      <c r="AHX5" s="17"/>
      <c r="AHY5" s="17"/>
      <c r="AHZ5" s="17"/>
      <c r="AIA5" s="17"/>
      <c r="AIB5" s="17"/>
      <c r="AIC5" s="17"/>
      <c r="AID5" s="17"/>
      <c r="AIE5" s="17"/>
      <c r="AIF5" s="17"/>
      <c r="AIG5" s="17"/>
      <c r="AIH5" s="17"/>
      <c r="AII5" s="17"/>
      <c r="AIJ5" s="17"/>
      <c r="AIK5" s="17"/>
      <c r="AIL5" s="17"/>
      <c r="AIM5" s="17"/>
      <c r="AIN5" s="17"/>
      <c r="AIO5" s="17"/>
      <c r="AIP5" s="17"/>
      <c r="AIQ5" s="17"/>
      <c r="AIR5" s="17"/>
      <c r="AIS5" s="17"/>
      <c r="AIT5" s="17"/>
      <c r="AIU5" s="17"/>
      <c r="AIV5" s="17"/>
      <c r="AIW5" s="17"/>
      <c r="AIX5" s="17"/>
      <c r="AIY5" s="17"/>
      <c r="AIZ5" s="17"/>
      <c r="AJA5" s="17"/>
      <c r="AJB5" s="17"/>
      <c r="AJC5" s="17"/>
      <c r="AJD5" s="17"/>
      <c r="AJE5" s="17"/>
      <c r="AJF5" s="17"/>
      <c r="AJG5" s="17"/>
      <c r="AJH5" s="17"/>
      <c r="AJI5" s="17"/>
      <c r="AJJ5" s="17"/>
      <c r="AJK5" s="17"/>
      <c r="AJL5" s="17"/>
      <c r="AJM5" s="17"/>
      <c r="AJN5" s="17"/>
      <c r="AJO5" s="17"/>
      <c r="AJP5" s="17"/>
      <c r="AJQ5" s="17"/>
      <c r="AJR5" s="17"/>
      <c r="AJS5" s="17"/>
      <c r="AJT5" s="17"/>
      <c r="AJU5" s="17"/>
      <c r="AJV5" s="17"/>
      <c r="AJW5" s="17"/>
      <c r="AJX5" s="17"/>
      <c r="AJY5" s="17"/>
      <c r="AJZ5" s="17"/>
      <c r="AKA5" s="17"/>
      <c r="AKB5" s="17"/>
      <c r="AKC5" s="17"/>
      <c r="AKD5" s="17"/>
      <c r="AKE5" s="17"/>
      <c r="AKF5" s="17"/>
      <c r="AKG5" s="17"/>
      <c r="AKH5" s="17"/>
      <c r="AKI5" s="17"/>
      <c r="AKJ5" s="17"/>
      <c r="AKK5" s="17"/>
      <c r="AKL5" s="17"/>
      <c r="AKM5" s="17"/>
      <c r="AKN5" s="17"/>
      <c r="AKO5" s="17"/>
      <c r="AKP5" s="17"/>
      <c r="AKQ5" s="17"/>
      <c r="AKR5" s="17"/>
      <c r="AKS5" s="17"/>
      <c r="AKT5" s="17"/>
      <c r="AKU5" s="17"/>
      <c r="AKV5" s="17"/>
      <c r="AKW5" s="17"/>
      <c r="AKX5" s="17"/>
      <c r="AKY5" s="17"/>
      <c r="AKZ5" s="17"/>
      <c r="ALA5" s="17"/>
      <c r="ALB5" s="17"/>
      <c r="ALC5" s="17"/>
      <c r="ALD5" s="17"/>
      <c r="ALE5" s="17"/>
      <c r="ALF5" s="17"/>
      <c r="ALG5" s="17"/>
      <c r="ALH5" s="17"/>
      <c r="ALI5" s="17"/>
      <c r="ALJ5" s="17"/>
      <c r="ALK5" s="17"/>
      <c r="ALL5" s="17"/>
    </row>
    <row r="6" spans="1:1000" s="19" customFormat="1">
      <c r="A6" s="803" t="s">
        <v>15</v>
      </c>
      <c r="B6" s="902" t="s">
        <v>61</v>
      </c>
      <c r="C6" s="66" t="s">
        <v>61</v>
      </c>
      <c r="D6" s="66" t="s">
        <v>61</v>
      </c>
      <c r="E6" s="66" t="s">
        <v>61</v>
      </c>
      <c r="F6" s="66" t="s">
        <v>61</v>
      </c>
      <c r="G6" s="66" t="s">
        <v>61</v>
      </c>
      <c r="H6" s="66" t="s">
        <v>61</v>
      </c>
      <c r="I6" s="66" t="s">
        <v>61</v>
      </c>
      <c r="J6" s="909" t="s">
        <v>61</v>
      </c>
      <c r="K6" s="66" t="s">
        <v>61</v>
      </c>
      <c r="L6" s="66" t="s">
        <v>61</v>
      </c>
      <c r="M6" s="66" t="s">
        <v>61</v>
      </c>
      <c r="N6" s="66" t="s">
        <v>61</v>
      </c>
      <c r="O6" s="66" t="s">
        <v>61</v>
      </c>
      <c r="P6" s="66" t="s">
        <v>61</v>
      </c>
      <c r="Q6" s="909" t="s">
        <v>61</v>
      </c>
      <c r="R6" s="66" t="s">
        <v>61</v>
      </c>
      <c r="S6" s="66" t="s">
        <v>61</v>
      </c>
      <c r="T6" s="66" t="s">
        <v>61</v>
      </c>
      <c r="U6" s="66" t="s">
        <v>61</v>
      </c>
      <c r="V6" s="66" t="s">
        <v>61</v>
      </c>
      <c r="W6" s="66" t="s">
        <v>61</v>
      </c>
      <c r="X6" s="909" t="s">
        <v>61</v>
      </c>
      <c r="Y6" s="66" t="s">
        <v>61</v>
      </c>
      <c r="Z6" s="66" t="s">
        <v>61</v>
      </c>
      <c r="AA6" s="66" t="s">
        <v>61</v>
      </c>
      <c r="AB6" s="66" t="s">
        <v>61</v>
      </c>
      <c r="AC6" s="915" t="s">
        <v>61</v>
      </c>
      <c r="AD6" s="902" t="s">
        <v>61</v>
      </c>
      <c r="AE6" s="909" t="s">
        <v>61</v>
      </c>
      <c r="AF6" s="66" t="s">
        <v>61</v>
      </c>
      <c r="AG6" s="66" t="s">
        <v>61</v>
      </c>
      <c r="AH6" s="66" t="s">
        <v>61</v>
      </c>
      <c r="AI6" s="66" t="s">
        <v>61</v>
      </c>
      <c r="AJ6" s="66" t="s">
        <v>61</v>
      </c>
      <c r="AK6" s="66" t="s">
        <v>61</v>
      </c>
      <c r="AL6" s="909" t="s">
        <v>61</v>
      </c>
      <c r="AM6" s="66" t="s">
        <v>61</v>
      </c>
      <c r="AN6" s="66" t="s">
        <v>61</v>
      </c>
      <c r="AO6" s="66" t="s">
        <v>61</v>
      </c>
      <c r="AP6" s="66" t="s">
        <v>61</v>
      </c>
      <c r="AQ6" s="66" t="s">
        <v>61</v>
      </c>
      <c r="AR6" s="66" t="s">
        <v>61</v>
      </c>
      <c r="AS6" s="909" t="s">
        <v>61</v>
      </c>
      <c r="AT6" s="66" t="s">
        <v>61</v>
      </c>
      <c r="AU6" s="66" t="s">
        <v>61</v>
      </c>
      <c r="AV6" s="66" t="s">
        <v>61</v>
      </c>
      <c r="AW6" s="66" t="s">
        <v>61</v>
      </c>
      <c r="AX6" s="66" t="s">
        <v>61</v>
      </c>
      <c r="AY6" s="66" t="s">
        <v>61</v>
      </c>
      <c r="AZ6" s="909" t="s">
        <v>61</v>
      </c>
      <c r="BA6" s="66" t="s">
        <v>61</v>
      </c>
      <c r="BB6" s="66" t="s">
        <v>61</v>
      </c>
      <c r="BC6" s="66" t="s">
        <v>61</v>
      </c>
      <c r="BD6" s="66" t="s">
        <v>61</v>
      </c>
      <c r="BE6" s="66" t="s">
        <v>61</v>
      </c>
      <c r="BF6" s="66" t="s">
        <v>61</v>
      </c>
      <c r="BG6" s="909" t="s">
        <v>61</v>
      </c>
      <c r="BH6" s="915" t="s">
        <v>61</v>
      </c>
      <c r="BI6" s="902" t="s">
        <v>61</v>
      </c>
      <c r="BJ6" s="66" t="s">
        <v>61</v>
      </c>
      <c r="BK6" s="66" t="s">
        <v>61</v>
      </c>
      <c r="BL6" s="66" t="s">
        <v>61</v>
      </c>
      <c r="BM6" s="66" t="s">
        <v>61</v>
      </c>
      <c r="BN6" s="909" t="s">
        <v>61</v>
      </c>
      <c r="BO6" s="66" t="s">
        <v>61</v>
      </c>
      <c r="BP6" s="66" t="s">
        <v>61</v>
      </c>
      <c r="BQ6" s="66" t="s">
        <v>61</v>
      </c>
      <c r="BR6" s="66" t="s">
        <v>61</v>
      </c>
      <c r="BS6" s="66" t="s">
        <v>61</v>
      </c>
      <c r="BT6" s="66" t="s">
        <v>61</v>
      </c>
      <c r="BU6" s="909" t="s">
        <v>61</v>
      </c>
      <c r="BV6" s="66" t="s">
        <v>61</v>
      </c>
      <c r="BW6" s="66" t="s">
        <v>61</v>
      </c>
      <c r="BX6" s="66" t="s">
        <v>61</v>
      </c>
      <c r="BY6" s="66" t="s">
        <v>61</v>
      </c>
      <c r="BZ6" s="66" t="s">
        <v>61</v>
      </c>
      <c r="CA6" s="66" t="s">
        <v>61</v>
      </c>
      <c r="CB6" s="909" t="s">
        <v>61</v>
      </c>
      <c r="CC6" s="66" t="s">
        <v>61</v>
      </c>
      <c r="CD6" s="66" t="s">
        <v>61</v>
      </c>
      <c r="CE6" s="66" t="s">
        <v>61</v>
      </c>
      <c r="CF6" s="66" t="s">
        <v>61</v>
      </c>
      <c r="CG6" s="66" t="s">
        <v>61</v>
      </c>
      <c r="CH6" s="66" t="s">
        <v>61</v>
      </c>
      <c r="CI6" s="909" t="s">
        <v>61</v>
      </c>
      <c r="CJ6" s="66" t="s">
        <v>61</v>
      </c>
      <c r="CK6" s="66" t="s">
        <v>61</v>
      </c>
      <c r="CL6" s="915" t="s">
        <v>61</v>
      </c>
      <c r="CM6" s="902" t="s">
        <v>61</v>
      </c>
      <c r="CN6" s="66" t="s">
        <v>61</v>
      </c>
      <c r="CO6" s="66" t="s">
        <v>61</v>
      </c>
      <c r="CP6" s="909" t="s">
        <v>61</v>
      </c>
      <c r="CQ6" s="66" t="s">
        <v>61</v>
      </c>
      <c r="CR6" s="66" t="s">
        <v>61</v>
      </c>
      <c r="CS6" s="66" t="s">
        <v>61</v>
      </c>
      <c r="CT6" s="66" t="s">
        <v>61</v>
      </c>
      <c r="CU6" s="66" t="s">
        <v>61</v>
      </c>
      <c r="CV6" s="66" t="s">
        <v>61</v>
      </c>
      <c r="CW6" s="909" t="s">
        <v>61</v>
      </c>
      <c r="CX6" s="66" t="s">
        <v>61</v>
      </c>
      <c r="CY6" s="66" t="s">
        <v>61</v>
      </c>
      <c r="CZ6" s="66" t="s">
        <v>61</v>
      </c>
      <c r="DA6" s="66" t="s">
        <v>61</v>
      </c>
      <c r="DB6" s="66" t="s">
        <v>61</v>
      </c>
      <c r="DC6" s="66" t="s">
        <v>61</v>
      </c>
      <c r="DD6" s="909" t="s">
        <v>61</v>
      </c>
      <c r="DE6" s="66" t="s">
        <v>61</v>
      </c>
      <c r="DF6" s="66" t="s">
        <v>61</v>
      </c>
      <c r="DG6" s="66" t="s">
        <v>61</v>
      </c>
      <c r="DH6" s="66" t="s">
        <v>61</v>
      </c>
      <c r="DI6" s="66" t="s">
        <v>61</v>
      </c>
      <c r="DJ6" s="66" t="s">
        <v>61</v>
      </c>
      <c r="DK6" s="909" t="s">
        <v>61</v>
      </c>
      <c r="DL6" s="66" t="s">
        <v>61</v>
      </c>
      <c r="DM6" s="66" t="s">
        <v>61</v>
      </c>
      <c r="DN6" s="66" t="s">
        <v>61</v>
      </c>
      <c r="DO6" s="66" t="s">
        <v>61</v>
      </c>
      <c r="DP6" s="67">
        <v>198</v>
      </c>
      <c r="DQ6" s="923">
        <v>198</v>
      </c>
      <c r="DR6" s="902" t="s">
        <v>3899</v>
      </c>
      <c r="DS6" s="66" t="s">
        <v>3899</v>
      </c>
      <c r="DT6" s="66" t="s">
        <v>3899</v>
      </c>
      <c r="DU6" s="66" t="s">
        <v>3899</v>
      </c>
      <c r="DV6" s="66" t="s">
        <v>3899</v>
      </c>
      <c r="DW6" s="66" t="s">
        <v>3899</v>
      </c>
      <c r="DX6" s="67">
        <v>198</v>
      </c>
      <c r="DY6" s="922">
        <v>198</v>
      </c>
      <c r="DZ6" s="67">
        <v>198</v>
      </c>
      <c r="EA6" s="67">
        <v>198</v>
      </c>
      <c r="EB6" s="67">
        <v>198</v>
      </c>
      <c r="EC6" s="67">
        <v>198</v>
      </c>
      <c r="ED6" s="66" t="s">
        <v>3899</v>
      </c>
      <c r="EE6" s="66" t="s">
        <v>3899</v>
      </c>
      <c r="EF6" s="909" t="s">
        <v>3899</v>
      </c>
      <c r="EG6" s="66" t="s">
        <v>3899</v>
      </c>
      <c r="EH6" s="66" t="s">
        <v>3899</v>
      </c>
      <c r="EI6" s="66" t="s">
        <v>3899</v>
      </c>
      <c r="EJ6" s="67">
        <v>198</v>
      </c>
      <c r="EK6" s="67">
        <v>198</v>
      </c>
      <c r="EL6" s="67">
        <v>198</v>
      </c>
      <c r="EM6" s="922">
        <v>198</v>
      </c>
      <c r="EN6" s="67">
        <v>198</v>
      </c>
      <c r="EO6" s="67">
        <v>198</v>
      </c>
      <c r="EP6" s="67">
        <v>198</v>
      </c>
      <c r="EQ6" s="67">
        <v>198</v>
      </c>
      <c r="ER6" s="67">
        <v>198</v>
      </c>
      <c r="ES6" s="67">
        <v>198</v>
      </c>
      <c r="ET6" s="909" t="s">
        <v>61</v>
      </c>
      <c r="EU6" s="915" t="s">
        <v>61</v>
      </c>
      <c r="EV6" s="902" t="s">
        <v>61</v>
      </c>
      <c r="EW6" s="66" t="s">
        <v>61</v>
      </c>
      <c r="EX6" s="66" t="s">
        <v>61</v>
      </c>
      <c r="EY6" s="66" t="s">
        <v>61</v>
      </c>
      <c r="EZ6" s="66" t="s">
        <v>61</v>
      </c>
      <c r="FA6" s="909" t="s">
        <v>61</v>
      </c>
      <c r="FB6" s="66" t="s">
        <v>61</v>
      </c>
      <c r="FC6" s="66" t="s">
        <v>61</v>
      </c>
      <c r="FD6" s="66" t="s">
        <v>61</v>
      </c>
      <c r="FE6" s="66" t="s">
        <v>61</v>
      </c>
      <c r="FF6" s="66" t="s">
        <v>61</v>
      </c>
      <c r="FG6" s="66" t="s">
        <v>61</v>
      </c>
      <c r="FH6" s="909" t="s">
        <v>61</v>
      </c>
      <c r="FI6" s="66" t="s">
        <v>61</v>
      </c>
      <c r="FJ6" s="66" t="s">
        <v>61</v>
      </c>
      <c r="FK6" s="66" t="s">
        <v>61</v>
      </c>
      <c r="FL6" s="66" t="s">
        <v>61</v>
      </c>
      <c r="FM6" s="66" t="s">
        <v>61</v>
      </c>
      <c r="FN6" s="66" t="s">
        <v>61</v>
      </c>
      <c r="FO6" s="909" t="s">
        <v>61</v>
      </c>
      <c r="FP6" s="66" t="s">
        <v>61</v>
      </c>
      <c r="FQ6" s="66" t="s">
        <v>61</v>
      </c>
      <c r="FR6" s="66" t="s">
        <v>61</v>
      </c>
      <c r="FS6" s="66" t="s">
        <v>61</v>
      </c>
      <c r="FT6" s="66" t="s">
        <v>61</v>
      </c>
      <c r="FU6" s="66" t="s">
        <v>61</v>
      </c>
      <c r="FV6" s="909" t="s">
        <v>61</v>
      </c>
      <c r="FW6" s="66" t="s">
        <v>61</v>
      </c>
      <c r="FX6" s="66" t="s">
        <v>61</v>
      </c>
      <c r="FY6" s="66" t="s">
        <v>61</v>
      </c>
      <c r="FZ6" s="915" t="s">
        <v>61</v>
      </c>
      <c r="GA6" s="902" t="s">
        <v>61</v>
      </c>
      <c r="GB6" s="66" t="s">
        <v>61</v>
      </c>
      <c r="GC6" s="909" t="s">
        <v>61</v>
      </c>
      <c r="GD6" s="66" t="s">
        <v>61</v>
      </c>
      <c r="GE6" s="66" t="s">
        <v>61</v>
      </c>
      <c r="GF6" s="66" t="s">
        <v>61</v>
      </c>
      <c r="GG6" s="66" t="s">
        <v>61</v>
      </c>
      <c r="GH6" s="66" t="s">
        <v>61</v>
      </c>
      <c r="GI6" s="66" t="s">
        <v>61</v>
      </c>
      <c r="GJ6" s="909" t="s">
        <v>61</v>
      </c>
      <c r="GK6" s="66" t="s">
        <v>61</v>
      </c>
      <c r="GL6" s="66" t="s">
        <v>61</v>
      </c>
      <c r="GM6" s="66" t="s">
        <v>61</v>
      </c>
      <c r="GN6" s="66" t="s">
        <v>61</v>
      </c>
      <c r="GO6" s="66" t="s">
        <v>61</v>
      </c>
      <c r="GP6" s="66" t="s">
        <v>61</v>
      </c>
      <c r="GQ6" s="909" t="s">
        <v>61</v>
      </c>
      <c r="GR6" s="66" t="s">
        <v>61</v>
      </c>
      <c r="GS6" s="66" t="s">
        <v>61</v>
      </c>
      <c r="GT6" s="66" t="s">
        <v>61</v>
      </c>
      <c r="GU6" s="66" t="s">
        <v>61</v>
      </c>
      <c r="GV6" s="66" t="s">
        <v>61</v>
      </c>
      <c r="GW6" s="66" t="s">
        <v>61</v>
      </c>
      <c r="GX6" s="909" t="s">
        <v>61</v>
      </c>
      <c r="GY6" s="66" t="s">
        <v>61</v>
      </c>
      <c r="GZ6" s="66" t="s">
        <v>61</v>
      </c>
      <c r="HA6" s="66" t="s">
        <v>61</v>
      </c>
      <c r="HB6" s="66" t="s">
        <v>61</v>
      </c>
      <c r="HC6" s="66" t="s">
        <v>61</v>
      </c>
      <c r="HD6" s="66" t="s">
        <v>61</v>
      </c>
      <c r="HE6" s="920" t="s">
        <v>61</v>
      </c>
      <c r="HF6" s="902" t="s">
        <v>61</v>
      </c>
      <c r="HG6" s="66" t="s">
        <v>61</v>
      </c>
      <c r="HH6" s="66" t="s">
        <v>61</v>
      </c>
      <c r="HI6" s="66" t="s">
        <v>61</v>
      </c>
      <c r="HJ6" s="66" t="s">
        <v>61</v>
      </c>
      <c r="HK6" s="66" t="s">
        <v>61</v>
      </c>
      <c r="HL6" s="909" t="s">
        <v>61</v>
      </c>
      <c r="HM6" s="66" t="s">
        <v>61</v>
      </c>
      <c r="HN6" s="66" t="s">
        <v>61</v>
      </c>
      <c r="HO6" s="66" t="s">
        <v>61</v>
      </c>
      <c r="HP6" s="66" t="s">
        <v>61</v>
      </c>
      <c r="HQ6" s="66" t="s">
        <v>61</v>
      </c>
      <c r="HR6" s="66" t="s">
        <v>61</v>
      </c>
      <c r="HS6" s="909" t="s">
        <v>61</v>
      </c>
      <c r="HT6" s="66" t="s">
        <v>61</v>
      </c>
      <c r="HU6" s="66" t="s">
        <v>61</v>
      </c>
      <c r="HV6" s="66" t="s">
        <v>61</v>
      </c>
      <c r="HW6" s="66" t="s">
        <v>61</v>
      </c>
      <c r="HX6" s="67">
        <v>198</v>
      </c>
      <c r="HY6" s="67">
        <v>198</v>
      </c>
      <c r="HZ6" s="922">
        <v>198</v>
      </c>
      <c r="IA6" s="67">
        <v>198</v>
      </c>
      <c r="IB6" s="67">
        <v>198</v>
      </c>
      <c r="IC6" s="67">
        <v>198</v>
      </c>
      <c r="ID6" s="67">
        <v>198</v>
      </c>
      <c r="IE6" s="67">
        <v>198</v>
      </c>
      <c r="IF6" s="67">
        <v>198</v>
      </c>
      <c r="IG6" s="922">
        <v>198</v>
      </c>
      <c r="IH6" s="67">
        <v>198</v>
      </c>
      <c r="II6" s="923">
        <v>198</v>
      </c>
      <c r="IJ6" s="924">
        <v>170</v>
      </c>
      <c r="IK6" s="67">
        <v>170</v>
      </c>
      <c r="IL6" s="67">
        <v>170</v>
      </c>
      <c r="IM6" s="67">
        <v>170</v>
      </c>
      <c r="IN6" s="922">
        <v>170</v>
      </c>
      <c r="IO6" s="67">
        <v>170</v>
      </c>
      <c r="IP6" s="67">
        <v>170</v>
      </c>
      <c r="IQ6" s="67">
        <v>170</v>
      </c>
      <c r="IR6" s="67">
        <v>170</v>
      </c>
      <c r="IS6" s="67">
        <v>170</v>
      </c>
      <c r="IT6" s="67">
        <v>170</v>
      </c>
      <c r="IU6" s="922">
        <v>170</v>
      </c>
      <c r="IV6" s="67">
        <v>170</v>
      </c>
      <c r="IW6" s="67">
        <v>170</v>
      </c>
      <c r="IX6" s="67">
        <v>170</v>
      </c>
      <c r="IY6" s="67">
        <v>170</v>
      </c>
      <c r="IZ6" s="67">
        <v>170</v>
      </c>
      <c r="JA6" s="67">
        <v>170</v>
      </c>
      <c r="JB6" s="922">
        <v>170</v>
      </c>
      <c r="JC6" s="67">
        <v>170</v>
      </c>
      <c r="JD6" s="67">
        <v>170</v>
      </c>
      <c r="JE6" s="67">
        <v>170</v>
      </c>
      <c r="JF6" s="67">
        <v>170</v>
      </c>
      <c r="JG6" s="67">
        <v>170</v>
      </c>
      <c r="JH6" s="67">
        <v>170</v>
      </c>
      <c r="JI6" s="922">
        <v>170</v>
      </c>
      <c r="JJ6" s="67">
        <v>170</v>
      </c>
      <c r="JK6" s="67">
        <v>170</v>
      </c>
      <c r="JL6" s="67">
        <v>170</v>
      </c>
      <c r="JM6" s="67">
        <v>170</v>
      </c>
      <c r="JN6" s="923">
        <v>170</v>
      </c>
      <c r="JO6" s="924">
        <v>198</v>
      </c>
      <c r="JP6" s="922">
        <v>198</v>
      </c>
      <c r="JQ6" s="67">
        <v>198</v>
      </c>
      <c r="JR6" s="67">
        <v>198</v>
      </c>
      <c r="JS6" s="67">
        <v>198</v>
      </c>
      <c r="JT6" s="67">
        <v>198</v>
      </c>
      <c r="JU6" s="67">
        <v>198</v>
      </c>
      <c r="JV6" s="67">
        <v>198</v>
      </c>
      <c r="JW6" s="922">
        <v>198</v>
      </c>
      <c r="JX6" s="67">
        <v>198</v>
      </c>
      <c r="JY6" s="67">
        <v>198</v>
      </c>
      <c r="JZ6" s="67">
        <v>198</v>
      </c>
      <c r="KA6" s="67">
        <v>198</v>
      </c>
      <c r="KB6" s="67">
        <v>198</v>
      </c>
      <c r="KC6" s="67">
        <v>198</v>
      </c>
      <c r="KD6" s="922">
        <v>198</v>
      </c>
      <c r="KE6" s="67">
        <v>198</v>
      </c>
      <c r="KF6" s="67">
        <v>198</v>
      </c>
      <c r="KG6" s="67">
        <v>198</v>
      </c>
      <c r="KH6" s="67">
        <v>198</v>
      </c>
      <c r="KI6" s="67">
        <v>198</v>
      </c>
      <c r="KJ6" s="67">
        <v>198</v>
      </c>
      <c r="KK6" s="922">
        <v>198</v>
      </c>
      <c r="KL6" s="67">
        <v>198</v>
      </c>
      <c r="KM6" s="67">
        <v>198</v>
      </c>
      <c r="KN6" s="67">
        <v>198</v>
      </c>
      <c r="KO6" s="67">
        <v>198</v>
      </c>
      <c r="KP6" s="67">
        <v>198</v>
      </c>
      <c r="KQ6" s="67">
        <v>198</v>
      </c>
      <c r="KR6" s="925">
        <v>198</v>
      </c>
      <c r="KS6" s="924">
        <v>198</v>
      </c>
      <c r="KT6" s="67">
        <v>198</v>
      </c>
      <c r="KU6" s="67">
        <v>198</v>
      </c>
      <c r="KV6" s="67">
        <v>198</v>
      </c>
      <c r="KW6" s="67">
        <v>198</v>
      </c>
      <c r="KX6" s="67">
        <v>198</v>
      </c>
      <c r="KY6" s="922">
        <v>198</v>
      </c>
      <c r="KZ6" s="67">
        <v>198</v>
      </c>
      <c r="LA6" s="67">
        <v>198</v>
      </c>
      <c r="LB6" s="67">
        <v>198</v>
      </c>
      <c r="LC6" s="67">
        <v>198</v>
      </c>
      <c r="LD6" s="67">
        <v>198</v>
      </c>
      <c r="LE6" s="67">
        <v>198</v>
      </c>
      <c r="LF6" s="922">
        <v>198</v>
      </c>
      <c r="LG6" s="67">
        <v>198</v>
      </c>
      <c r="LH6" s="67">
        <v>198</v>
      </c>
      <c r="LI6" s="67">
        <v>198</v>
      </c>
      <c r="LJ6" s="67">
        <v>198</v>
      </c>
      <c r="LK6" s="67">
        <v>198</v>
      </c>
      <c r="LL6" s="67">
        <v>198</v>
      </c>
      <c r="LM6" s="922">
        <v>198</v>
      </c>
      <c r="LN6" s="67">
        <v>198</v>
      </c>
      <c r="LO6" s="67">
        <v>198</v>
      </c>
      <c r="LP6" s="67">
        <v>198</v>
      </c>
      <c r="LQ6" s="67">
        <v>198</v>
      </c>
      <c r="LR6" s="67">
        <v>198</v>
      </c>
      <c r="LS6" s="67">
        <v>198</v>
      </c>
      <c r="LT6" s="922">
        <v>198</v>
      </c>
      <c r="LU6" s="67">
        <v>198</v>
      </c>
      <c r="LV6" s="67">
        <v>198</v>
      </c>
      <c r="LW6" s="923">
        <v>198</v>
      </c>
      <c r="LX6" s="67">
        <v>198</v>
      </c>
      <c r="LY6" s="67">
        <v>198</v>
      </c>
      <c r="LZ6" s="67">
        <v>198</v>
      </c>
      <c r="MA6" s="922">
        <v>198</v>
      </c>
      <c r="MB6" s="67">
        <v>198</v>
      </c>
      <c r="MC6" s="67">
        <v>198</v>
      </c>
      <c r="MD6" s="67">
        <v>198</v>
      </c>
      <c r="ME6" s="67">
        <v>198</v>
      </c>
      <c r="MF6" s="67">
        <v>198</v>
      </c>
      <c r="MG6" s="67">
        <v>198</v>
      </c>
      <c r="MH6" s="922">
        <v>198</v>
      </c>
      <c r="MI6" s="67">
        <v>198</v>
      </c>
      <c r="MJ6" s="67">
        <v>198</v>
      </c>
      <c r="MK6" s="67">
        <v>198</v>
      </c>
      <c r="ML6" s="67">
        <v>198</v>
      </c>
      <c r="MM6" s="67">
        <v>198</v>
      </c>
      <c r="MN6" s="67">
        <v>198</v>
      </c>
      <c r="MO6" s="922">
        <v>198</v>
      </c>
      <c r="MP6" s="67">
        <v>198</v>
      </c>
      <c r="MQ6" s="67">
        <v>198</v>
      </c>
      <c r="MR6" s="67">
        <v>198</v>
      </c>
      <c r="MS6" s="67">
        <v>198</v>
      </c>
      <c r="MT6" s="67">
        <v>198</v>
      </c>
      <c r="MU6" s="67">
        <v>198</v>
      </c>
      <c r="MV6" s="922">
        <v>198</v>
      </c>
      <c r="MW6" s="67">
        <v>198</v>
      </c>
      <c r="MX6" s="67">
        <v>198</v>
      </c>
      <c r="MY6" s="67">
        <v>198</v>
      </c>
      <c r="MZ6" s="67">
        <v>198</v>
      </c>
      <c r="NA6" s="67">
        <v>198</v>
      </c>
      <c r="NB6" s="67">
        <v>198</v>
      </c>
      <c r="NC6" s="903"/>
      <c r="ND6" s="15"/>
      <c r="NE6" s="15"/>
      <c r="NF6" s="15"/>
      <c r="NG6" s="15"/>
      <c r="NH6" s="15"/>
      <c r="NI6" s="15"/>
      <c r="NJ6" s="15"/>
      <c r="NK6" s="15"/>
      <c r="NL6" s="15"/>
      <c r="NM6" s="15"/>
      <c r="NN6" s="15"/>
      <c r="NO6" s="15"/>
      <c r="NP6" s="15"/>
      <c r="NQ6" s="15"/>
      <c r="NR6" s="15"/>
      <c r="NS6" s="15"/>
      <c r="NT6" s="15"/>
      <c r="NU6" s="15"/>
      <c r="NV6" s="15"/>
      <c r="NW6" s="15"/>
      <c r="NX6" s="15"/>
      <c r="NY6" s="15"/>
      <c r="NZ6" s="15"/>
      <c r="OA6" s="15"/>
      <c r="OB6" s="15"/>
      <c r="OC6" s="15"/>
      <c r="OD6" s="15"/>
      <c r="OE6" s="15"/>
      <c r="OF6" s="15"/>
      <c r="OG6" s="15"/>
      <c r="OH6" s="15"/>
      <c r="OI6" s="15"/>
      <c r="OJ6" s="15"/>
      <c r="OK6" s="15"/>
      <c r="OL6" s="15"/>
      <c r="OM6" s="15"/>
      <c r="ON6" s="15"/>
      <c r="OO6" s="15"/>
      <c r="OP6" s="15"/>
      <c r="OQ6" s="15"/>
      <c r="OR6" s="15"/>
      <c r="OS6" s="15"/>
      <c r="OT6" s="15"/>
      <c r="OU6" s="15"/>
      <c r="OV6" s="15"/>
      <c r="OW6" s="15"/>
      <c r="OX6" s="15"/>
      <c r="OY6" s="15"/>
      <c r="OZ6" s="15"/>
      <c r="PA6" s="17"/>
      <c r="PB6" s="17"/>
      <c r="PC6" s="17"/>
      <c r="PD6" s="17"/>
      <c r="PE6" s="17"/>
      <c r="PF6" s="17"/>
      <c r="PG6" s="17"/>
      <c r="PH6" s="17"/>
      <c r="PI6" s="17"/>
      <c r="PJ6" s="17"/>
      <c r="PK6" s="17"/>
      <c r="PL6" s="17"/>
      <c r="PM6" s="17"/>
      <c r="PN6" s="17"/>
      <c r="PO6" s="17"/>
      <c r="PP6" s="17"/>
      <c r="PQ6" s="17"/>
      <c r="PR6" s="17"/>
      <c r="PS6" s="17"/>
      <c r="PT6" s="17"/>
      <c r="PU6" s="17"/>
      <c r="PV6" s="17"/>
      <c r="PW6" s="17"/>
      <c r="PX6" s="17"/>
      <c r="PY6" s="17"/>
      <c r="PZ6" s="17"/>
      <c r="QA6" s="17"/>
      <c r="QB6" s="17"/>
      <c r="QC6" s="17"/>
      <c r="QD6" s="17"/>
      <c r="QE6" s="17"/>
      <c r="QF6" s="17"/>
      <c r="QG6" s="17"/>
      <c r="QH6" s="17"/>
      <c r="QI6" s="17"/>
      <c r="QJ6" s="17"/>
      <c r="QK6" s="17"/>
      <c r="QL6" s="17"/>
      <c r="QM6" s="17"/>
      <c r="QN6" s="17"/>
      <c r="QO6" s="17"/>
      <c r="QP6" s="17"/>
      <c r="QQ6" s="17"/>
      <c r="QR6" s="17"/>
      <c r="QS6" s="17"/>
      <c r="QT6" s="17"/>
      <c r="QU6" s="17"/>
      <c r="QV6" s="17"/>
      <c r="QW6" s="17"/>
      <c r="QX6" s="17"/>
      <c r="QY6" s="17"/>
      <c r="QZ6" s="17"/>
      <c r="RA6" s="17"/>
      <c r="RB6" s="17"/>
      <c r="RC6" s="17"/>
      <c r="RD6" s="17"/>
      <c r="RE6" s="17"/>
      <c r="RF6" s="17"/>
      <c r="RG6" s="17"/>
      <c r="RH6" s="17"/>
      <c r="RI6" s="17"/>
      <c r="RJ6" s="17"/>
      <c r="RK6" s="17"/>
      <c r="RL6" s="17"/>
      <c r="RM6" s="17"/>
      <c r="RN6" s="17"/>
      <c r="RO6" s="17"/>
      <c r="RP6" s="17"/>
      <c r="RQ6" s="17"/>
      <c r="RR6" s="17"/>
      <c r="RS6" s="17"/>
      <c r="RT6" s="17"/>
      <c r="RU6" s="17"/>
      <c r="RV6" s="17"/>
      <c r="RW6" s="17"/>
      <c r="RX6" s="17"/>
      <c r="RY6" s="17"/>
      <c r="RZ6" s="17"/>
      <c r="SA6" s="17"/>
      <c r="SB6" s="17"/>
      <c r="SC6" s="17"/>
      <c r="SD6" s="17"/>
      <c r="SE6" s="17"/>
      <c r="SF6" s="17"/>
      <c r="SG6" s="17"/>
      <c r="SH6" s="17"/>
      <c r="SI6" s="17"/>
      <c r="SJ6" s="17"/>
      <c r="SK6" s="17"/>
      <c r="SL6" s="17"/>
      <c r="SM6" s="17"/>
      <c r="SN6" s="17"/>
      <c r="SO6" s="17"/>
      <c r="SP6" s="17"/>
      <c r="SQ6" s="17"/>
      <c r="SR6" s="17"/>
      <c r="SS6" s="17"/>
      <c r="ST6" s="17"/>
      <c r="SU6" s="17"/>
      <c r="SV6" s="17"/>
      <c r="SW6" s="17"/>
      <c r="SX6" s="17"/>
      <c r="SY6" s="17"/>
      <c r="SZ6" s="17"/>
      <c r="TA6" s="17"/>
      <c r="TB6" s="17"/>
      <c r="TC6" s="17"/>
      <c r="TD6" s="17"/>
      <c r="TE6" s="17"/>
      <c r="TF6" s="17"/>
      <c r="TG6" s="17"/>
      <c r="TH6" s="17"/>
      <c r="TI6" s="17"/>
      <c r="TJ6" s="17"/>
      <c r="TK6" s="17"/>
      <c r="TL6" s="17"/>
      <c r="TM6" s="17"/>
      <c r="TN6" s="17"/>
      <c r="TO6" s="17"/>
      <c r="TP6" s="17"/>
      <c r="TQ6" s="17"/>
      <c r="TR6" s="17"/>
      <c r="TS6" s="17"/>
      <c r="TT6" s="17"/>
      <c r="TU6" s="17"/>
      <c r="TV6" s="17"/>
      <c r="TW6" s="17"/>
      <c r="TX6" s="17"/>
      <c r="TY6" s="17"/>
      <c r="TZ6" s="17"/>
      <c r="UA6" s="17"/>
      <c r="UB6" s="17"/>
      <c r="UC6" s="17"/>
      <c r="UD6" s="17"/>
      <c r="UE6" s="17"/>
      <c r="UF6" s="17"/>
      <c r="UG6" s="17"/>
      <c r="UH6" s="17"/>
      <c r="UI6" s="17"/>
      <c r="UJ6" s="17"/>
      <c r="UK6" s="17"/>
      <c r="UL6" s="17"/>
      <c r="UM6" s="17"/>
      <c r="UN6" s="17"/>
      <c r="UO6" s="17"/>
      <c r="UP6" s="17"/>
      <c r="UQ6" s="17"/>
      <c r="UR6" s="17"/>
      <c r="US6" s="17"/>
      <c r="UT6" s="17"/>
      <c r="UU6" s="17"/>
      <c r="UV6" s="17"/>
      <c r="UW6" s="17"/>
      <c r="UX6" s="17"/>
      <c r="UY6" s="17"/>
      <c r="UZ6" s="17"/>
      <c r="VA6" s="17"/>
      <c r="VB6" s="17"/>
      <c r="VC6" s="17"/>
      <c r="VD6" s="17"/>
      <c r="VE6" s="17"/>
      <c r="VF6" s="17"/>
      <c r="VG6" s="17"/>
      <c r="VH6" s="17"/>
      <c r="VI6" s="17"/>
      <c r="VJ6" s="17"/>
      <c r="VK6" s="17"/>
      <c r="VL6" s="17"/>
      <c r="VM6" s="17"/>
      <c r="VN6" s="17"/>
      <c r="VO6" s="17"/>
      <c r="VP6" s="17"/>
      <c r="VQ6" s="17"/>
      <c r="VR6" s="17"/>
      <c r="VS6" s="17"/>
      <c r="VT6" s="17"/>
      <c r="VU6" s="17"/>
      <c r="VV6" s="17"/>
      <c r="VW6" s="17"/>
      <c r="VX6" s="17"/>
      <c r="VY6" s="17"/>
      <c r="VZ6" s="17"/>
      <c r="WA6" s="17"/>
      <c r="WB6" s="17"/>
      <c r="WC6" s="17"/>
      <c r="WD6" s="17"/>
      <c r="WE6" s="17"/>
      <c r="WF6" s="17"/>
      <c r="WG6" s="17"/>
      <c r="WH6" s="17"/>
      <c r="WI6" s="17"/>
      <c r="WJ6" s="17"/>
      <c r="WK6" s="17"/>
      <c r="WL6" s="17"/>
      <c r="WM6" s="17"/>
      <c r="WN6" s="17"/>
      <c r="WO6" s="17"/>
      <c r="WP6" s="17"/>
      <c r="WQ6" s="17"/>
      <c r="WR6" s="17"/>
      <c r="WS6" s="17"/>
      <c r="WT6" s="17"/>
      <c r="WU6" s="17"/>
      <c r="WV6" s="17"/>
      <c r="WW6" s="17"/>
      <c r="WX6" s="17"/>
      <c r="WY6" s="17"/>
      <c r="WZ6" s="17"/>
      <c r="XA6" s="17"/>
      <c r="XB6" s="17"/>
      <c r="XC6" s="17"/>
      <c r="XD6" s="17"/>
      <c r="XE6" s="17"/>
      <c r="XF6" s="17"/>
      <c r="XG6" s="17"/>
      <c r="XH6" s="17"/>
      <c r="XI6" s="17"/>
      <c r="XJ6" s="17"/>
      <c r="XK6" s="17"/>
      <c r="XL6" s="17"/>
      <c r="XM6" s="17"/>
      <c r="XN6" s="17"/>
      <c r="XO6" s="17"/>
      <c r="XP6" s="17"/>
      <c r="XQ6" s="17"/>
      <c r="XR6" s="17"/>
      <c r="XS6" s="17"/>
      <c r="XT6" s="17"/>
      <c r="XU6" s="17"/>
      <c r="XV6" s="17"/>
      <c r="XW6" s="17"/>
      <c r="XX6" s="17"/>
      <c r="XY6" s="17"/>
      <c r="XZ6" s="17"/>
      <c r="YA6" s="17"/>
      <c r="YB6" s="17"/>
      <c r="YC6" s="17"/>
      <c r="YD6" s="17"/>
      <c r="YE6" s="17"/>
      <c r="YF6" s="17"/>
      <c r="YG6" s="17"/>
      <c r="YH6" s="17"/>
      <c r="YI6" s="17"/>
      <c r="YJ6" s="17"/>
      <c r="YK6" s="17"/>
      <c r="YL6" s="17"/>
      <c r="YM6" s="17"/>
      <c r="YN6" s="17"/>
      <c r="YO6" s="17"/>
      <c r="YP6" s="17"/>
      <c r="YQ6" s="17"/>
      <c r="YR6" s="17"/>
      <c r="YS6" s="17"/>
      <c r="YT6" s="17"/>
      <c r="YU6" s="17"/>
      <c r="YV6" s="17"/>
      <c r="YW6" s="17"/>
      <c r="YX6" s="17"/>
      <c r="YY6" s="17"/>
      <c r="YZ6" s="17"/>
      <c r="ZA6" s="17"/>
      <c r="ZB6" s="17"/>
      <c r="ZC6" s="17"/>
      <c r="ZD6" s="17"/>
      <c r="ZE6" s="17"/>
      <c r="ZF6" s="17"/>
      <c r="ZG6" s="17"/>
      <c r="ZH6" s="17"/>
      <c r="ZI6" s="17"/>
      <c r="ZJ6" s="17"/>
      <c r="ZK6" s="17"/>
      <c r="ZL6" s="17"/>
      <c r="ZM6" s="17"/>
      <c r="ZN6" s="17"/>
      <c r="ZO6" s="17"/>
      <c r="ZP6" s="17"/>
      <c r="ZQ6" s="17"/>
      <c r="ZR6" s="17"/>
      <c r="ZS6" s="17"/>
      <c r="ZT6" s="17"/>
      <c r="ZU6" s="17"/>
      <c r="ZV6" s="17"/>
      <c r="ZW6" s="17"/>
      <c r="ZX6" s="17"/>
      <c r="ZY6" s="17"/>
      <c r="ZZ6" s="17"/>
      <c r="AAA6" s="17"/>
      <c r="AAB6" s="17"/>
      <c r="AAC6" s="17"/>
      <c r="AAD6" s="17"/>
      <c r="AAE6" s="17"/>
      <c r="AAF6" s="17"/>
      <c r="AAG6" s="17"/>
      <c r="AAH6" s="17"/>
      <c r="AAI6" s="17"/>
      <c r="AAJ6" s="17"/>
      <c r="AAK6" s="17"/>
      <c r="AAL6" s="17"/>
      <c r="AAM6" s="17"/>
      <c r="AAN6" s="17"/>
      <c r="AAO6" s="17"/>
      <c r="AAP6" s="17"/>
      <c r="AAQ6" s="17"/>
      <c r="AAR6" s="17"/>
      <c r="AAS6" s="17"/>
      <c r="AAT6" s="17"/>
      <c r="AAU6" s="17"/>
      <c r="AAV6" s="17"/>
      <c r="AAW6" s="17"/>
      <c r="AAX6" s="17"/>
      <c r="AAY6" s="17"/>
      <c r="AAZ6" s="17"/>
      <c r="ABA6" s="17"/>
      <c r="ABB6" s="17"/>
      <c r="ABC6" s="17"/>
      <c r="ABD6" s="17"/>
      <c r="ABE6" s="17"/>
      <c r="ABF6" s="17"/>
      <c r="ABG6" s="17"/>
      <c r="ABH6" s="17"/>
      <c r="ABI6" s="17"/>
      <c r="ABJ6" s="17"/>
      <c r="ABK6" s="17"/>
      <c r="ABL6" s="17"/>
      <c r="ABM6" s="17"/>
      <c r="ABN6" s="17"/>
      <c r="ABO6" s="17"/>
      <c r="ABP6" s="17"/>
      <c r="ABQ6" s="17"/>
      <c r="ABR6" s="17"/>
      <c r="ABS6" s="17"/>
      <c r="ABT6" s="17"/>
      <c r="ABU6" s="17"/>
      <c r="ABV6" s="17"/>
      <c r="ABW6" s="17"/>
      <c r="ABX6" s="17"/>
      <c r="ABY6" s="17"/>
      <c r="ABZ6" s="17"/>
      <c r="ACA6" s="17"/>
      <c r="ACB6" s="17"/>
      <c r="ACC6" s="17"/>
      <c r="ACD6" s="17"/>
      <c r="ACE6" s="17"/>
      <c r="ACF6" s="17"/>
      <c r="ACG6" s="17"/>
      <c r="ACH6" s="17"/>
      <c r="ACI6" s="17"/>
      <c r="ACJ6" s="17"/>
      <c r="ACK6" s="17"/>
      <c r="ACL6" s="17"/>
      <c r="ACM6" s="17"/>
      <c r="ACN6" s="17"/>
      <c r="ACO6" s="17"/>
      <c r="ACP6" s="17"/>
      <c r="ACQ6" s="17"/>
      <c r="ACR6" s="17"/>
      <c r="ACS6" s="17"/>
      <c r="ACT6" s="17"/>
      <c r="ACU6" s="17"/>
      <c r="ACV6" s="17"/>
      <c r="ACW6" s="17"/>
      <c r="ACX6" s="17"/>
      <c r="ACY6" s="17"/>
      <c r="ACZ6" s="17"/>
      <c r="ADA6" s="17"/>
      <c r="ADB6" s="17"/>
      <c r="ADC6" s="17"/>
      <c r="ADD6" s="17"/>
      <c r="ADE6" s="17"/>
      <c r="ADF6" s="17"/>
      <c r="ADG6" s="17"/>
      <c r="ADH6" s="17"/>
      <c r="ADI6" s="17"/>
      <c r="ADJ6" s="17"/>
      <c r="ADK6" s="17"/>
      <c r="ADL6" s="17"/>
      <c r="ADM6" s="17"/>
      <c r="ADN6" s="17"/>
      <c r="ADO6" s="17"/>
      <c r="ADP6" s="17"/>
      <c r="ADQ6" s="17"/>
      <c r="ADR6" s="17"/>
      <c r="ADS6" s="17"/>
      <c r="ADT6" s="17"/>
      <c r="ADU6" s="17"/>
      <c r="ADV6" s="17"/>
      <c r="ADW6" s="17"/>
      <c r="ADX6" s="17"/>
      <c r="ADY6" s="17"/>
      <c r="ADZ6" s="17"/>
      <c r="AEA6" s="17"/>
      <c r="AEB6" s="17"/>
      <c r="AEC6" s="17"/>
      <c r="AED6" s="17"/>
      <c r="AEE6" s="17"/>
      <c r="AEF6" s="17"/>
      <c r="AEG6" s="17"/>
      <c r="AEH6" s="17"/>
      <c r="AEI6" s="17"/>
      <c r="AEJ6" s="17"/>
      <c r="AEK6" s="17"/>
      <c r="AEL6" s="17"/>
      <c r="AEM6" s="17"/>
      <c r="AEN6" s="17"/>
      <c r="AEO6" s="17"/>
      <c r="AEP6" s="17"/>
      <c r="AEQ6" s="17"/>
      <c r="AER6" s="17"/>
      <c r="AES6" s="17"/>
      <c r="AET6" s="17"/>
      <c r="AEU6" s="17"/>
      <c r="AEV6" s="17"/>
      <c r="AEW6" s="17"/>
      <c r="AEX6" s="17"/>
      <c r="AEY6" s="17"/>
      <c r="AEZ6" s="17"/>
      <c r="AFA6" s="17"/>
      <c r="AFB6" s="17"/>
      <c r="AFC6" s="17"/>
      <c r="AFD6" s="17"/>
      <c r="AFE6" s="17"/>
      <c r="AFF6" s="17"/>
      <c r="AFG6" s="17"/>
      <c r="AFH6" s="17"/>
      <c r="AFI6" s="17"/>
      <c r="AFJ6" s="17"/>
      <c r="AFK6" s="17"/>
      <c r="AFL6" s="17"/>
      <c r="AFM6" s="17"/>
      <c r="AFN6" s="17"/>
      <c r="AFO6" s="17"/>
      <c r="AFP6" s="17"/>
      <c r="AFQ6" s="17"/>
      <c r="AFR6" s="17"/>
      <c r="AFS6" s="17"/>
      <c r="AFT6" s="17"/>
      <c r="AFU6" s="17"/>
      <c r="AFV6" s="17"/>
      <c r="AFW6" s="17"/>
      <c r="AFX6" s="17"/>
      <c r="AFY6" s="17"/>
      <c r="AFZ6" s="17"/>
      <c r="AGA6" s="17"/>
      <c r="AGB6" s="17"/>
      <c r="AGC6" s="17"/>
      <c r="AGD6" s="17"/>
      <c r="AGE6" s="17"/>
      <c r="AGF6" s="17"/>
      <c r="AGG6" s="17"/>
      <c r="AGH6" s="17"/>
      <c r="AGI6" s="17"/>
      <c r="AGJ6" s="17"/>
      <c r="AGK6" s="17"/>
      <c r="AGL6" s="17"/>
      <c r="AGM6" s="17"/>
      <c r="AGN6" s="17"/>
      <c r="AGO6" s="17"/>
      <c r="AGP6" s="17"/>
      <c r="AGQ6" s="17"/>
      <c r="AGR6" s="17"/>
      <c r="AGS6" s="17"/>
      <c r="AGT6" s="17"/>
      <c r="AGU6" s="17"/>
      <c r="AGV6" s="17"/>
      <c r="AGW6" s="17"/>
      <c r="AGX6" s="17"/>
      <c r="AGY6" s="17"/>
      <c r="AGZ6" s="17"/>
      <c r="AHA6" s="17"/>
      <c r="AHB6" s="17"/>
      <c r="AHC6" s="17"/>
      <c r="AHD6" s="17"/>
      <c r="AHE6" s="17"/>
      <c r="AHF6" s="17"/>
      <c r="AHG6" s="17"/>
      <c r="AHH6" s="17"/>
      <c r="AHI6" s="17"/>
      <c r="AHJ6" s="17"/>
      <c r="AHK6" s="17"/>
      <c r="AHL6" s="17"/>
      <c r="AHM6" s="17"/>
      <c r="AHN6" s="17"/>
      <c r="AHO6" s="17"/>
      <c r="AHP6" s="17"/>
      <c r="AHQ6" s="17"/>
      <c r="AHR6" s="17"/>
      <c r="AHS6" s="17"/>
      <c r="AHT6" s="17"/>
      <c r="AHU6" s="17"/>
      <c r="AHV6" s="17"/>
      <c r="AHW6" s="17"/>
      <c r="AHX6" s="17"/>
      <c r="AHY6" s="17"/>
      <c r="AHZ6" s="17"/>
      <c r="AIA6" s="17"/>
      <c r="AIB6" s="17"/>
      <c r="AIC6" s="17"/>
      <c r="AID6" s="17"/>
      <c r="AIE6" s="17"/>
      <c r="AIF6" s="17"/>
      <c r="AIG6" s="17"/>
      <c r="AIH6" s="17"/>
      <c r="AII6" s="17"/>
      <c r="AIJ6" s="17"/>
      <c r="AIK6" s="17"/>
      <c r="AIL6" s="17"/>
      <c r="AIM6" s="17"/>
      <c r="AIN6" s="17"/>
      <c r="AIO6" s="17"/>
      <c r="AIP6" s="17"/>
      <c r="AIQ6" s="17"/>
      <c r="AIR6" s="17"/>
      <c r="AIS6" s="17"/>
      <c r="AIT6" s="17"/>
      <c r="AIU6" s="17"/>
      <c r="AIV6" s="17"/>
      <c r="AIW6" s="17"/>
      <c r="AIX6" s="17"/>
      <c r="AIY6" s="17"/>
      <c r="AIZ6" s="17"/>
      <c r="AJA6" s="17"/>
      <c r="AJB6" s="17"/>
      <c r="AJC6" s="17"/>
      <c r="AJD6" s="17"/>
      <c r="AJE6" s="17"/>
      <c r="AJF6" s="17"/>
      <c r="AJG6" s="17"/>
      <c r="AJH6" s="17"/>
      <c r="AJI6" s="17"/>
      <c r="AJJ6" s="17"/>
      <c r="AJK6" s="17"/>
      <c r="AJL6" s="17"/>
      <c r="AJM6" s="17"/>
      <c r="AJN6" s="17"/>
      <c r="AJO6" s="17"/>
      <c r="AJP6" s="17"/>
      <c r="AJQ6" s="17"/>
      <c r="AJR6" s="17"/>
      <c r="AJS6" s="17"/>
      <c r="AJT6" s="17"/>
      <c r="AJU6" s="17"/>
      <c r="AJV6" s="17"/>
      <c r="AJW6" s="17"/>
      <c r="AJX6" s="17"/>
      <c r="AJY6" s="17"/>
      <c r="AJZ6" s="17"/>
      <c r="AKA6" s="17"/>
      <c r="AKB6" s="17"/>
      <c r="AKC6" s="17"/>
      <c r="AKD6" s="17"/>
      <c r="AKE6" s="17"/>
      <c r="AKF6" s="17"/>
      <c r="AKG6" s="17"/>
      <c r="AKH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row>
    <row r="7" spans="1:1000" s="19" customFormat="1">
      <c r="A7" s="1177" t="s">
        <v>3764</v>
      </c>
      <c r="B7" s="904"/>
      <c r="C7" s="905"/>
      <c r="D7" s="905"/>
      <c r="E7" s="905"/>
      <c r="F7" s="905"/>
      <c r="G7" s="905"/>
      <c r="H7" s="905"/>
      <c r="I7" s="905"/>
      <c r="J7" s="910"/>
      <c r="K7" s="905"/>
      <c r="L7" s="905"/>
      <c r="M7" s="905"/>
      <c r="N7" s="905"/>
      <c r="O7" s="905"/>
      <c r="P7" s="905"/>
      <c r="Q7" s="910"/>
      <c r="R7" s="905"/>
      <c r="S7" s="905"/>
      <c r="T7" s="905"/>
      <c r="U7" s="905"/>
      <c r="V7" s="905"/>
      <c r="W7" s="905"/>
      <c r="X7" s="910"/>
      <c r="Y7" s="905"/>
      <c r="Z7" s="905"/>
      <c r="AA7" s="905"/>
      <c r="AB7" s="905"/>
      <c r="AC7" s="916"/>
      <c r="AD7" s="904"/>
      <c r="AE7" s="910"/>
      <c r="AF7" s="905"/>
      <c r="AG7" s="905"/>
      <c r="AH7" s="905"/>
      <c r="AI7" s="905"/>
      <c r="AJ7" s="905"/>
      <c r="AK7" s="905"/>
      <c r="AL7" s="910"/>
      <c r="AM7" s="905"/>
      <c r="AN7" s="905"/>
      <c r="AO7" s="905"/>
      <c r="AP7" s="905"/>
      <c r="AQ7" s="905"/>
      <c r="AR7" s="905"/>
      <c r="AS7" s="910"/>
      <c r="AT7" s="905"/>
      <c r="AU7" s="905"/>
      <c r="AV7" s="905"/>
      <c r="AW7" s="905"/>
      <c r="AX7" s="905"/>
      <c r="AY7" s="905"/>
      <c r="AZ7" s="910"/>
      <c r="BA7" s="905"/>
      <c r="BB7" s="905"/>
      <c r="BC7" s="905"/>
      <c r="BD7" s="905"/>
      <c r="BE7" s="905"/>
      <c r="BF7" s="905"/>
      <c r="BG7" s="910"/>
      <c r="BH7" s="916"/>
      <c r="BI7" s="904"/>
      <c r="BJ7" s="905"/>
      <c r="BK7" s="905"/>
      <c r="BL7" s="905"/>
      <c r="BM7" s="905"/>
      <c r="BN7" s="910"/>
      <c r="BO7" s="905"/>
      <c r="BP7" s="905"/>
      <c r="BQ7" s="905"/>
      <c r="BR7" s="905"/>
      <c r="BS7" s="905"/>
      <c r="BT7" s="905"/>
      <c r="BU7" s="910"/>
      <c r="BV7" s="905"/>
      <c r="BW7" s="905"/>
      <c r="BX7" s="905"/>
      <c r="BY7" s="905"/>
      <c r="BZ7" s="905"/>
      <c r="CA7" s="905"/>
      <c r="CB7" s="910"/>
      <c r="CC7" s="905"/>
      <c r="CD7" s="905"/>
      <c r="CE7" s="905"/>
      <c r="CF7" s="905"/>
      <c r="CG7" s="905"/>
      <c r="CH7" s="905"/>
      <c r="CI7" s="910"/>
      <c r="CJ7" s="905" t="s">
        <v>3899</v>
      </c>
      <c r="CK7" s="905" t="s">
        <v>3899</v>
      </c>
      <c r="CL7" s="916" t="s">
        <v>3899</v>
      </c>
      <c r="CM7" s="904" t="s">
        <v>3899</v>
      </c>
      <c r="CN7" s="905" t="s">
        <v>3899</v>
      </c>
      <c r="CO7" s="905"/>
      <c r="CP7" s="910"/>
      <c r="CQ7" s="905"/>
      <c r="CR7" s="905"/>
      <c r="CS7" s="905"/>
      <c r="CT7" s="905"/>
      <c r="CU7" s="905"/>
      <c r="CV7" s="905"/>
      <c r="CW7" s="910"/>
      <c r="CX7" s="905"/>
      <c r="CY7" s="905"/>
      <c r="CZ7" s="905"/>
      <c r="DA7" s="905"/>
      <c r="DB7" s="905"/>
      <c r="DC7" s="905"/>
      <c r="DD7" s="910"/>
      <c r="DE7" s="905"/>
      <c r="DF7" s="905"/>
      <c r="DG7" s="905"/>
      <c r="DH7" s="905"/>
      <c r="DI7" s="905"/>
      <c r="DJ7" s="905"/>
      <c r="DK7" s="910"/>
      <c r="DL7" s="905"/>
      <c r="DM7" s="905"/>
      <c r="DN7" s="905"/>
      <c r="DO7" s="905"/>
      <c r="DP7" s="905"/>
      <c r="DQ7" s="916"/>
      <c r="DR7" s="904"/>
      <c r="DS7" s="905"/>
      <c r="DT7" s="905"/>
      <c r="DU7" s="905"/>
      <c r="DV7" s="905"/>
      <c r="DW7" s="905"/>
      <c r="DX7" s="905"/>
      <c r="DY7" s="910"/>
      <c r="DZ7" s="905"/>
      <c r="EA7" s="905"/>
      <c r="EB7" s="905"/>
      <c r="EC7" s="905"/>
      <c r="ED7" s="905"/>
      <c r="EE7" s="905"/>
      <c r="EF7" s="910"/>
      <c r="EG7" s="905"/>
      <c r="EH7" s="905"/>
      <c r="EI7" s="905"/>
      <c r="EJ7" s="905"/>
      <c r="EK7" s="905"/>
      <c r="EL7" s="905"/>
      <c r="EM7" s="910"/>
      <c r="EN7" s="905"/>
      <c r="EO7" s="905"/>
      <c r="EP7" s="905"/>
      <c r="EQ7" s="905"/>
      <c r="ER7" s="905"/>
      <c r="ES7" s="905"/>
      <c r="ET7" s="910"/>
      <c r="EU7" s="916"/>
      <c r="EV7" s="904"/>
      <c r="EW7" s="905"/>
      <c r="EX7" s="905"/>
      <c r="EY7" s="905"/>
      <c r="EZ7" s="905"/>
      <c r="FA7" s="910"/>
      <c r="FB7" s="905"/>
      <c r="FC7" s="905"/>
      <c r="FD7" s="905"/>
      <c r="FE7" s="905"/>
      <c r="FF7" s="905"/>
      <c r="FG7" s="905"/>
      <c r="FH7" s="910"/>
      <c r="FI7" s="905"/>
      <c r="FJ7" s="905"/>
      <c r="FK7" s="905"/>
      <c r="FL7" s="905"/>
      <c r="FM7" s="905"/>
      <c r="FN7" s="905"/>
      <c r="FO7" s="910"/>
      <c r="FP7" s="905"/>
      <c r="FQ7" s="905"/>
      <c r="FR7" s="905"/>
      <c r="FS7" s="905"/>
      <c r="FT7" s="905"/>
      <c r="FU7" s="905"/>
      <c r="FV7" s="910"/>
      <c r="FW7" s="905"/>
      <c r="FX7" s="905"/>
      <c r="FY7" s="905"/>
      <c r="FZ7" s="916"/>
      <c r="GA7" s="904"/>
      <c r="GB7" s="905"/>
      <c r="GC7" s="910"/>
      <c r="GD7" s="905"/>
      <c r="GE7" s="905"/>
      <c r="GF7" s="905"/>
      <c r="GG7" s="905"/>
      <c r="GH7" s="905"/>
      <c r="GI7" s="905"/>
      <c r="GJ7" s="910"/>
      <c r="GK7" s="905"/>
      <c r="GL7" s="905"/>
      <c r="GM7" s="905"/>
      <c r="GN7" s="905"/>
      <c r="GO7" s="905"/>
      <c r="GP7" s="905"/>
      <c r="GQ7" s="910"/>
      <c r="GR7" s="905"/>
      <c r="GS7" s="905"/>
      <c r="GT7" s="905"/>
      <c r="GU7" s="905"/>
      <c r="GV7" s="905"/>
      <c r="GW7" s="905"/>
      <c r="GX7" s="910"/>
      <c r="GY7" s="905"/>
      <c r="GZ7" s="905"/>
      <c r="HA7" s="905"/>
      <c r="HB7" s="905"/>
      <c r="HC7" s="905"/>
      <c r="HD7" s="905"/>
      <c r="HE7" s="921"/>
      <c r="HF7" s="904"/>
      <c r="HG7" s="905"/>
      <c r="HH7" s="905"/>
      <c r="HI7" s="905"/>
      <c r="HJ7" s="905"/>
      <c r="HK7" s="905"/>
      <c r="HL7" s="910"/>
      <c r="HM7" s="905"/>
      <c r="HN7" s="905"/>
      <c r="HO7" s="905"/>
      <c r="HP7" s="905"/>
      <c r="HQ7" s="905"/>
      <c r="HR7" s="905"/>
      <c r="HS7" s="910"/>
      <c r="HT7" s="905"/>
      <c r="HU7" s="905"/>
      <c r="HV7" s="905"/>
      <c r="HW7" s="905"/>
      <c r="HX7" s="905"/>
      <c r="HY7" s="905"/>
      <c r="HZ7" s="910"/>
      <c r="IA7" s="905"/>
      <c r="IB7" s="905"/>
      <c r="IC7" s="905"/>
      <c r="ID7" s="905"/>
      <c r="IE7" s="905"/>
      <c r="IF7" s="905"/>
      <c r="IG7" s="910"/>
      <c r="IH7" s="905"/>
      <c r="II7" s="916"/>
      <c r="IJ7" s="904"/>
      <c r="IK7" s="905"/>
      <c r="IL7" s="905"/>
      <c r="IM7" s="905"/>
      <c r="IN7" s="910"/>
      <c r="IO7" s="905"/>
      <c r="IP7" s="905"/>
      <c r="IQ7" s="905"/>
      <c r="IR7" s="905"/>
      <c r="IS7" s="905"/>
      <c r="IT7" s="905"/>
      <c r="IU7" s="910"/>
      <c r="IV7" s="905"/>
      <c r="IW7" s="905"/>
      <c r="IX7" s="905"/>
      <c r="IY7" s="905"/>
      <c r="IZ7" s="905"/>
      <c r="JA7" s="905"/>
      <c r="JB7" s="910"/>
      <c r="JC7" s="905"/>
      <c r="JD7" s="905"/>
      <c r="JE7" s="905"/>
      <c r="JF7" s="905"/>
      <c r="JG7" s="905"/>
      <c r="JH7" s="905"/>
      <c r="JI7" s="910"/>
      <c r="JJ7" s="905"/>
      <c r="JK7" s="905"/>
      <c r="JL7" s="905"/>
      <c r="JM7" s="905"/>
      <c r="JN7" s="916"/>
      <c r="JO7" s="904"/>
      <c r="JP7" s="910"/>
      <c r="JQ7" s="905"/>
      <c r="JR7" s="905"/>
      <c r="JS7" s="905"/>
      <c r="JT7" s="905"/>
      <c r="JU7" s="905"/>
      <c r="JV7" s="905"/>
      <c r="JW7" s="910"/>
      <c r="JX7" s="905"/>
      <c r="JY7" s="905"/>
      <c r="JZ7" s="905"/>
      <c r="KA7" s="905"/>
      <c r="KB7" s="905"/>
      <c r="KC7" s="905"/>
      <c r="KD7" s="910"/>
      <c r="KE7" s="905"/>
      <c r="KF7" s="905"/>
      <c r="KG7" s="905"/>
      <c r="KH7" s="905"/>
      <c r="KI7" s="905"/>
      <c r="KJ7" s="905"/>
      <c r="KK7" s="910"/>
      <c r="KL7" s="905"/>
      <c r="KM7" s="905"/>
      <c r="KN7" s="905"/>
      <c r="KO7" s="905"/>
      <c r="KP7" s="905"/>
      <c r="KQ7" s="905"/>
      <c r="KR7" s="921"/>
      <c r="KS7" s="904"/>
      <c r="KT7" s="905"/>
      <c r="KU7" s="905"/>
      <c r="KV7" s="905"/>
      <c r="KW7" s="905"/>
      <c r="KX7" s="905"/>
      <c r="KY7" s="910"/>
      <c r="KZ7" s="905"/>
      <c r="LA7" s="905"/>
      <c r="LB7" s="905"/>
      <c r="LC7" s="905"/>
      <c r="LD7" s="905"/>
      <c r="LE7" s="905"/>
      <c r="LF7" s="910"/>
      <c r="LG7" s="905"/>
      <c r="LH7" s="905"/>
      <c r="LI7" s="905"/>
      <c r="LJ7" s="905"/>
      <c r="LK7" s="905"/>
      <c r="LL7" s="905"/>
      <c r="LM7" s="910"/>
      <c r="LN7" s="905"/>
      <c r="LO7" s="905"/>
      <c r="LP7" s="905"/>
      <c r="LQ7" s="905"/>
      <c r="LR7" s="905"/>
      <c r="LS7" s="905"/>
      <c r="LT7" s="910"/>
      <c r="LU7" s="905"/>
      <c r="LV7" s="905"/>
      <c r="LW7" s="916"/>
      <c r="LX7" s="905"/>
      <c r="LY7" s="905"/>
      <c r="LZ7" s="905"/>
      <c r="MA7" s="910"/>
      <c r="MB7" s="905"/>
      <c r="MC7" s="905"/>
      <c r="MD7" s="905"/>
      <c r="ME7" s="905"/>
      <c r="MF7" s="905"/>
      <c r="MG7" s="905"/>
      <c r="MH7" s="910"/>
      <c r="MI7" s="905"/>
      <c r="MJ7" s="905"/>
      <c r="MK7" s="905"/>
      <c r="ML7" s="905"/>
      <c r="MM7" s="905"/>
      <c r="MN7" s="905"/>
      <c r="MO7" s="910"/>
      <c r="MP7" s="905"/>
      <c r="MQ7" s="905"/>
      <c r="MR7" s="905"/>
      <c r="MS7" s="905"/>
      <c r="MT7" s="905"/>
      <c r="MU7" s="905"/>
      <c r="MV7" s="910"/>
      <c r="MW7" s="905"/>
      <c r="MX7" s="905"/>
      <c r="MY7" s="905"/>
      <c r="MZ7" s="905"/>
      <c r="NA7" s="905"/>
      <c r="NB7" s="905"/>
      <c r="NC7" s="906"/>
      <c r="ND7" s="15"/>
      <c r="NE7" s="15"/>
      <c r="NF7" s="15"/>
      <c r="NG7" s="15"/>
      <c r="NH7" s="15"/>
      <c r="NI7" s="15"/>
      <c r="NJ7" s="15"/>
      <c r="NK7" s="15"/>
      <c r="NL7" s="15"/>
      <c r="NM7" s="15"/>
      <c r="NN7" s="15"/>
      <c r="NO7" s="15"/>
      <c r="NP7" s="15"/>
      <c r="NQ7" s="15"/>
      <c r="NR7" s="15"/>
      <c r="NS7" s="15"/>
      <c r="NT7" s="15"/>
      <c r="NU7" s="15"/>
      <c r="NV7" s="15"/>
      <c r="NW7" s="15"/>
      <c r="NX7" s="15"/>
      <c r="NY7" s="15"/>
      <c r="NZ7" s="15"/>
      <c r="OA7" s="15"/>
      <c r="OB7" s="15"/>
      <c r="OC7" s="15"/>
      <c r="OD7" s="15"/>
      <c r="OE7" s="15"/>
      <c r="OF7" s="15"/>
      <c r="OG7" s="15"/>
      <c r="OH7" s="15"/>
      <c r="OI7" s="15"/>
      <c r="OJ7" s="15"/>
      <c r="OK7" s="15"/>
      <c r="OL7" s="15"/>
      <c r="OM7" s="15"/>
      <c r="ON7" s="15"/>
      <c r="OO7" s="15"/>
      <c r="OP7" s="15"/>
      <c r="OQ7" s="15"/>
      <c r="OR7" s="15"/>
      <c r="OS7" s="15"/>
      <c r="OT7" s="15"/>
      <c r="OU7" s="15"/>
      <c r="OV7" s="15"/>
      <c r="OW7" s="15"/>
      <c r="OX7" s="15"/>
      <c r="OY7" s="15"/>
      <c r="OZ7" s="15"/>
      <c r="PA7" s="17"/>
      <c r="PB7" s="17"/>
      <c r="PC7" s="17"/>
      <c r="PD7" s="17"/>
      <c r="PE7" s="17"/>
      <c r="PF7" s="17"/>
      <c r="PG7" s="17"/>
      <c r="PH7" s="17"/>
      <c r="PI7" s="17"/>
      <c r="PJ7" s="17"/>
      <c r="PK7" s="17"/>
      <c r="PL7" s="17"/>
      <c r="PM7" s="17"/>
      <c r="PN7" s="17"/>
      <c r="PO7" s="17"/>
      <c r="PP7" s="17"/>
      <c r="PQ7" s="17"/>
      <c r="PR7" s="17"/>
      <c r="PS7" s="17"/>
      <c r="PT7" s="17"/>
      <c r="PU7" s="17"/>
      <c r="PV7" s="17"/>
      <c r="PW7" s="17"/>
      <c r="PX7" s="17"/>
      <c r="PY7" s="17"/>
      <c r="PZ7" s="17"/>
      <c r="QA7" s="17"/>
      <c r="QB7" s="17"/>
      <c r="QC7" s="17"/>
      <c r="QD7" s="17"/>
      <c r="QE7" s="17"/>
      <c r="QF7" s="17"/>
      <c r="QG7" s="17"/>
      <c r="QH7" s="17"/>
      <c r="QI7" s="17"/>
      <c r="QJ7" s="17"/>
      <c r="QK7" s="17"/>
      <c r="QL7" s="17"/>
      <c r="QM7" s="17"/>
      <c r="QN7" s="17"/>
      <c r="QO7" s="17"/>
      <c r="QP7" s="17"/>
      <c r="QQ7" s="17"/>
      <c r="QR7" s="17"/>
      <c r="QS7" s="17"/>
      <c r="QT7" s="17"/>
      <c r="QU7" s="17"/>
      <c r="QV7" s="17"/>
      <c r="QW7" s="17"/>
      <c r="QX7" s="17"/>
      <c r="QY7" s="17"/>
      <c r="QZ7" s="17"/>
      <c r="RA7" s="17"/>
      <c r="RB7" s="17"/>
      <c r="RC7" s="17"/>
      <c r="RD7" s="17"/>
      <c r="RE7" s="17"/>
      <c r="RF7" s="17"/>
      <c r="RG7" s="17"/>
      <c r="RH7" s="17"/>
      <c r="RI7" s="17"/>
      <c r="RJ7" s="17"/>
      <c r="RK7" s="17"/>
      <c r="RL7" s="17"/>
      <c r="RM7" s="17"/>
      <c r="RN7" s="17"/>
      <c r="RO7" s="17"/>
      <c r="RP7" s="17"/>
      <c r="RQ7" s="17"/>
      <c r="RR7" s="17"/>
      <c r="RS7" s="17"/>
      <c r="RT7" s="17"/>
      <c r="RU7" s="17"/>
      <c r="RV7" s="17"/>
      <c r="RW7" s="17"/>
      <c r="RX7" s="17"/>
      <c r="RY7" s="17"/>
      <c r="RZ7" s="17"/>
      <c r="SA7" s="17"/>
      <c r="SB7" s="17"/>
      <c r="SC7" s="17"/>
      <c r="SD7" s="17"/>
      <c r="SE7" s="17"/>
      <c r="SF7" s="17"/>
      <c r="SG7" s="17"/>
      <c r="SH7" s="17"/>
      <c r="SI7" s="17"/>
      <c r="SJ7" s="17"/>
      <c r="SK7" s="17"/>
      <c r="SL7" s="17"/>
      <c r="SM7" s="17"/>
      <c r="SN7" s="17"/>
      <c r="SO7" s="17"/>
      <c r="SP7" s="17"/>
      <c r="SQ7" s="17"/>
      <c r="SR7" s="17"/>
      <c r="SS7" s="17"/>
      <c r="ST7" s="17"/>
      <c r="SU7" s="17"/>
      <c r="SV7" s="17"/>
      <c r="SW7" s="17"/>
      <c r="SX7" s="17"/>
      <c r="SY7" s="17"/>
      <c r="SZ7" s="17"/>
      <c r="TA7" s="17"/>
      <c r="TB7" s="17"/>
      <c r="TC7" s="17"/>
      <c r="TD7" s="17"/>
      <c r="TE7" s="17"/>
      <c r="TF7" s="17"/>
      <c r="TG7" s="17"/>
      <c r="TH7" s="17"/>
      <c r="TI7" s="17"/>
      <c r="TJ7" s="17"/>
      <c r="TK7" s="17"/>
      <c r="TL7" s="17"/>
      <c r="TM7" s="17"/>
      <c r="TN7" s="17"/>
      <c r="TO7" s="17"/>
      <c r="TP7" s="17"/>
      <c r="TQ7" s="17"/>
      <c r="TR7" s="17"/>
      <c r="TS7" s="17"/>
      <c r="TT7" s="17"/>
      <c r="TU7" s="17"/>
      <c r="TV7" s="17"/>
      <c r="TW7" s="17"/>
      <c r="TX7" s="17"/>
      <c r="TY7" s="17"/>
      <c r="TZ7" s="17"/>
      <c r="UA7" s="17"/>
      <c r="UB7" s="17"/>
      <c r="UC7" s="17"/>
      <c r="UD7" s="17"/>
      <c r="UE7" s="17"/>
      <c r="UF7" s="17"/>
      <c r="UG7" s="17"/>
      <c r="UH7" s="17"/>
      <c r="UI7" s="17"/>
      <c r="UJ7" s="17"/>
      <c r="UK7" s="17"/>
      <c r="UL7" s="17"/>
      <c r="UM7" s="17"/>
      <c r="UN7" s="17"/>
      <c r="UO7" s="17"/>
      <c r="UP7" s="17"/>
      <c r="UQ7" s="17"/>
      <c r="UR7" s="17"/>
      <c r="US7" s="17"/>
      <c r="UT7" s="17"/>
      <c r="UU7" s="17"/>
      <c r="UV7" s="17"/>
      <c r="UW7" s="17"/>
      <c r="UX7" s="17"/>
      <c r="UY7" s="17"/>
      <c r="UZ7" s="17"/>
      <c r="VA7" s="17"/>
      <c r="VB7" s="17"/>
      <c r="VC7" s="17"/>
      <c r="VD7" s="17"/>
      <c r="VE7" s="17"/>
      <c r="VF7" s="17"/>
      <c r="VG7" s="17"/>
      <c r="VH7" s="17"/>
      <c r="VI7" s="17"/>
      <c r="VJ7" s="17"/>
      <c r="VK7" s="17"/>
      <c r="VL7" s="17"/>
      <c r="VM7" s="17"/>
      <c r="VN7" s="17"/>
      <c r="VO7" s="17"/>
      <c r="VP7" s="17"/>
      <c r="VQ7" s="17"/>
      <c r="VR7" s="17"/>
      <c r="VS7" s="17"/>
      <c r="VT7" s="17"/>
      <c r="VU7" s="17"/>
      <c r="VV7" s="17"/>
      <c r="VW7" s="17"/>
      <c r="VX7" s="17"/>
      <c r="VY7" s="17"/>
      <c r="VZ7" s="17"/>
      <c r="WA7" s="17"/>
      <c r="WB7" s="17"/>
      <c r="WC7" s="17"/>
      <c r="WD7" s="17"/>
      <c r="WE7" s="17"/>
      <c r="WF7" s="17"/>
      <c r="WG7" s="17"/>
      <c r="WH7" s="17"/>
      <c r="WI7" s="17"/>
      <c r="WJ7" s="17"/>
      <c r="WK7" s="17"/>
      <c r="WL7" s="17"/>
      <c r="WM7" s="17"/>
      <c r="WN7" s="17"/>
      <c r="WO7" s="17"/>
      <c r="WP7" s="17"/>
      <c r="WQ7" s="17"/>
      <c r="WR7" s="17"/>
      <c r="WS7" s="17"/>
      <c r="WT7" s="17"/>
      <c r="WU7" s="17"/>
      <c r="WV7" s="17"/>
      <c r="WW7" s="17"/>
      <c r="WX7" s="17"/>
      <c r="WY7" s="17"/>
      <c r="WZ7" s="17"/>
      <c r="XA7" s="17"/>
      <c r="XB7" s="17"/>
      <c r="XC7" s="17"/>
      <c r="XD7" s="17"/>
      <c r="XE7" s="17"/>
      <c r="XF7" s="17"/>
      <c r="XG7" s="17"/>
      <c r="XH7" s="17"/>
      <c r="XI7" s="17"/>
      <c r="XJ7" s="17"/>
      <c r="XK7" s="17"/>
      <c r="XL7" s="17"/>
      <c r="XM7" s="17"/>
      <c r="XN7" s="17"/>
      <c r="XO7" s="17"/>
      <c r="XP7" s="17"/>
      <c r="XQ7" s="17"/>
      <c r="XR7" s="17"/>
      <c r="XS7" s="17"/>
      <c r="XT7" s="17"/>
      <c r="XU7" s="17"/>
      <c r="XV7" s="17"/>
      <c r="XW7" s="17"/>
      <c r="XX7" s="17"/>
      <c r="XY7" s="17"/>
      <c r="XZ7" s="17"/>
      <c r="YA7" s="17"/>
      <c r="YB7" s="17"/>
      <c r="YC7" s="17"/>
      <c r="YD7" s="17"/>
      <c r="YE7" s="17"/>
      <c r="YF7" s="17"/>
      <c r="YG7" s="17"/>
      <c r="YH7" s="17"/>
      <c r="YI7" s="17"/>
      <c r="YJ7" s="17"/>
      <c r="YK7" s="17"/>
      <c r="YL7" s="17"/>
      <c r="YM7" s="17"/>
      <c r="YN7" s="17"/>
      <c r="YO7" s="17"/>
      <c r="YP7" s="17"/>
      <c r="YQ7" s="17"/>
      <c r="YR7" s="17"/>
      <c r="YS7" s="17"/>
      <c r="YT7" s="17"/>
      <c r="YU7" s="17"/>
      <c r="YV7" s="17"/>
      <c r="YW7" s="17"/>
      <c r="YX7" s="17"/>
      <c r="YY7" s="17"/>
      <c r="YZ7" s="17"/>
      <c r="ZA7" s="17"/>
      <c r="ZB7" s="17"/>
      <c r="ZC7" s="17"/>
      <c r="ZD7" s="17"/>
      <c r="ZE7" s="17"/>
      <c r="ZF7" s="17"/>
      <c r="ZG7" s="17"/>
      <c r="ZH7" s="17"/>
      <c r="ZI7" s="17"/>
      <c r="ZJ7" s="17"/>
      <c r="ZK7" s="17"/>
      <c r="ZL7" s="17"/>
      <c r="ZM7" s="17"/>
      <c r="ZN7" s="17"/>
      <c r="ZO7" s="17"/>
      <c r="ZP7" s="17"/>
      <c r="ZQ7" s="17"/>
      <c r="ZR7" s="17"/>
      <c r="ZS7" s="17"/>
      <c r="ZT7" s="17"/>
      <c r="ZU7" s="17"/>
      <c r="ZV7" s="17"/>
      <c r="ZW7" s="17"/>
      <c r="ZX7" s="17"/>
      <c r="ZY7" s="17"/>
      <c r="ZZ7" s="17"/>
      <c r="AAA7" s="17"/>
      <c r="AAB7" s="17"/>
      <c r="AAC7" s="17"/>
      <c r="AAD7" s="17"/>
      <c r="AAE7" s="17"/>
      <c r="AAF7" s="17"/>
      <c r="AAG7" s="17"/>
      <c r="AAH7" s="17"/>
      <c r="AAI7" s="17"/>
      <c r="AAJ7" s="17"/>
      <c r="AAK7" s="17"/>
      <c r="AAL7" s="17"/>
      <c r="AAM7" s="17"/>
      <c r="AAN7" s="17"/>
      <c r="AAO7" s="17"/>
      <c r="AAP7" s="17"/>
      <c r="AAQ7" s="17"/>
      <c r="AAR7" s="17"/>
      <c r="AAS7" s="17"/>
      <c r="AAT7" s="17"/>
      <c r="AAU7" s="17"/>
      <c r="AAV7" s="17"/>
      <c r="AAW7" s="17"/>
      <c r="AAX7" s="17"/>
      <c r="AAY7" s="17"/>
      <c r="AAZ7" s="17"/>
      <c r="ABA7" s="17"/>
      <c r="ABB7" s="17"/>
      <c r="ABC7" s="17"/>
      <c r="ABD7" s="17"/>
      <c r="ABE7" s="17"/>
      <c r="ABF7" s="17"/>
      <c r="ABG7" s="17"/>
      <c r="ABH7" s="17"/>
      <c r="ABI7" s="17"/>
      <c r="ABJ7" s="17"/>
      <c r="ABK7" s="17"/>
      <c r="ABL7" s="17"/>
      <c r="ABM7" s="17"/>
      <c r="ABN7" s="17"/>
      <c r="ABO7" s="17"/>
      <c r="ABP7" s="17"/>
      <c r="ABQ7" s="17"/>
      <c r="ABR7" s="17"/>
      <c r="ABS7" s="17"/>
      <c r="ABT7" s="17"/>
      <c r="ABU7" s="17"/>
      <c r="ABV7" s="17"/>
      <c r="ABW7" s="17"/>
      <c r="ABX7" s="17"/>
      <c r="ABY7" s="17"/>
      <c r="ABZ7" s="17"/>
      <c r="ACA7" s="17"/>
      <c r="ACB7" s="17"/>
      <c r="ACC7" s="17"/>
      <c r="ACD7" s="17"/>
      <c r="ACE7" s="17"/>
      <c r="ACF7" s="17"/>
      <c r="ACG7" s="17"/>
      <c r="ACH7" s="17"/>
      <c r="ACI7" s="17"/>
      <c r="ACJ7" s="17"/>
      <c r="ACK7" s="17"/>
      <c r="ACL7" s="17"/>
      <c r="ACM7" s="17"/>
      <c r="ACN7" s="17"/>
      <c r="ACO7" s="17"/>
      <c r="ACP7" s="17"/>
      <c r="ACQ7" s="17"/>
      <c r="ACR7" s="17"/>
      <c r="ACS7" s="17"/>
      <c r="ACT7" s="17"/>
      <c r="ACU7" s="17"/>
      <c r="ACV7" s="17"/>
      <c r="ACW7" s="17"/>
      <c r="ACX7" s="17"/>
      <c r="ACY7" s="17"/>
      <c r="ACZ7" s="17"/>
      <c r="ADA7" s="17"/>
      <c r="ADB7" s="17"/>
      <c r="ADC7" s="17"/>
      <c r="ADD7" s="17"/>
      <c r="ADE7" s="17"/>
      <c r="ADF7" s="17"/>
      <c r="ADG7" s="17"/>
      <c r="ADH7" s="17"/>
      <c r="ADI7" s="17"/>
      <c r="ADJ7" s="17"/>
      <c r="ADK7" s="17"/>
      <c r="ADL7" s="17"/>
      <c r="ADM7" s="17"/>
      <c r="ADN7" s="17"/>
      <c r="ADO7" s="17"/>
      <c r="ADP7" s="17"/>
      <c r="ADQ7" s="17"/>
      <c r="ADR7" s="17"/>
      <c r="ADS7" s="17"/>
      <c r="ADT7" s="17"/>
      <c r="ADU7" s="17"/>
      <c r="ADV7" s="17"/>
      <c r="ADW7" s="17"/>
      <c r="ADX7" s="17"/>
      <c r="ADY7" s="17"/>
      <c r="ADZ7" s="17"/>
      <c r="AEA7" s="17"/>
      <c r="AEB7" s="17"/>
      <c r="AEC7" s="17"/>
      <c r="AED7" s="17"/>
      <c r="AEE7" s="17"/>
      <c r="AEF7" s="17"/>
      <c r="AEG7" s="17"/>
      <c r="AEH7" s="17"/>
      <c r="AEI7" s="17"/>
      <c r="AEJ7" s="17"/>
      <c r="AEK7" s="17"/>
      <c r="AEL7" s="17"/>
      <c r="AEM7" s="17"/>
      <c r="AEN7" s="17"/>
      <c r="AEO7" s="17"/>
      <c r="AEP7" s="17"/>
      <c r="AEQ7" s="17"/>
      <c r="AER7" s="17"/>
      <c r="AES7" s="17"/>
      <c r="AET7" s="17"/>
      <c r="AEU7" s="17"/>
      <c r="AEV7" s="17"/>
      <c r="AEW7" s="17"/>
      <c r="AEX7" s="17"/>
      <c r="AEY7" s="17"/>
      <c r="AEZ7" s="17"/>
      <c r="AFA7" s="17"/>
      <c r="AFB7" s="17"/>
      <c r="AFC7" s="17"/>
      <c r="AFD7" s="17"/>
      <c r="AFE7" s="17"/>
      <c r="AFF7" s="17"/>
      <c r="AFG7" s="17"/>
      <c r="AFH7" s="17"/>
      <c r="AFI7" s="17"/>
      <c r="AFJ7" s="17"/>
      <c r="AFK7" s="17"/>
      <c r="AFL7" s="17"/>
      <c r="AFM7" s="17"/>
      <c r="AFN7" s="17"/>
      <c r="AFO7" s="17"/>
      <c r="AFP7" s="17"/>
      <c r="AFQ7" s="17"/>
      <c r="AFR7" s="17"/>
      <c r="AFS7" s="17"/>
      <c r="AFT7" s="17"/>
      <c r="AFU7" s="17"/>
      <c r="AFV7" s="17"/>
      <c r="AFW7" s="17"/>
      <c r="AFX7" s="17"/>
      <c r="AFY7" s="17"/>
      <c r="AFZ7" s="17"/>
      <c r="AGA7" s="17"/>
      <c r="AGB7" s="17"/>
      <c r="AGC7" s="17"/>
      <c r="AGD7" s="17"/>
      <c r="AGE7" s="17"/>
      <c r="AGF7" s="17"/>
      <c r="AGG7" s="17"/>
      <c r="AGH7" s="17"/>
      <c r="AGI7" s="17"/>
      <c r="AGJ7" s="17"/>
      <c r="AGK7" s="17"/>
      <c r="AGL7" s="17"/>
      <c r="AGM7" s="17"/>
      <c r="AGN7" s="17"/>
      <c r="AGO7" s="17"/>
      <c r="AGP7" s="17"/>
      <c r="AGQ7" s="17"/>
      <c r="AGR7" s="17"/>
      <c r="AGS7" s="17"/>
      <c r="AGT7" s="17"/>
      <c r="AGU7" s="17"/>
      <c r="AGV7" s="17"/>
      <c r="AGW7" s="17"/>
      <c r="AGX7" s="17"/>
      <c r="AGY7" s="17"/>
      <c r="AGZ7" s="17"/>
      <c r="AHA7" s="17"/>
      <c r="AHB7" s="17"/>
      <c r="AHC7" s="17"/>
      <c r="AHD7" s="17"/>
      <c r="AHE7" s="17"/>
      <c r="AHF7" s="17"/>
      <c r="AHG7" s="17"/>
      <c r="AHH7" s="17"/>
      <c r="AHI7" s="17"/>
      <c r="AHJ7" s="17"/>
      <c r="AHK7" s="17"/>
      <c r="AHL7" s="17"/>
      <c r="AHM7" s="17"/>
      <c r="AHN7" s="17"/>
      <c r="AHO7" s="17"/>
      <c r="AHP7" s="17"/>
      <c r="AHQ7" s="17"/>
      <c r="AHR7" s="17"/>
      <c r="AHS7" s="17"/>
      <c r="AHT7" s="17"/>
      <c r="AHU7" s="17"/>
      <c r="AHV7" s="17"/>
      <c r="AHW7" s="17"/>
      <c r="AHX7" s="17"/>
      <c r="AHY7" s="17"/>
      <c r="AHZ7" s="17"/>
      <c r="AIA7" s="17"/>
      <c r="AIB7" s="17"/>
      <c r="AIC7" s="17"/>
      <c r="AID7" s="17"/>
      <c r="AIE7" s="17"/>
      <c r="AIF7" s="17"/>
      <c r="AIG7" s="17"/>
      <c r="AIH7" s="17"/>
      <c r="AII7" s="17"/>
      <c r="AIJ7" s="17"/>
      <c r="AIK7" s="17"/>
      <c r="AIL7" s="17"/>
      <c r="AIM7" s="17"/>
      <c r="AIN7" s="17"/>
      <c r="AIO7" s="17"/>
      <c r="AIP7" s="17"/>
      <c r="AIQ7" s="17"/>
      <c r="AIR7" s="17"/>
      <c r="AIS7" s="17"/>
      <c r="AIT7" s="17"/>
      <c r="AIU7" s="17"/>
      <c r="AIV7" s="17"/>
      <c r="AIW7" s="17"/>
      <c r="AIX7" s="17"/>
      <c r="AIY7" s="17"/>
      <c r="AIZ7" s="17"/>
      <c r="AJA7" s="17"/>
      <c r="AJB7" s="17"/>
      <c r="AJC7" s="17"/>
      <c r="AJD7" s="17"/>
      <c r="AJE7" s="17"/>
      <c r="AJF7" s="17"/>
      <c r="AJG7" s="17"/>
      <c r="AJH7" s="17"/>
      <c r="AJI7" s="17"/>
      <c r="AJJ7" s="17"/>
      <c r="AJK7" s="17"/>
      <c r="AJL7" s="17"/>
      <c r="AJM7" s="17"/>
      <c r="AJN7" s="17"/>
      <c r="AJO7" s="17"/>
      <c r="AJP7" s="17"/>
      <c r="AJQ7" s="17"/>
      <c r="AJR7" s="17"/>
      <c r="AJS7" s="17"/>
      <c r="AJT7" s="17"/>
      <c r="AJU7" s="17"/>
      <c r="AJV7" s="17"/>
      <c r="AJW7" s="17"/>
      <c r="AJX7" s="17"/>
      <c r="AJY7" s="17"/>
      <c r="AJZ7" s="17"/>
      <c r="AKA7" s="17"/>
      <c r="AKB7" s="17"/>
      <c r="AKC7" s="17"/>
      <c r="AKD7" s="17"/>
      <c r="AKE7" s="17"/>
      <c r="AKF7" s="17"/>
      <c r="AKG7" s="17"/>
      <c r="AKH7" s="17"/>
      <c r="AKI7" s="17"/>
      <c r="AKJ7" s="17"/>
      <c r="AKK7" s="17"/>
      <c r="AKL7" s="17"/>
      <c r="AKM7" s="17"/>
      <c r="AKN7" s="17"/>
      <c r="AKO7" s="17"/>
      <c r="AKP7" s="17"/>
      <c r="AKQ7" s="17"/>
      <c r="AKR7" s="17"/>
      <c r="AKS7" s="17"/>
      <c r="AKT7" s="17"/>
      <c r="AKU7" s="17"/>
      <c r="AKV7" s="17"/>
      <c r="AKW7" s="17"/>
      <c r="AKX7" s="17"/>
      <c r="AKY7" s="17"/>
      <c r="AKZ7" s="17"/>
      <c r="ALA7" s="17"/>
      <c r="ALB7" s="17"/>
      <c r="ALC7" s="17"/>
      <c r="ALD7" s="17"/>
      <c r="ALE7" s="17"/>
      <c r="ALF7" s="17"/>
      <c r="ALG7" s="17"/>
      <c r="ALH7" s="17"/>
      <c r="ALI7" s="17"/>
      <c r="ALJ7" s="17"/>
      <c r="ALK7" s="17"/>
      <c r="ALL7" s="17"/>
    </row>
    <row r="8" spans="1:1000" s="19" customFormat="1">
      <c r="A8"/>
      <c r="B8" s="66"/>
      <c r="C8" s="66"/>
      <c r="D8" s="66"/>
      <c r="E8" s="66"/>
      <c r="F8" s="66"/>
      <c r="G8" s="66"/>
      <c r="H8" s="66"/>
      <c r="I8" s="6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c r="BM8" s="66"/>
      <c r="BN8" s="66"/>
      <c r="BO8" s="66"/>
      <c r="BP8" s="66"/>
      <c r="BQ8" s="66"/>
      <c r="BR8" s="66"/>
      <c r="BS8" s="66"/>
      <c r="BT8" s="66"/>
      <c r="BU8" s="66"/>
      <c r="BV8" s="66"/>
      <c r="BW8" s="66"/>
      <c r="BX8" s="66"/>
      <c r="BY8" s="66"/>
      <c r="BZ8" s="66"/>
      <c r="CA8" s="66"/>
      <c r="CB8" s="66"/>
      <c r="CC8" s="66"/>
      <c r="CD8" s="66"/>
      <c r="CE8" s="66"/>
      <c r="CF8" s="66"/>
      <c r="CG8" s="66"/>
      <c r="CH8" s="66"/>
      <c r="CI8" s="66"/>
      <c r="CJ8" s="66"/>
      <c r="CK8" s="66"/>
      <c r="CL8" s="66"/>
      <c r="CM8" s="66"/>
      <c r="CN8" s="66"/>
      <c r="CO8" s="66"/>
      <c r="CP8" s="66"/>
      <c r="CQ8" s="66"/>
      <c r="CR8" s="66"/>
      <c r="CS8" s="66"/>
      <c r="CT8" s="66"/>
      <c r="CU8" s="66"/>
      <c r="CV8" s="66"/>
      <c r="CW8" s="66"/>
      <c r="CX8" s="66"/>
      <c r="CY8" s="66"/>
      <c r="CZ8" s="66"/>
      <c r="DA8" s="66"/>
      <c r="DB8" s="66"/>
      <c r="DC8" s="66"/>
      <c r="DD8" s="66"/>
      <c r="DE8" s="66"/>
      <c r="DF8" s="66"/>
      <c r="DG8" s="66"/>
      <c r="DH8" s="66"/>
      <c r="DI8" s="66"/>
      <c r="DJ8" s="66"/>
      <c r="DK8" s="66"/>
      <c r="DL8" s="66"/>
      <c r="DM8" s="66"/>
      <c r="DN8" s="66"/>
      <c r="DO8" s="66"/>
      <c r="DP8" s="66"/>
      <c r="DQ8" s="66"/>
      <c r="DR8" s="66"/>
      <c r="DS8" s="66"/>
      <c r="DT8" s="66"/>
      <c r="DU8" s="66"/>
      <c r="DV8" s="66"/>
      <c r="DW8" s="66"/>
      <c r="DX8" s="66"/>
      <c r="DY8" s="66"/>
      <c r="DZ8" s="66"/>
      <c r="EA8" s="66"/>
      <c r="EB8" s="66"/>
      <c r="EC8" s="66"/>
      <c r="ED8" s="66"/>
      <c r="EE8" s="66"/>
      <c r="EF8" s="66"/>
      <c r="EG8" s="66"/>
      <c r="EH8" s="66"/>
      <c r="EI8" s="66"/>
      <c r="EJ8" s="66"/>
      <c r="EK8" s="66"/>
      <c r="EL8" s="66"/>
      <c r="EM8" s="66"/>
      <c r="EN8" s="66"/>
      <c r="EO8" s="66"/>
      <c r="EP8" s="66"/>
      <c r="EQ8" s="66"/>
      <c r="ER8" s="66"/>
      <c r="ES8" s="66"/>
      <c r="ET8" s="66"/>
      <c r="EU8" s="66"/>
      <c r="EV8" s="66"/>
      <c r="EW8" s="66"/>
      <c r="EX8" s="66"/>
      <c r="EY8" s="66"/>
      <c r="EZ8" s="66"/>
      <c r="FA8" s="66"/>
      <c r="FB8" s="66"/>
      <c r="FC8" s="66"/>
      <c r="FD8" s="66"/>
      <c r="FE8" s="66"/>
      <c r="FF8" s="66"/>
      <c r="FG8" s="66"/>
      <c r="FH8" s="66"/>
      <c r="FI8" s="66"/>
      <c r="FJ8" s="66"/>
      <c r="FK8" s="66"/>
      <c r="FL8" s="66"/>
      <c r="FM8" s="66"/>
      <c r="FN8" s="66"/>
      <c r="FO8" s="66"/>
      <c r="FP8" s="66"/>
      <c r="FQ8" s="66"/>
      <c r="FR8" s="66"/>
      <c r="FS8" s="66"/>
      <c r="FT8" s="66"/>
      <c r="FU8" s="66"/>
      <c r="FV8" s="66"/>
      <c r="FW8" s="66"/>
      <c r="FX8" s="66"/>
      <c r="FY8" s="66"/>
      <c r="FZ8" s="66"/>
      <c r="GA8" s="66"/>
      <c r="GB8" s="66"/>
      <c r="GC8" s="66"/>
      <c r="GD8" s="66"/>
      <c r="GE8" s="66"/>
      <c r="GF8" s="66"/>
      <c r="GG8" s="66"/>
      <c r="GH8" s="66"/>
      <c r="GI8" s="66"/>
      <c r="GJ8" s="66"/>
      <c r="GK8" s="66"/>
      <c r="GL8" s="66"/>
      <c r="GM8" s="66"/>
      <c r="GN8" s="66"/>
      <c r="GO8" s="66"/>
      <c r="GP8" s="66"/>
      <c r="GQ8" s="66"/>
      <c r="GR8" s="66"/>
      <c r="GS8" s="66"/>
      <c r="GT8" s="66"/>
      <c r="GU8" s="66"/>
      <c r="GV8" s="66"/>
      <c r="GW8" s="66"/>
      <c r="GX8" s="66"/>
      <c r="GY8" s="66"/>
      <c r="GZ8" s="66"/>
      <c r="HA8" s="66"/>
      <c r="HB8" s="66"/>
      <c r="HC8" s="66"/>
      <c r="HD8" s="66"/>
      <c r="HE8" s="66"/>
      <c r="HF8" s="66"/>
      <c r="HG8" s="66"/>
      <c r="HH8" s="66"/>
      <c r="HI8" s="66"/>
      <c r="HJ8" s="66"/>
      <c r="HK8" s="66"/>
      <c r="HL8" s="66"/>
      <c r="HM8" s="66"/>
      <c r="HN8" s="66"/>
      <c r="HO8" s="66"/>
      <c r="HP8" s="66"/>
      <c r="HQ8" s="66"/>
      <c r="HR8" s="66"/>
      <c r="HS8" s="66"/>
      <c r="HT8" s="66"/>
      <c r="HU8" s="66"/>
      <c r="HV8" s="66"/>
      <c r="HW8" s="66"/>
      <c r="HX8" s="66"/>
      <c r="HY8" s="66"/>
      <c r="HZ8" s="66"/>
      <c r="IA8" s="66"/>
      <c r="IB8" s="66"/>
      <c r="IC8" s="66"/>
      <c r="ID8" s="66"/>
      <c r="IE8" s="66"/>
      <c r="IF8" s="66"/>
      <c r="IG8" s="66"/>
      <c r="IH8" s="66"/>
      <c r="II8" s="66"/>
      <c r="IJ8" s="66"/>
      <c r="IK8" s="66"/>
      <c r="IL8" s="66"/>
      <c r="IM8" s="66"/>
      <c r="IN8" s="66"/>
      <c r="IO8" s="66"/>
      <c r="IP8" s="66"/>
      <c r="IQ8" s="66"/>
      <c r="IR8" s="66"/>
      <c r="IS8" s="66"/>
      <c r="IT8" s="66"/>
      <c r="IU8" s="66"/>
      <c r="IV8" s="66"/>
      <c r="IW8" s="66"/>
      <c r="IX8" s="66"/>
      <c r="IY8" s="66"/>
      <c r="IZ8" s="66"/>
      <c r="JA8" s="66"/>
      <c r="JB8" s="66"/>
      <c r="JC8" s="66"/>
      <c r="JD8" s="66"/>
      <c r="JE8" s="66"/>
      <c r="JF8" s="66"/>
      <c r="JG8" s="66"/>
      <c r="JH8" s="66"/>
      <c r="JI8" s="66"/>
      <c r="JJ8" s="66"/>
      <c r="JK8" s="66"/>
      <c r="JL8" s="66"/>
      <c r="JM8" s="66"/>
      <c r="JN8" s="66"/>
      <c r="JO8" s="66"/>
      <c r="JP8" s="66"/>
      <c r="JQ8" s="66"/>
      <c r="JR8" s="66"/>
      <c r="JS8" s="66"/>
      <c r="JT8" s="66"/>
      <c r="JU8" s="66"/>
      <c r="JV8" s="66"/>
      <c r="JW8" s="66"/>
      <c r="JX8" s="66"/>
      <c r="JY8" s="66"/>
      <c r="JZ8" s="66"/>
      <c r="KA8" s="66"/>
      <c r="KB8" s="66"/>
      <c r="KC8" s="66"/>
      <c r="KD8" s="66"/>
      <c r="KE8" s="66"/>
      <c r="KF8" s="66"/>
      <c r="KG8" s="66"/>
      <c r="KH8" s="66"/>
      <c r="KI8" s="66"/>
      <c r="KJ8" s="66"/>
      <c r="KK8" s="66"/>
      <c r="KL8" s="66"/>
      <c r="KM8" s="66"/>
      <c r="KN8" s="66"/>
      <c r="KO8" s="66"/>
      <c r="KP8" s="66"/>
      <c r="KQ8" s="66"/>
      <c r="KR8" s="66"/>
      <c r="KS8" s="66"/>
      <c r="KT8" s="66"/>
      <c r="KU8" s="66"/>
      <c r="KV8" s="66"/>
      <c r="KW8" s="66"/>
      <c r="KX8" s="66"/>
      <c r="KY8" s="66"/>
      <c r="KZ8" s="66"/>
      <c r="LA8" s="66"/>
      <c r="LB8" s="66"/>
      <c r="LC8" s="66"/>
      <c r="LD8" s="66"/>
      <c r="LE8" s="66"/>
      <c r="LF8" s="66"/>
      <c r="LG8" s="66"/>
      <c r="LH8" s="66"/>
      <c r="LI8" s="66"/>
      <c r="LJ8" s="66"/>
      <c r="LK8" s="66"/>
      <c r="LL8" s="66"/>
      <c r="LM8" s="66"/>
      <c r="LN8" s="66"/>
      <c r="LO8" s="66"/>
      <c r="LP8" s="66"/>
      <c r="LQ8" s="66"/>
      <c r="LR8" s="66"/>
      <c r="LS8" s="66"/>
      <c r="LT8" s="66"/>
      <c r="LU8" s="66"/>
      <c r="LV8" s="66"/>
      <c r="LW8" s="66"/>
      <c r="LX8" s="66"/>
      <c r="LY8" s="66"/>
      <c r="LZ8" s="66"/>
      <c r="MA8" s="66"/>
      <c r="MB8" s="66"/>
      <c r="MC8" s="66"/>
      <c r="MD8" s="66"/>
      <c r="ME8" s="66"/>
      <c r="MF8" s="66"/>
      <c r="MG8" s="66"/>
      <c r="MH8" s="66"/>
      <c r="MI8" s="66"/>
      <c r="MJ8" s="66"/>
      <c r="MK8" s="66"/>
      <c r="ML8" s="66"/>
      <c r="MM8" s="66"/>
      <c r="MN8" s="66"/>
      <c r="MO8" s="66"/>
      <c r="MP8" s="66"/>
      <c r="MQ8" s="66"/>
      <c r="MR8" s="66"/>
      <c r="MS8" s="66"/>
      <c r="MT8" s="66"/>
      <c r="MU8" s="66"/>
      <c r="MV8" s="66"/>
      <c r="MW8" s="66"/>
      <c r="MX8" s="66"/>
      <c r="MY8" s="66"/>
      <c r="MZ8" s="66"/>
      <c r="NA8" s="66"/>
      <c r="NB8" s="66"/>
      <c r="NC8" s="17"/>
      <c r="ND8" s="15"/>
      <c r="NE8" s="15"/>
      <c r="NF8" s="15"/>
      <c r="NG8" s="15"/>
      <c r="NH8" s="15"/>
      <c r="NI8" s="15"/>
      <c r="NJ8" s="15"/>
      <c r="NK8" s="15"/>
      <c r="NL8" s="15"/>
      <c r="NM8" s="15"/>
      <c r="NN8" s="15"/>
      <c r="NO8" s="15"/>
      <c r="NP8" s="15"/>
      <c r="NQ8" s="15"/>
      <c r="NR8" s="15"/>
      <c r="NS8" s="15"/>
      <c r="NT8" s="15"/>
      <c r="NU8" s="15"/>
      <c r="NV8" s="15"/>
      <c r="NW8" s="15"/>
      <c r="NX8" s="15"/>
      <c r="NY8" s="15"/>
      <c r="NZ8" s="15"/>
      <c r="OA8" s="15"/>
      <c r="OB8" s="15"/>
      <c r="OC8" s="15"/>
      <c r="OD8" s="15"/>
      <c r="OE8" s="15"/>
      <c r="OF8" s="15"/>
      <c r="OG8" s="15"/>
      <c r="OH8" s="15"/>
      <c r="OI8" s="15"/>
      <c r="OJ8" s="15"/>
      <c r="OK8" s="15"/>
      <c r="OL8" s="15"/>
      <c r="OM8" s="15"/>
      <c r="ON8" s="15"/>
      <c r="OO8" s="15"/>
      <c r="OP8" s="15"/>
      <c r="OQ8" s="15"/>
      <c r="OR8" s="15"/>
      <c r="OS8" s="15"/>
      <c r="OT8" s="15"/>
      <c r="OU8" s="15"/>
      <c r="OV8" s="15"/>
      <c r="OW8" s="15"/>
      <c r="OX8" s="15"/>
      <c r="OY8" s="15"/>
      <c r="OZ8" s="15"/>
      <c r="PA8" s="17"/>
      <c r="PB8" s="17"/>
      <c r="PC8" s="17"/>
      <c r="PD8" s="17"/>
      <c r="PE8" s="17"/>
      <c r="PF8" s="17"/>
      <c r="PG8" s="17"/>
      <c r="PH8" s="17"/>
      <c r="PI8" s="17"/>
      <c r="PJ8" s="17"/>
      <c r="PK8" s="17"/>
      <c r="PL8" s="17"/>
      <c r="PM8" s="17"/>
      <c r="PN8" s="17"/>
      <c r="PO8" s="17"/>
      <c r="PP8" s="17"/>
      <c r="PQ8" s="17"/>
      <c r="PR8" s="17"/>
      <c r="PS8" s="17"/>
      <c r="PT8" s="17"/>
      <c r="PU8" s="17"/>
      <c r="PV8" s="17"/>
      <c r="PW8" s="17"/>
      <c r="PX8" s="17"/>
      <c r="PY8" s="17"/>
      <c r="PZ8" s="17"/>
      <c r="QA8" s="17"/>
      <c r="QB8" s="17"/>
      <c r="QC8" s="17"/>
      <c r="QD8" s="17"/>
      <c r="QE8" s="17"/>
      <c r="QF8" s="17"/>
      <c r="QG8" s="17"/>
      <c r="QH8" s="17"/>
      <c r="QI8" s="17"/>
      <c r="QJ8" s="17"/>
      <c r="QK8" s="17"/>
      <c r="QL8" s="17"/>
      <c r="QM8" s="17"/>
      <c r="QN8" s="17"/>
      <c r="QO8" s="17"/>
      <c r="QP8" s="17"/>
      <c r="QQ8" s="17"/>
      <c r="QR8" s="17"/>
      <c r="QS8" s="17"/>
      <c r="QT8" s="17"/>
      <c r="QU8" s="17"/>
      <c r="QV8" s="17"/>
      <c r="QW8" s="17"/>
      <c r="QX8" s="17"/>
      <c r="QY8" s="17"/>
      <c r="QZ8" s="17"/>
      <c r="RA8" s="17"/>
      <c r="RB8" s="17"/>
      <c r="RC8" s="17"/>
      <c r="RD8" s="17"/>
      <c r="RE8" s="17"/>
      <c r="RF8" s="17"/>
      <c r="RG8" s="17"/>
      <c r="RH8" s="17"/>
      <c r="RI8" s="17"/>
      <c r="RJ8" s="17"/>
      <c r="RK8" s="17"/>
      <c r="RL8" s="17"/>
      <c r="RM8" s="17"/>
      <c r="RN8" s="17"/>
      <c r="RO8" s="17"/>
      <c r="RP8" s="17"/>
      <c r="RQ8" s="17"/>
      <c r="RR8" s="17"/>
      <c r="RS8" s="17"/>
      <c r="RT8" s="17"/>
      <c r="RU8" s="17"/>
      <c r="RV8" s="17"/>
      <c r="RW8" s="17"/>
      <c r="RX8" s="17"/>
      <c r="RY8" s="17"/>
      <c r="RZ8" s="17"/>
      <c r="SA8" s="17"/>
      <c r="SB8" s="17"/>
      <c r="SC8" s="17"/>
      <c r="SD8" s="17"/>
      <c r="SE8" s="17"/>
      <c r="SF8" s="17"/>
      <c r="SG8" s="17"/>
      <c r="SH8" s="17"/>
      <c r="SI8" s="17"/>
      <c r="SJ8" s="17"/>
      <c r="SK8" s="17"/>
      <c r="SL8" s="17"/>
      <c r="SM8" s="17"/>
      <c r="SN8" s="17"/>
      <c r="SO8" s="17"/>
      <c r="SP8" s="17"/>
      <c r="SQ8" s="17"/>
      <c r="SR8" s="17"/>
      <c r="SS8" s="17"/>
      <c r="ST8" s="17"/>
      <c r="SU8" s="17"/>
      <c r="SV8" s="17"/>
      <c r="SW8" s="17"/>
      <c r="SX8" s="17"/>
      <c r="SY8" s="17"/>
      <c r="SZ8" s="17"/>
      <c r="TA8" s="17"/>
      <c r="TB8" s="17"/>
      <c r="TC8" s="17"/>
      <c r="TD8" s="17"/>
      <c r="TE8" s="17"/>
      <c r="TF8" s="17"/>
      <c r="TG8" s="17"/>
      <c r="TH8" s="17"/>
      <c r="TI8" s="17"/>
      <c r="TJ8" s="17"/>
      <c r="TK8" s="17"/>
      <c r="TL8" s="17"/>
      <c r="TM8" s="17"/>
      <c r="TN8" s="17"/>
      <c r="TO8" s="17"/>
      <c r="TP8" s="17"/>
      <c r="TQ8" s="17"/>
      <c r="TR8" s="17"/>
      <c r="TS8" s="17"/>
      <c r="TT8" s="17"/>
      <c r="TU8" s="17"/>
      <c r="TV8" s="17"/>
      <c r="TW8" s="17"/>
      <c r="TX8" s="17"/>
      <c r="TY8" s="17"/>
      <c r="TZ8" s="17"/>
      <c r="UA8" s="17"/>
      <c r="UB8" s="17"/>
      <c r="UC8" s="17"/>
      <c r="UD8" s="17"/>
      <c r="UE8" s="17"/>
      <c r="UF8" s="17"/>
      <c r="UG8" s="17"/>
      <c r="UH8" s="17"/>
      <c r="UI8" s="17"/>
      <c r="UJ8" s="17"/>
      <c r="UK8" s="17"/>
      <c r="UL8" s="17"/>
      <c r="UM8" s="17"/>
      <c r="UN8" s="17"/>
      <c r="UO8" s="17"/>
      <c r="UP8" s="17"/>
      <c r="UQ8" s="17"/>
      <c r="UR8" s="17"/>
      <c r="US8" s="17"/>
      <c r="UT8" s="17"/>
      <c r="UU8" s="17"/>
      <c r="UV8" s="17"/>
      <c r="UW8" s="17"/>
      <c r="UX8" s="17"/>
      <c r="UY8" s="17"/>
      <c r="UZ8" s="17"/>
      <c r="VA8" s="17"/>
      <c r="VB8" s="17"/>
      <c r="VC8" s="17"/>
      <c r="VD8" s="17"/>
      <c r="VE8" s="17"/>
      <c r="VF8" s="17"/>
      <c r="VG8" s="17"/>
      <c r="VH8" s="17"/>
      <c r="VI8" s="17"/>
      <c r="VJ8" s="17"/>
      <c r="VK8" s="17"/>
      <c r="VL8" s="17"/>
      <c r="VM8" s="17"/>
      <c r="VN8" s="17"/>
      <c r="VO8" s="17"/>
      <c r="VP8" s="17"/>
      <c r="VQ8" s="17"/>
      <c r="VR8" s="17"/>
      <c r="VS8" s="17"/>
      <c r="VT8" s="17"/>
      <c r="VU8" s="17"/>
      <c r="VV8" s="17"/>
      <c r="VW8" s="17"/>
      <c r="VX8" s="17"/>
      <c r="VY8" s="17"/>
      <c r="VZ8" s="17"/>
      <c r="WA8" s="17"/>
      <c r="WB8" s="17"/>
      <c r="WC8" s="17"/>
      <c r="WD8" s="17"/>
      <c r="WE8" s="17"/>
      <c r="WF8" s="17"/>
      <c r="WG8" s="17"/>
      <c r="WH8" s="17"/>
      <c r="WI8" s="17"/>
      <c r="WJ8" s="17"/>
      <c r="WK8" s="17"/>
      <c r="WL8" s="17"/>
      <c r="WM8" s="17"/>
      <c r="WN8" s="17"/>
      <c r="WO8" s="17"/>
      <c r="WP8" s="17"/>
      <c r="WQ8" s="17"/>
      <c r="WR8" s="17"/>
      <c r="WS8" s="17"/>
      <c r="WT8" s="17"/>
      <c r="WU8" s="17"/>
      <c r="WV8" s="17"/>
      <c r="WW8" s="17"/>
      <c r="WX8" s="17"/>
      <c r="WY8" s="17"/>
      <c r="WZ8" s="17"/>
      <c r="XA8" s="17"/>
      <c r="XB8" s="17"/>
      <c r="XC8" s="17"/>
      <c r="XD8" s="17"/>
      <c r="XE8" s="17"/>
      <c r="XF8" s="17"/>
      <c r="XG8" s="17"/>
      <c r="XH8" s="17"/>
      <c r="XI8" s="17"/>
      <c r="XJ8" s="17"/>
      <c r="XK8" s="17"/>
      <c r="XL8" s="17"/>
      <c r="XM8" s="17"/>
      <c r="XN8" s="17"/>
      <c r="XO8" s="17"/>
      <c r="XP8" s="17"/>
      <c r="XQ8" s="17"/>
      <c r="XR8" s="17"/>
      <c r="XS8" s="17"/>
      <c r="XT8" s="17"/>
      <c r="XU8" s="17"/>
      <c r="XV8" s="17"/>
      <c r="XW8" s="17"/>
      <c r="XX8" s="17"/>
      <c r="XY8" s="17"/>
      <c r="XZ8" s="17"/>
      <c r="YA8" s="17"/>
      <c r="YB8" s="17"/>
      <c r="YC8" s="17"/>
      <c r="YD8" s="17"/>
      <c r="YE8" s="17"/>
      <c r="YF8" s="17"/>
      <c r="YG8" s="17"/>
      <c r="YH8" s="17"/>
      <c r="YI8" s="17"/>
      <c r="YJ8" s="17"/>
      <c r="YK8" s="17"/>
      <c r="YL8" s="17"/>
      <c r="YM8" s="17"/>
      <c r="YN8" s="17"/>
      <c r="YO8" s="17"/>
      <c r="YP8" s="17"/>
      <c r="YQ8" s="17"/>
      <c r="YR8" s="17"/>
      <c r="YS8" s="17"/>
      <c r="YT8" s="17"/>
      <c r="YU8" s="17"/>
      <c r="YV8" s="17"/>
      <c r="YW8" s="17"/>
      <c r="YX8" s="17"/>
      <c r="YY8" s="17"/>
      <c r="YZ8" s="17"/>
      <c r="ZA8" s="17"/>
      <c r="ZB8" s="17"/>
      <c r="ZC8" s="17"/>
      <c r="ZD8" s="17"/>
      <c r="ZE8" s="17"/>
      <c r="ZF8" s="17"/>
      <c r="ZG8" s="17"/>
      <c r="ZH8" s="17"/>
      <c r="ZI8" s="17"/>
      <c r="ZJ8" s="17"/>
      <c r="ZK8" s="17"/>
      <c r="ZL8" s="17"/>
      <c r="ZM8" s="17"/>
      <c r="ZN8" s="17"/>
      <c r="ZO8" s="17"/>
      <c r="ZP8" s="17"/>
      <c r="ZQ8" s="17"/>
      <c r="ZR8" s="17"/>
      <c r="ZS8" s="17"/>
      <c r="ZT8" s="17"/>
      <c r="ZU8" s="17"/>
      <c r="ZV8" s="17"/>
      <c r="ZW8" s="17"/>
      <c r="ZX8" s="17"/>
      <c r="ZY8" s="17"/>
      <c r="ZZ8" s="17"/>
      <c r="AAA8" s="17"/>
      <c r="AAB8" s="17"/>
      <c r="AAC8" s="17"/>
      <c r="AAD8" s="17"/>
      <c r="AAE8" s="17"/>
      <c r="AAF8" s="17"/>
      <c r="AAG8" s="17"/>
      <c r="AAH8" s="17"/>
      <c r="AAI8" s="17"/>
      <c r="AAJ8" s="17"/>
      <c r="AAK8" s="17"/>
      <c r="AAL8" s="17"/>
      <c r="AAM8" s="17"/>
      <c r="AAN8" s="17"/>
      <c r="AAO8" s="17"/>
      <c r="AAP8" s="17"/>
      <c r="AAQ8" s="17"/>
      <c r="AAR8" s="17"/>
      <c r="AAS8" s="17"/>
      <c r="AAT8" s="17"/>
      <c r="AAU8" s="17"/>
      <c r="AAV8" s="17"/>
      <c r="AAW8" s="17"/>
      <c r="AAX8" s="17"/>
      <c r="AAY8" s="17"/>
      <c r="AAZ8" s="17"/>
      <c r="ABA8" s="17"/>
      <c r="ABB8" s="17"/>
      <c r="ABC8" s="17"/>
      <c r="ABD8" s="17"/>
      <c r="ABE8" s="17"/>
      <c r="ABF8" s="17"/>
      <c r="ABG8" s="17"/>
      <c r="ABH8" s="17"/>
      <c r="ABI8" s="17"/>
      <c r="ABJ8" s="17"/>
      <c r="ABK8" s="17"/>
      <c r="ABL8" s="17"/>
      <c r="ABM8" s="17"/>
      <c r="ABN8" s="17"/>
      <c r="ABO8" s="17"/>
      <c r="ABP8" s="17"/>
      <c r="ABQ8" s="17"/>
      <c r="ABR8" s="17"/>
      <c r="ABS8" s="17"/>
      <c r="ABT8" s="17"/>
      <c r="ABU8" s="17"/>
      <c r="ABV8" s="17"/>
      <c r="ABW8" s="17"/>
      <c r="ABX8" s="17"/>
      <c r="ABY8" s="17"/>
      <c r="ABZ8" s="17"/>
      <c r="ACA8" s="17"/>
      <c r="ACB8" s="17"/>
      <c r="ACC8" s="17"/>
      <c r="ACD8" s="17"/>
      <c r="ACE8" s="17"/>
      <c r="ACF8" s="17"/>
      <c r="ACG8" s="17"/>
      <c r="ACH8" s="17"/>
      <c r="ACI8" s="17"/>
      <c r="ACJ8" s="17"/>
      <c r="ACK8" s="17"/>
      <c r="ACL8" s="17"/>
      <c r="ACM8" s="17"/>
      <c r="ACN8" s="17"/>
      <c r="ACO8" s="17"/>
      <c r="ACP8" s="17"/>
      <c r="ACQ8" s="17"/>
      <c r="ACR8" s="17"/>
      <c r="ACS8" s="17"/>
      <c r="ACT8" s="17"/>
      <c r="ACU8" s="17"/>
      <c r="ACV8" s="17"/>
      <c r="ACW8" s="17"/>
      <c r="ACX8" s="17"/>
      <c r="ACY8" s="17"/>
      <c r="ACZ8" s="17"/>
      <c r="ADA8" s="17"/>
      <c r="ADB8" s="17"/>
      <c r="ADC8" s="17"/>
      <c r="ADD8" s="17"/>
      <c r="ADE8" s="17"/>
      <c r="ADF8" s="17"/>
      <c r="ADG8" s="17"/>
      <c r="ADH8" s="17"/>
      <c r="ADI8" s="17"/>
      <c r="ADJ8" s="17"/>
      <c r="ADK8" s="17"/>
      <c r="ADL8" s="17"/>
      <c r="ADM8" s="17"/>
      <c r="ADN8" s="17"/>
      <c r="ADO8" s="17"/>
      <c r="ADP8" s="17"/>
      <c r="ADQ8" s="17"/>
      <c r="ADR8" s="17"/>
      <c r="ADS8" s="17"/>
      <c r="ADT8" s="17"/>
      <c r="ADU8" s="17"/>
      <c r="ADV8" s="17"/>
      <c r="ADW8" s="17"/>
      <c r="ADX8" s="17"/>
      <c r="ADY8" s="17"/>
      <c r="ADZ8" s="17"/>
      <c r="AEA8" s="17"/>
      <c r="AEB8" s="17"/>
      <c r="AEC8" s="17"/>
      <c r="AED8" s="17"/>
      <c r="AEE8" s="17"/>
      <c r="AEF8" s="17"/>
      <c r="AEG8" s="17"/>
      <c r="AEH8" s="17"/>
      <c r="AEI8" s="17"/>
      <c r="AEJ8" s="17"/>
      <c r="AEK8" s="17"/>
      <c r="AEL8" s="17"/>
      <c r="AEM8" s="17"/>
      <c r="AEN8" s="17"/>
      <c r="AEO8" s="17"/>
      <c r="AEP8" s="17"/>
      <c r="AEQ8" s="17"/>
      <c r="AER8" s="17"/>
      <c r="AES8" s="17"/>
      <c r="AET8" s="17"/>
      <c r="AEU8" s="17"/>
      <c r="AEV8" s="17"/>
      <c r="AEW8" s="17"/>
      <c r="AEX8" s="17"/>
      <c r="AEY8" s="17"/>
      <c r="AEZ8" s="17"/>
      <c r="AFA8" s="17"/>
      <c r="AFB8" s="17"/>
      <c r="AFC8" s="17"/>
      <c r="AFD8" s="17"/>
      <c r="AFE8" s="17"/>
      <c r="AFF8" s="17"/>
      <c r="AFG8" s="17"/>
      <c r="AFH8" s="17"/>
      <c r="AFI8" s="17"/>
      <c r="AFJ8" s="17"/>
      <c r="AFK8" s="17"/>
      <c r="AFL8" s="17"/>
      <c r="AFM8" s="17"/>
      <c r="AFN8" s="17"/>
      <c r="AFO8" s="17"/>
      <c r="AFP8" s="17"/>
      <c r="AFQ8" s="17"/>
      <c r="AFR8" s="17"/>
      <c r="AFS8" s="17"/>
      <c r="AFT8" s="17"/>
      <c r="AFU8" s="17"/>
      <c r="AFV8" s="17"/>
      <c r="AFW8" s="17"/>
      <c r="AFX8" s="17"/>
      <c r="AFY8" s="17"/>
      <c r="AFZ8" s="17"/>
      <c r="AGA8" s="17"/>
      <c r="AGB8" s="17"/>
      <c r="AGC8" s="17"/>
      <c r="AGD8" s="17"/>
      <c r="AGE8" s="17"/>
      <c r="AGF8" s="17"/>
      <c r="AGG8" s="17"/>
      <c r="AGH8" s="17"/>
      <c r="AGI8" s="17"/>
      <c r="AGJ8" s="17"/>
      <c r="AGK8" s="17"/>
      <c r="AGL8" s="17"/>
      <c r="AGM8" s="17"/>
      <c r="AGN8" s="17"/>
      <c r="AGO8" s="17"/>
      <c r="AGP8" s="17"/>
      <c r="AGQ8" s="17"/>
      <c r="AGR8" s="17"/>
      <c r="AGS8" s="17"/>
      <c r="AGT8" s="17"/>
      <c r="AGU8" s="17"/>
      <c r="AGV8" s="17"/>
      <c r="AGW8" s="17"/>
      <c r="AGX8" s="17"/>
      <c r="AGY8" s="17"/>
      <c r="AGZ8" s="17"/>
      <c r="AHA8" s="17"/>
      <c r="AHB8" s="17"/>
      <c r="AHC8" s="17"/>
      <c r="AHD8" s="17"/>
      <c r="AHE8" s="17"/>
      <c r="AHF8" s="17"/>
      <c r="AHG8" s="17"/>
      <c r="AHH8" s="17"/>
      <c r="AHI8" s="17"/>
      <c r="AHJ8" s="17"/>
      <c r="AHK8" s="17"/>
      <c r="AHL8" s="17"/>
      <c r="AHM8" s="17"/>
      <c r="AHN8" s="17"/>
      <c r="AHO8" s="17"/>
      <c r="AHP8" s="17"/>
      <c r="AHQ8" s="17"/>
      <c r="AHR8" s="17"/>
      <c r="AHS8" s="17"/>
      <c r="AHT8" s="17"/>
      <c r="AHU8" s="17"/>
      <c r="AHV8" s="17"/>
      <c r="AHW8" s="17"/>
      <c r="AHX8" s="17"/>
      <c r="AHY8" s="17"/>
      <c r="AHZ8" s="17"/>
      <c r="AIA8" s="17"/>
      <c r="AIB8" s="17"/>
      <c r="AIC8" s="17"/>
      <c r="AID8" s="17"/>
      <c r="AIE8" s="17"/>
      <c r="AIF8" s="17"/>
      <c r="AIG8" s="17"/>
      <c r="AIH8" s="17"/>
      <c r="AII8" s="17"/>
      <c r="AIJ8" s="17"/>
      <c r="AIK8" s="17"/>
      <c r="AIL8" s="17"/>
      <c r="AIM8" s="17"/>
      <c r="AIN8" s="17"/>
      <c r="AIO8" s="17"/>
      <c r="AIP8" s="17"/>
      <c r="AIQ8" s="17"/>
      <c r="AIR8" s="17"/>
      <c r="AIS8" s="17"/>
      <c r="AIT8" s="17"/>
      <c r="AIU8" s="17"/>
      <c r="AIV8" s="17"/>
      <c r="AIW8" s="17"/>
      <c r="AIX8" s="17"/>
      <c r="AIY8" s="17"/>
      <c r="AIZ8" s="17"/>
      <c r="AJA8" s="17"/>
      <c r="AJB8" s="17"/>
      <c r="AJC8" s="17"/>
      <c r="AJD8" s="17"/>
      <c r="AJE8" s="17"/>
      <c r="AJF8" s="17"/>
      <c r="AJG8" s="17"/>
      <c r="AJH8" s="17"/>
      <c r="AJI8" s="17"/>
      <c r="AJJ8" s="17"/>
      <c r="AJK8" s="17"/>
      <c r="AJL8" s="17"/>
      <c r="AJM8" s="17"/>
      <c r="AJN8" s="17"/>
      <c r="AJO8" s="17"/>
      <c r="AJP8" s="17"/>
      <c r="AJQ8" s="17"/>
      <c r="AJR8" s="17"/>
      <c r="AJS8" s="17"/>
      <c r="AJT8" s="17"/>
      <c r="AJU8" s="17"/>
      <c r="AJV8" s="17"/>
      <c r="AJW8" s="17"/>
      <c r="AJX8" s="17"/>
      <c r="AJY8" s="17"/>
      <c r="AJZ8" s="17"/>
      <c r="AKA8" s="17"/>
      <c r="AKB8" s="17"/>
      <c r="AKC8" s="17"/>
      <c r="AKD8" s="17"/>
      <c r="AKE8" s="17"/>
      <c r="AKF8" s="17"/>
      <c r="AKG8" s="17"/>
      <c r="AKH8" s="17"/>
      <c r="AKI8" s="17"/>
      <c r="AKJ8" s="17"/>
      <c r="AKK8" s="17"/>
      <c r="AKL8" s="17"/>
      <c r="AKM8" s="17"/>
      <c r="AKN8" s="17"/>
      <c r="AKO8" s="17"/>
      <c r="AKP8" s="17"/>
      <c r="AKQ8" s="17"/>
      <c r="AKR8" s="17"/>
      <c r="AKS8" s="17"/>
      <c r="AKT8" s="17"/>
      <c r="AKU8" s="17"/>
      <c r="AKV8" s="17"/>
      <c r="AKW8" s="17"/>
      <c r="AKX8" s="17"/>
      <c r="AKY8" s="17"/>
      <c r="AKZ8" s="17"/>
      <c r="ALA8" s="17"/>
      <c r="ALB8" s="17"/>
      <c r="ALC8" s="17"/>
      <c r="ALD8" s="17"/>
      <c r="ALE8" s="17"/>
      <c r="ALF8" s="17"/>
      <c r="ALG8" s="17"/>
      <c r="ALH8" s="17"/>
      <c r="ALI8" s="17"/>
      <c r="ALJ8" s="17"/>
      <c r="ALK8" s="17"/>
      <c r="ALL8" s="17"/>
    </row>
    <row r="9" spans="1:1000" ht="32.4">
      <c r="B9" s="1335"/>
      <c r="C9" s="1335"/>
      <c r="D9" s="1335"/>
      <c r="E9" s="1335"/>
      <c r="F9" s="1335"/>
      <c r="G9" s="1336"/>
      <c r="H9" s="1336"/>
      <c r="I9" s="1336"/>
      <c r="J9" s="1336"/>
      <c r="K9" s="1336"/>
      <c r="L9" s="1336"/>
      <c r="M9" s="1336"/>
      <c r="N9" s="1336"/>
      <c r="O9" s="1336"/>
      <c r="P9" s="1336"/>
      <c r="Q9" s="1336"/>
      <c r="R9" s="1336"/>
      <c r="S9" s="1336"/>
      <c r="T9" s="1336"/>
      <c r="U9" s="1336"/>
      <c r="V9" s="1336"/>
      <c r="W9" s="1336"/>
      <c r="X9" s="1336"/>
      <c r="Y9" s="1336"/>
      <c r="Z9" s="1336"/>
      <c r="AA9" s="1336"/>
      <c r="AB9" s="1336"/>
      <c r="AC9" s="1336"/>
      <c r="AD9" s="1336"/>
      <c r="AE9" s="1336"/>
      <c r="AF9" s="1336"/>
      <c r="AG9" s="1336"/>
      <c r="AH9" s="1336"/>
      <c r="AI9" s="1336"/>
      <c r="AJ9" s="1336"/>
      <c r="AK9" s="1336"/>
      <c r="AL9" s="1336"/>
      <c r="AM9" s="1336"/>
      <c r="AN9" s="1336"/>
      <c r="AO9" s="1336"/>
      <c r="AP9" s="1336"/>
      <c r="AQ9" s="1336"/>
      <c r="AR9" s="1336"/>
      <c r="AS9" s="1336"/>
      <c r="AT9" s="1336"/>
      <c r="AU9" s="1336"/>
      <c r="AV9" s="1336"/>
      <c r="AW9" s="1336"/>
      <c r="AX9" s="1336"/>
      <c r="AY9" s="1336"/>
      <c r="AZ9" s="1336"/>
      <c r="BA9" s="1336"/>
      <c r="BB9" s="1336"/>
      <c r="BC9" s="1336"/>
      <c r="BD9" s="1336"/>
      <c r="BE9" s="1336"/>
      <c r="BF9" s="1336"/>
      <c r="BG9" s="1336"/>
      <c r="BH9" s="1336"/>
      <c r="BI9" s="1336"/>
      <c r="BJ9" s="1336"/>
      <c r="BK9" s="1336"/>
      <c r="BL9" s="1336"/>
      <c r="BM9" s="1336"/>
      <c r="BN9" s="1336"/>
      <c r="BO9" s="1336"/>
      <c r="BP9" s="1336"/>
      <c r="BQ9" s="1336"/>
      <c r="BR9" s="1336"/>
      <c r="BS9" s="1336"/>
      <c r="BT9" s="1336"/>
      <c r="BU9" s="1336"/>
      <c r="BV9" s="1336"/>
      <c r="BW9" s="1336"/>
      <c r="BX9" s="1336"/>
      <c r="BY9" s="1336"/>
      <c r="BZ9" s="1336"/>
      <c r="CA9" s="1336"/>
      <c r="CB9" s="1336"/>
      <c r="CC9" s="1336"/>
      <c r="CD9" s="1336"/>
      <c r="CE9" s="1336"/>
      <c r="CF9" s="1336"/>
      <c r="CG9" s="1336"/>
      <c r="CH9" s="1336"/>
      <c r="CI9" s="1336"/>
      <c r="CJ9" s="1336"/>
      <c r="CK9" s="1336"/>
      <c r="CL9" s="1336"/>
      <c r="CM9" s="1336"/>
      <c r="CN9" s="1336"/>
      <c r="CO9" s="1336"/>
      <c r="CP9" s="1336"/>
      <c r="CQ9" s="1336"/>
      <c r="CR9" s="1336"/>
      <c r="CS9" s="1336"/>
      <c r="CT9" s="1336"/>
      <c r="CU9" s="1336"/>
      <c r="CV9" s="1336"/>
      <c r="CW9" s="1336"/>
      <c r="CX9" s="1336"/>
      <c r="CY9" s="1336"/>
      <c r="CZ9" s="1336"/>
      <c r="DA9" s="1336"/>
      <c r="DB9" s="1336"/>
      <c r="DC9" s="1336"/>
      <c r="DD9" s="1336"/>
      <c r="DE9" s="1336"/>
      <c r="DF9" s="1336"/>
      <c r="DG9" s="1336"/>
      <c r="DH9" s="1336"/>
      <c r="DI9" s="1336"/>
      <c r="DJ9" s="1336"/>
      <c r="DK9" s="1336"/>
      <c r="DL9" s="1336"/>
      <c r="DM9" s="1336"/>
      <c r="DN9" s="1336"/>
      <c r="DO9" s="1336"/>
      <c r="DP9" s="1336"/>
      <c r="DQ9" s="1336"/>
      <c r="DR9" s="1336"/>
      <c r="DS9" s="1336"/>
      <c r="DT9" s="1336"/>
      <c r="DU9" s="1336"/>
      <c r="DV9" s="1336"/>
      <c r="DW9" s="1336"/>
      <c r="DX9" s="1336"/>
      <c r="DY9" s="1336"/>
      <c r="DZ9" s="1336"/>
      <c r="EA9" s="1336"/>
      <c r="EB9" s="1336"/>
      <c r="EC9" s="1336"/>
      <c r="ED9" s="1336"/>
      <c r="EE9" s="1336"/>
      <c r="EF9" s="1336"/>
      <c r="EG9" s="1336"/>
      <c r="EH9" s="1336"/>
      <c r="EI9" s="1336"/>
      <c r="EJ9" s="1336"/>
      <c r="EK9" s="1336"/>
      <c r="EL9" s="1336"/>
      <c r="EM9" s="1336"/>
      <c r="EN9" s="1336"/>
      <c r="EO9" s="1336"/>
      <c r="EP9" s="1336"/>
      <c r="EQ9" s="1336"/>
      <c r="ER9" s="1336"/>
      <c r="ES9" s="1336"/>
      <c r="ET9" s="1336"/>
      <c r="EU9" s="1336"/>
      <c r="EV9" s="1336"/>
      <c r="EW9" s="1336"/>
      <c r="EX9" s="1336"/>
      <c r="EY9" s="1336"/>
      <c r="EZ9" s="1336"/>
      <c r="FA9" s="1336"/>
      <c r="FB9" s="1336"/>
      <c r="FC9" s="1336"/>
      <c r="FD9" s="1336"/>
      <c r="FE9" s="1336"/>
      <c r="FF9" s="1336"/>
      <c r="FG9" s="1336"/>
      <c r="FH9" s="1336"/>
      <c r="FI9" s="1336"/>
      <c r="FJ9" s="1336"/>
      <c r="FK9" s="1336"/>
      <c r="FL9" s="1336"/>
      <c r="FM9" s="1336"/>
      <c r="FN9" s="1336"/>
      <c r="FO9" s="1336"/>
      <c r="FP9" s="1336"/>
      <c r="FQ9" s="1336"/>
      <c r="FR9" s="1336"/>
      <c r="FS9" s="1336"/>
      <c r="FT9" s="1336"/>
      <c r="FU9" s="1336"/>
      <c r="FV9" s="1336"/>
      <c r="FW9" s="1336"/>
      <c r="FX9" s="1336"/>
      <c r="FY9" s="1336"/>
      <c r="FZ9" s="1336"/>
      <c r="GA9" s="1336"/>
      <c r="GB9" s="1336"/>
      <c r="GC9" s="1336"/>
      <c r="GD9" s="1336"/>
      <c r="GE9" s="1336"/>
      <c r="GF9" s="1336"/>
      <c r="GG9" s="1336"/>
      <c r="GH9" s="1336"/>
      <c r="GI9" s="1336"/>
      <c r="GJ9" s="1336"/>
      <c r="GK9" s="1336"/>
      <c r="GL9" s="1336"/>
      <c r="GM9" s="1336"/>
      <c r="GN9" s="1336"/>
      <c r="GO9" s="1336"/>
      <c r="GP9" s="1336"/>
      <c r="GQ9" s="1336"/>
      <c r="GR9" s="1336"/>
      <c r="GS9" s="1336"/>
      <c r="GT9" s="1336"/>
      <c r="GU9" s="1336"/>
      <c r="GV9" s="1336"/>
      <c r="GW9" s="1336"/>
      <c r="GX9" s="1336"/>
      <c r="GY9" s="1336"/>
      <c r="GZ9" s="1336"/>
      <c r="HA9" s="1336"/>
      <c r="HB9" s="1336"/>
      <c r="HC9" s="1336"/>
      <c r="HD9" s="1336"/>
      <c r="HE9" s="1336"/>
      <c r="HF9" s="1336"/>
      <c r="HG9" s="1336"/>
      <c r="HH9" s="1336"/>
      <c r="HI9" s="1336"/>
      <c r="HJ9" s="1336"/>
      <c r="HK9" s="1336"/>
      <c r="HL9" s="1336"/>
      <c r="HM9" s="1336"/>
      <c r="HN9" s="1336"/>
      <c r="HO9" s="1336"/>
      <c r="HP9" s="1336"/>
      <c r="HQ9" s="1336"/>
      <c r="HR9" s="1336"/>
      <c r="HS9" s="1336"/>
      <c r="HT9" s="1336"/>
      <c r="HU9" s="1336"/>
      <c r="HV9" s="1336"/>
      <c r="HW9" s="1336"/>
      <c r="HX9" s="1336"/>
      <c r="HY9" s="1336"/>
      <c r="HZ9" s="1336"/>
      <c r="IA9" s="1336"/>
      <c r="IB9" s="1336"/>
      <c r="IC9" s="1336"/>
      <c r="ID9" s="1336"/>
      <c r="IE9" s="1336"/>
      <c r="IF9" s="1336"/>
      <c r="IG9" s="1336"/>
      <c r="IH9" s="1336"/>
      <c r="II9" s="1336"/>
      <c r="IJ9" s="1336"/>
      <c r="IK9" s="1336"/>
      <c r="IL9" s="1336"/>
      <c r="IM9" s="1336"/>
      <c r="IN9" s="1336"/>
      <c r="IO9" s="1336"/>
      <c r="IP9" s="1336"/>
      <c r="IQ9" s="1336"/>
      <c r="IR9" s="1336"/>
      <c r="IS9" s="1336"/>
      <c r="IT9" s="1336"/>
      <c r="IU9" s="1336"/>
      <c r="IV9" s="1336"/>
      <c r="IW9" s="1336"/>
      <c r="IX9" s="1336"/>
      <c r="IY9" s="1336"/>
      <c r="IZ9" s="1336"/>
      <c r="JA9" s="1336"/>
      <c r="JB9" s="1336"/>
      <c r="JC9" s="1336"/>
      <c r="JD9" s="1336"/>
      <c r="JE9" s="1336"/>
      <c r="JF9" s="1336"/>
      <c r="JG9" s="1336"/>
      <c r="JH9" s="1336"/>
      <c r="JI9" s="1336"/>
      <c r="JJ9" s="1336"/>
      <c r="JK9" s="1336"/>
      <c r="JL9" s="1336"/>
      <c r="JM9" s="1336"/>
      <c r="JN9" s="1336"/>
      <c r="JO9" s="1336"/>
      <c r="JP9" s="1336"/>
      <c r="JQ9" s="1336"/>
      <c r="JR9" s="1336"/>
      <c r="JS9" s="1336"/>
      <c r="JT9" s="1336"/>
      <c r="JU9" s="1336"/>
      <c r="JV9" s="1336"/>
      <c r="JW9" s="1336"/>
      <c r="JX9" s="1336"/>
      <c r="JY9" s="1336"/>
      <c r="JZ9" s="1336"/>
      <c r="KA9" s="1336"/>
      <c r="KB9" s="1336"/>
      <c r="KC9" s="1336"/>
      <c r="KD9" s="1336"/>
      <c r="KE9" s="1336"/>
      <c r="KF9" s="1336"/>
      <c r="KG9" s="1336"/>
      <c r="KH9" s="1336"/>
      <c r="KI9" s="1336"/>
      <c r="KJ9" s="1336"/>
      <c r="KK9" s="1336"/>
      <c r="KL9" s="1336"/>
      <c r="KM9" s="1336"/>
      <c r="KN9" s="1336"/>
      <c r="KO9" s="1336"/>
      <c r="KP9" s="1336"/>
      <c r="KQ9" s="1336"/>
      <c r="KR9" s="1336"/>
      <c r="KS9" s="1336"/>
      <c r="KT9" s="1336"/>
      <c r="KU9" s="1336"/>
      <c r="KV9" s="1336"/>
      <c r="KW9" s="1336"/>
      <c r="KX9" s="1336"/>
      <c r="KY9" s="1336"/>
      <c r="KZ9" s="1336"/>
      <c r="LA9" s="1336"/>
      <c r="LB9" s="1336"/>
      <c r="LC9" s="1336"/>
      <c r="LD9" s="1336"/>
      <c r="LE9" s="1336"/>
      <c r="LF9" s="1336"/>
      <c r="LG9" s="1336"/>
      <c r="LH9" s="1336"/>
      <c r="LI9" s="1336"/>
      <c r="LJ9" s="1336"/>
      <c r="LK9" s="1336"/>
      <c r="LL9" s="1336"/>
      <c r="LM9" s="1336"/>
      <c r="LN9" s="1336"/>
      <c r="LO9" s="1336"/>
      <c r="LP9" s="1336"/>
      <c r="LQ9" s="1336"/>
      <c r="LR9" s="1336"/>
      <c r="LS9" s="1336"/>
      <c r="LT9" s="1336"/>
      <c r="LU9" s="1336"/>
      <c r="LV9" s="1336"/>
      <c r="LW9" s="1336"/>
      <c r="LX9" s="1336"/>
      <c r="LY9" s="1336"/>
      <c r="LZ9" s="1336"/>
      <c r="MA9" s="1336"/>
      <c r="MB9" s="1336"/>
      <c r="MC9" s="1336"/>
      <c r="MD9" s="1336"/>
      <c r="ME9" s="1336"/>
      <c r="MF9" s="1336"/>
      <c r="MG9" s="1336"/>
      <c r="MH9" s="1336"/>
      <c r="MI9" s="1336"/>
      <c r="MJ9" s="1336"/>
      <c r="MK9" s="1336"/>
      <c r="ML9" s="1336"/>
      <c r="MM9" s="1336"/>
      <c r="MN9" s="1336"/>
      <c r="MO9" s="1336"/>
      <c r="MP9" s="1336"/>
      <c r="MQ9" s="1336"/>
      <c r="MR9" s="1336"/>
      <c r="MS9" s="1336"/>
      <c r="MT9" s="1336"/>
      <c r="MU9" s="1336"/>
      <c r="MV9" s="1336"/>
      <c r="MW9" s="1336"/>
      <c r="MX9" s="1336"/>
      <c r="MY9" s="1336"/>
      <c r="MZ9" s="1336"/>
      <c r="NA9" s="1336"/>
      <c r="NB9" s="1336"/>
      <c r="NC9" s="1336"/>
      <c r="ND9" s="1336"/>
      <c r="NE9" s="1336"/>
      <c r="NF9" s="1336"/>
      <c r="NG9" s="1336"/>
      <c r="NH9" s="1336"/>
      <c r="NI9" s="1336"/>
      <c r="NJ9" s="1336"/>
      <c r="NK9" s="1336"/>
      <c r="NL9" s="1336"/>
      <c r="NM9" s="1336"/>
      <c r="NN9" s="1336"/>
      <c r="NO9" s="1336"/>
      <c r="NP9" s="1336"/>
      <c r="NQ9" s="1336"/>
      <c r="NR9" s="1336"/>
      <c r="NS9" s="1336"/>
      <c r="NT9" s="1336"/>
      <c r="NU9" s="1336"/>
      <c r="NV9" s="1336"/>
      <c r="NW9" s="1336"/>
      <c r="NX9" s="1336"/>
      <c r="NY9" s="1336"/>
      <c r="NZ9" s="1336"/>
      <c r="OA9" s="1336"/>
      <c r="OB9" s="1336"/>
      <c r="OC9" s="1336"/>
      <c r="OD9" s="1336"/>
      <c r="OE9" s="1336"/>
      <c r="OF9" s="1336"/>
      <c r="OG9" s="1336"/>
      <c r="OH9" s="1336"/>
      <c r="OI9" s="1336"/>
      <c r="OJ9" s="1336"/>
      <c r="OK9" s="1336"/>
      <c r="OL9" s="1336"/>
      <c r="OM9" s="1336"/>
      <c r="ON9" s="1336"/>
      <c r="OO9" s="1336"/>
      <c r="OP9" s="1336"/>
      <c r="OQ9" s="1336"/>
      <c r="OR9" s="1336"/>
      <c r="OS9" s="1336"/>
      <c r="OT9" s="1336"/>
      <c r="OU9" s="1336"/>
      <c r="OV9" s="1336"/>
      <c r="OW9" s="1336"/>
      <c r="OX9" s="1336"/>
      <c r="OY9" s="1336"/>
      <c r="OZ9" s="1336"/>
      <c r="PA9" s="1336"/>
      <c r="PB9" s="1336"/>
    </row>
    <row r="10" spans="1:1000">
      <c r="B10" s="18"/>
      <c r="C10" s="18"/>
      <c r="D10" s="18"/>
      <c r="E10" s="18"/>
      <c r="F10" s="18"/>
    </row>
    <row r="11" spans="1:1000">
      <c r="B11" s="18"/>
      <c r="C11" s="18"/>
      <c r="D11" s="18"/>
      <c r="E11" s="18"/>
      <c r="F11" s="18"/>
    </row>
    <row r="12" spans="1:1000">
      <c r="B12" s="18"/>
      <c r="C12" s="18"/>
      <c r="D12" s="18"/>
      <c r="E12" s="18"/>
      <c r="F12" s="18"/>
    </row>
    <row r="13" spans="1:1000">
      <c r="B13" s="18"/>
      <c r="C13" s="18"/>
      <c r="D13" s="18"/>
      <c r="E13" s="18"/>
      <c r="F13" s="18"/>
    </row>
    <row r="14" spans="1:1000">
      <c r="B14" s="18"/>
      <c r="C14" s="18"/>
      <c r="D14" s="18"/>
      <c r="E14" s="18"/>
      <c r="F14" s="18"/>
    </row>
    <row r="15" spans="1:1000">
      <c r="B15" s="18"/>
      <c r="C15" s="18"/>
      <c r="D15" s="18"/>
      <c r="E15" s="18"/>
      <c r="F15" s="18"/>
    </row>
    <row r="16" spans="1:1000">
      <c r="B16" s="18"/>
      <c r="C16" s="18"/>
      <c r="D16" s="18"/>
      <c r="E16" s="18"/>
      <c r="F16" s="18"/>
    </row>
    <row r="17" spans="2:6">
      <c r="B17" s="18"/>
      <c r="C17" s="18"/>
      <c r="D17" s="18"/>
      <c r="E17" s="18"/>
      <c r="F17" s="18"/>
    </row>
    <row r="18" spans="2:6">
      <c r="B18" s="18"/>
      <c r="C18" s="18"/>
      <c r="D18" s="18"/>
      <c r="E18" s="18"/>
      <c r="F18" s="18"/>
    </row>
    <row r="19" spans="2:6">
      <c r="B19" s="18"/>
      <c r="C19" s="18"/>
      <c r="D19" s="18"/>
      <c r="E19" s="18"/>
      <c r="F19" s="18"/>
    </row>
    <row r="20" spans="2:6">
      <c r="B20" s="18"/>
      <c r="C20" s="18"/>
      <c r="D20" s="18"/>
      <c r="E20" s="18"/>
      <c r="F20" s="18"/>
    </row>
    <row r="21" spans="2:6">
      <c r="B21" s="18"/>
      <c r="C21" s="18"/>
      <c r="D21" s="18"/>
      <c r="E21" s="18"/>
      <c r="F21" s="18"/>
    </row>
    <row r="22" spans="2:6">
      <c r="B22" s="18"/>
      <c r="C22" s="18"/>
      <c r="D22" s="18"/>
      <c r="E22" s="18"/>
      <c r="F22" s="18"/>
    </row>
    <row r="23" spans="2:6">
      <c r="B23" s="18"/>
      <c r="C23" s="18"/>
      <c r="D23" s="18"/>
      <c r="E23" s="18"/>
      <c r="F23" s="18"/>
    </row>
    <row r="24" spans="2:6">
      <c r="B24" s="18"/>
      <c r="C24" s="18"/>
      <c r="D24" s="18"/>
      <c r="E24" s="18"/>
      <c r="F24" s="18"/>
    </row>
    <row r="25" spans="2:6">
      <c r="B25" s="18"/>
      <c r="C25" s="18"/>
      <c r="D25" s="18"/>
      <c r="E25" s="18"/>
      <c r="F25" s="18"/>
    </row>
    <row r="26" spans="2:6">
      <c r="B26" s="18"/>
      <c r="C26" s="18"/>
      <c r="D26" s="18"/>
      <c r="E26" s="18"/>
      <c r="F26" s="18"/>
    </row>
    <row r="27" spans="2:6">
      <c r="B27" s="18"/>
      <c r="C27" s="18"/>
      <c r="D27" s="18"/>
      <c r="E27" s="18"/>
      <c r="F27" s="18"/>
    </row>
    <row r="28" spans="2:6">
      <c r="B28" s="18"/>
      <c r="C28" s="18"/>
      <c r="D28" s="18"/>
      <c r="E28" s="18"/>
      <c r="F28" s="18"/>
    </row>
    <row r="29" spans="2:6">
      <c r="B29" s="18"/>
      <c r="C29" s="18"/>
      <c r="D29" s="18"/>
      <c r="E29" s="18"/>
      <c r="F29" s="18"/>
    </row>
    <row r="30" spans="2:6">
      <c r="B30" s="18"/>
      <c r="C30" s="18"/>
      <c r="D30" s="18"/>
      <c r="E30" s="18"/>
      <c r="F30" s="18"/>
    </row>
    <row r="31" spans="2:6">
      <c r="B31" s="18"/>
      <c r="C31" s="18"/>
      <c r="D31" s="18"/>
      <c r="E31" s="18"/>
      <c r="F31" s="18"/>
    </row>
    <row r="32" spans="2:6">
      <c r="B32" s="18"/>
      <c r="C32" s="18"/>
      <c r="D32" s="18"/>
      <c r="E32" s="18"/>
      <c r="F32" s="18"/>
    </row>
    <row r="33" spans="2:6">
      <c r="B33" s="18"/>
      <c r="C33" s="18"/>
      <c r="D33" s="18"/>
      <c r="E33" s="18"/>
      <c r="F33" s="18"/>
    </row>
    <row r="34" spans="2:6">
      <c r="B34" s="18"/>
      <c r="C34" s="18"/>
      <c r="D34" s="18"/>
      <c r="E34" s="18"/>
      <c r="F34" s="18"/>
    </row>
    <row r="35" spans="2:6">
      <c r="B35" s="18"/>
      <c r="C35" s="18"/>
      <c r="D35" s="18"/>
      <c r="E35" s="18"/>
      <c r="F35" s="18"/>
    </row>
    <row r="36" spans="2:6">
      <c r="B36" s="18"/>
      <c r="C36" s="18"/>
      <c r="D36" s="18"/>
      <c r="E36" s="18"/>
      <c r="F36" s="18"/>
    </row>
    <row r="37" spans="2:6">
      <c r="B37" s="18"/>
      <c r="C37" s="18"/>
      <c r="D37" s="18"/>
      <c r="E37" s="18"/>
      <c r="F37" s="18"/>
    </row>
    <row r="38" spans="2:6">
      <c r="B38" s="18"/>
      <c r="C38" s="18"/>
      <c r="D38" s="18"/>
      <c r="E38" s="18"/>
      <c r="F38" s="18"/>
    </row>
    <row r="39" spans="2:6">
      <c r="B39" s="18"/>
      <c r="C39" s="18"/>
      <c r="D39" s="18"/>
      <c r="E39" s="18"/>
      <c r="F39" s="18"/>
    </row>
    <row r="40" spans="2:6">
      <c r="B40" s="18"/>
      <c r="C40" s="18"/>
      <c r="D40" s="18"/>
      <c r="E40" s="18"/>
      <c r="F40" s="18"/>
    </row>
    <row r="41" spans="2:6">
      <c r="B41" s="18"/>
      <c r="C41" s="18"/>
      <c r="D41" s="18"/>
      <c r="E41" s="18"/>
      <c r="F41" s="18"/>
    </row>
    <row r="42" spans="2:6">
      <c r="B42" s="18"/>
      <c r="C42" s="18"/>
      <c r="D42" s="18"/>
      <c r="E42" s="18"/>
      <c r="F42" s="18"/>
    </row>
    <row r="43" spans="2:6">
      <c r="B43" s="18"/>
      <c r="C43" s="18"/>
      <c r="D43" s="18"/>
      <c r="E43" s="18"/>
      <c r="F43" s="18"/>
    </row>
    <row r="44" spans="2:6">
      <c r="B44" s="18"/>
      <c r="C44" s="18"/>
      <c r="D44" s="18"/>
      <c r="E44" s="18"/>
      <c r="F44" s="18"/>
    </row>
    <row r="45" spans="2:6">
      <c r="B45" s="18"/>
      <c r="C45" s="18"/>
      <c r="D45" s="18"/>
      <c r="E45" s="18"/>
      <c r="F45" s="18"/>
    </row>
    <row r="46" spans="2:6">
      <c r="B46" s="18"/>
      <c r="C46" s="18"/>
      <c r="D46" s="18"/>
      <c r="E46" s="18"/>
      <c r="F46" s="18"/>
    </row>
    <row r="47" spans="2:6">
      <c r="B47" s="18"/>
      <c r="C47" s="18"/>
      <c r="D47" s="18"/>
      <c r="E47" s="18"/>
      <c r="F47" s="18"/>
    </row>
    <row r="48" spans="2:6">
      <c r="B48" s="18"/>
      <c r="C48" s="18"/>
      <c r="D48" s="18"/>
      <c r="E48" s="18"/>
      <c r="F48" s="18"/>
    </row>
    <row r="49" spans="2:6">
      <c r="B49" s="18"/>
      <c r="C49" s="18"/>
      <c r="D49" s="18"/>
      <c r="E49" s="18"/>
      <c r="F49" s="18"/>
    </row>
    <row r="50" spans="2:6">
      <c r="B50" s="18"/>
      <c r="C50" s="18"/>
      <c r="D50" s="18"/>
      <c r="E50" s="18"/>
      <c r="F50" s="18"/>
    </row>
    <row r="51" spans="2:6">
      <c r="B51" s="18"/>
      <c r="C51" s="18"/>
      <c r="D51" s="18"/>
      <c r="E51" s="18"/>
      <c r="F51" s="18"/>
    </row>
    <row r="52" spans="2:6">
      <c r="B52" s="18"/>
      <c r="C52" s="18"/>
      <c r="D52" s="18"/>
      <c r="E52" s="18"/>
      <c r="F52" s="18"/>
    </row>
    <row r="53" spans="2:6">
      <c r="B53" s="18"/>
      <c r="C53" s="18"/>
      <c r="D53" s="18"/>
      <c r="E53" s="18"/>
      <c r="F53" s="18"/>
    </row>
    <row r="54" spans="2:6">
      <c r="B54" s="18"/>
      <c r="C54" s="18"/>
      <c r="D54" s="18"/>
      <c r="E54" s="18"/>
      <c r="F54" s="18"/>
    </row>
    <row r="55" spans="2:6">
      <c r="B55" s="18"/>
      <c r="C55" s="18"/>
      <c r="D55" s="18"/>
      <c r="E55" s="18"/>
      <c r="F55" s="18"/>
    </row>
    <row r="56" spans="2:6">
      <c r="B56" s="18"/>
      <c r="C56" s="18"/>
      <c r="D56" s="18"/>
      <c r="E56" s="18"/>
      <c r="F56" s="18"/>
    </row>
    <row r="57" spans="2:6">
      <c r="B57" s="18"/>
      <c r="C57" s="18"/>
      <c r="D57" s="18"/>
      <c r="E57" s="18"/>
      <c r="F57" s="18"/>
    </row>
    <row r="58" spans="2:6">
      <c r="B58" s="18"/>
      <c r="C58" s="18"/>
      <c r="D58" s="18"/>
      <c r="E58" s="18"/>
      <c r="F58" s="18"/>
    </row>
    <row r="59" spans="2:6">
      <c r="B59" s="18"/>
      <c r="C59" s="18"/>
      <c r="D59" s="18"/>
      <c r="E59" s="18"/>
      <c r="F59" s="18"/>
    </row>
    <row r="60" spans="2:6">
      <c r="B60" s="18"/>
      <c r="C60" s="18"/>
      <c r="D60" s="18"/>
      <c r="E60" s="18"/>
      <c r="F60" s="18"/>
    </row>
    <row r="61" spans="2:6">
      <c r="B61" s="18"/>
      <c r="C61" s="18"/>
      <c r="D61" s="18"/>
      <c r="E61" s="18"/>
      <c r="F61" s="18"/>
    </row>
    <row r="62" spans="2:6">
      <c r="B62" s="18"/>
      <c r="C62" s="18"/>
      <c r="D62" s="18"/>
      <c r="E62" s="18"/>
      <c r="F62" s="18"/>
    </row>
    <row r="63" spans="2:6">
      <c r="B63" s="18"/>
      <c r="C63" s="18"/>
      <c r="D63" s="18"/>
      <c r="E63" s="18"/>
      <c r="F63" s="18"/>
    </row>
    <row r="64" spans="2:6">
      <c r="B64" s="18"/>
      <c r="C64" s="18"/>
      <c r="D64" s="18"/>
      <c r="E64" s="18"/>
      <c r="F64" s="18"/>
    </row>
    <row r="65" spans="2:6">
      <c r="B65" s="18"/>
      <c r="C65" s="18"/>
      <c r="D65" s="18"/>
      <c r="E65" s="18"/>
      <c r="F65" s="18"/>
    </row>
    <row r="66" spans="2:6">
      <c r="B66" s="18"/>
      <c r="C66" s="18"/>
      <c r="D66" s="18"/>
      <c r="E66" s="18"/>
      <c r="F66" s="18"/>
    </row>
    <row r="67" spans="2:6">
      <c r="B67" s="18"/>
      <c r="C67" s="18"/>
      <c r="D67" s="18"/>
      <c r="E67" s="18"/>
      <c r="F67" s="18"/>
    </row>
    <row r="68" spans="2:6">
      <c r="B68" s="18"/>
      <c r="C68" s="18"/>
      <c r="D68" s="18"/>
      <c r="E68" s="18"/>
      <c r="F68" s="18"/>
    </row>
    <row r="69" spans="2:6">
      <c r="B69" s="18"/>
      <c r="C69" s="18"/>
      <c r="D69" s="18"/>
      <c r="E69" s="18"/>
      <c r="F69" s="18"/>
    </row>
    <row r="70" spans="2:6">
      <c r="B70" s="18"/>
      <c r="C70" s="18"/>
      <c r="D70" s="18"/>
      <c r="E70" s="18"/>
      <c r="F70" s="18"/>
    </row>
    <row r="71" spans="2:6">
      <c r="B71" s="18"/>
      <c r="C71" s="18"/>
      <c r="D71" s="18"/>
      <c r="E71" s="18"/>
      <c r="F71" s="18"/>
    </row>
    <row r="72" spans="2:6">
      <c r="B72" s="18"/>
      <c r="C72" s="18"/>
      <c r="D72" s="18"/>
      <c r="E72" s="18"/>
      <c r="F72" s="18"/>
    </row>
    <row r="73" spans="2:6">
      <c r="B73" s="18"/>
      <c r="C73" s="18"/>
      <c r="D73" s="18"/>
      <c r="E73" s="18"/>
      <c r="F73" s="18"/>
    </row>
    <row r="74" spans="2:6">
      <c r="B74" s="18"/>
      <c r="C74" s="18"/>
      <c r="D74" s="18"/>
      <c r="E74" s="18"/>
      <c r="F74" s="18"/>
    </row>
    <row r="75" spans="2:6">
      <c r="B75" s="18"/>
      <c r="C75" s="18"/>
      <c r="D75" s="18"/>
      <c r="E75" s="18"/>
      <c r="F75" s="18"/>
    </row>
    <row r="76" spans="2:6">
      <c r="B76" s="18"/>
      <c r="C76" s="18"/>
      <c r="D76" s="18"/>
      <c r="E76" s="18"/>
      <c r="F76" s="18"/>
    </row>
    <row r="77" spans="2:6">
      <c r="B77" s="18"/>
      <c r="C77" s="18"/>
      <c r="D77" s="18"/>
      <c r="E77" s="18"/>
      <c r="F77" s="18"/>
    </row>
    <row r="78" spans="2:6">
      <c r="B78" s="18"/>
      <c r="C78" s="18"/>
      <c r="D78" s="18"/>
      <c r="E78" s="18"/>
      <c r="F78" s="18"/>
    </row>
    <row r="79" spans="2:6">
      <c r="B79" s="18"/>
      <c r="C79" s="18"/>
      <c r="D79" s="18"/>
      <c r="E79" s="18"/>
      <c r="F79" s="18"/>
    </row>
    <row r="80" spans="2:6">
      <c r="B80" s="18"/>
      <c r="C80" s="18"/>
      <c r="D80" s="18"/>
      <c r="E80" s="18"/>
      <c r="F80" s="18"/>
    </row>
    <row r="81" spans="2:6">
      <c r="B81" s="18"/>
      <c r="C81" s="18"/>
      <c r="D81" s="18"/>
      <c r="E81" s="18"/>
      <c r="F81" s="18"/>
    </row>
    <row r="82" spans="2:6">
      <c r="B82" s="18"/>
      <c r="C82" s="18"/>
      <c r="D82" s="18"/>
      <c r="E82" s="18"/>
      <c r="F82" s="18"/>
    </row>
    <row r="83" spans="2:6">
      <c r="B83" s="18"/>
      <c r="C83" s="18"/>
      <c r="D83" s="18"/>
      <c r="E83" s="18"/>
      <c r="F83" s="18"/>
    </row>
    <row r="84" spans="2:6">
      <c r="B84" s="18"/>
      <c r="C84" s="18"/>
      <c r="D84" s="18"/>
      <c r="E84" s="18"/>
      <c r="F84" s="18"/>
    </row>
    <row r="85" spans="2:6">
      <c r="B85" s="18"/>
      <c r="C85" s="18"/>
      <c r="D85" s="18"/>
      <c r="E85" s="18"/>
      <c r="F85" s="18"/>
    </row>
    <row r="86" spans="2:6">
      <c r="B86" s="18"/>
      <c r="C86" s="18"/>
      <c r="D86" s="18"/>
      <c r="E86" s="18"/>
      <c r="F86" s="18"/>
    </row>
    <row r="87" spans="2:6">
      <c r="B87" s="18"/>
      <c r="C87" s="18"/>
      <c r="D87" s="18"/>
      <c r="E87" s="18"/>
      <c r="F87" s="18"/>
    </row>
    <row r="88" spans="2:6">
      <c r="B88" s="18"/>
      <c r="C88" s="18"/>
      <c r="D88" s="18"/>
      <c r="E88" s="18"/>
      <c r="F88" s="18"/>
    </row>
    <row r="89" spans="2:6">
      <c r="B89" s="18"/>
      <c r="C89" s="18"/>
      <c r="D89" s="18"/>
      <c r="E89" s="18"/>
      <c r="F89" s="18"/>
    </row>
    <row r="90" spans="2:6">
      <c r="B90" s="18"/>
      <c r="C90" s="18"/>
      <c r="D90" s="18"/>
      <c r="E90" s="18"/>
      <c r="F90" s="18"/>
    </row>
    <row r="91" spans="2:6">
      <c r="B91" s="18"/>
      <c r="C91" s="18"/>
      <c r="D91" s="18"/>
      <c r="E91" s="18"/>
      <c r="F91" s="18"/>
    </row>
    <row r="92" spans="2:6">
      <c r="B92" s="18"/>
      <c r="C92" s="18"/>
      <c r="D92" s="18"/>
      <c r="E92" s="18"/>
      <c r="F92" s="18"/>
    </row>
    <row r="93" spans="2:6">
      <c r="B93" s="18"/>
      <c r="C93" s="18"/>
      <c r="D93" s="18"/>
      <c r="E93" s="18"/>
      <c r="F93" s="18"/>
    </row>
    <row r="94" spans="2:6">
      <c r="B94" s="18"/>
      <c r="C94" s="18"/>
      <c r="D94" s="18"/>
      <c r="E94" s="18"/>
      <c r="F94" s="18"/>
    </row>
    <row r="95" spans="2:6">
      <c r="B95" s="18"/>
      <c r="C95" s="18"/>
      <c r="D95" s="18"/>
      <c r="E95" s="18"/>
      <c r="F95" s="18"/>
    </row>
    <row r="96" spans="2:6">
      <c r="B96" s="18"/>
      <c r="C96" s="18"/>
      <c r="D96" s="18"/>
      <c r="E96" s="18"/>
      <c r="F96" s="18"/>
    </row>
    <row r="97" spans="2:6">
      <c r="B97" s="18"/>
      <c r="C97" s="18"/>
      <c r="D97" s="18"/>
      <c r="E97" s="18"/>
      <c r="F97" s="18"/>
    </row>
    <row r="98" spans="2:6">
      <c r="B98" s="18"/>
      <c r="C98" s="18"/>
      <c r="D98" s="18"/>
      <c r="E98" s="18"/>
      <c r="F98" s="18"/>
    </row>
    <row r="99" spans="2:6">
      <c r="B99" s="18"/>
      <c r="C99" s="18"/>
      <c r="D99" s="18"/>
      <c r="E99" s="18"/>
      <c r="F99" s="18"/>
    </row>
    <row r="100" spans="2:6">
      <c r="B100" s="18"/>
      <c r="C100" s="18"/>
      <c r="D100" s="18"/>
      <c r="E100" s="18"/>
      <c r="F100" s="18"/>
    </row>
    <row r="101" spans="2:6">
      <c r="B101" s="18"/>
      <c r="C101" s="18"/>
      <c r="D101" s="18"/>
      <c r="E101" s="18"/>
      <c r="F101" s="18"/>
    </row>
    <row r="102" spans="2:6">
      <c r="B102" s="18"/>
      <c r="C102" s="18"/>
      <c r="D102" s="18"/>
      <c r="E102" s="18"/>
      <c r="F102" s="18"/>
    </row>
    <row r="103" spans="2:6">
      <c r="B103" s="18"/>
      <c r="C103" s="18"/>
      <c r="D103" s="18"/>
      <c r="E103" s="18"/>
      <c r="F103" s="18"/>
    </row>
    <row r="104" spans="2:6">
      <c r="B104" s="18"/>
      <c r="C104" s="18"/>
      <c r="D104" s="18"/>
      <c r="E104" s="18"/>
      <c r="F104" s="18"/>
    </row>
    <row r="105" spans="2:6">
      <c r="B105" s="18"/>
      <c r="C105" s="18"/>
      <c r="D105" s="18"/>
      <c r="E105" s="18"/>
      <c r="F105" s="18"/>
    </row>
    <row r="106" spans="2:6">
      <c r="B106" s="18"/>
      <c r="C106" s="18"/>
      <c r="D106" s="18"/>
      <c r="E106" s="18"/>
      <c r="F106" s="18"/>
    </row>
    <row r="107" spans="2:6">
      <c r="B107" s="18"/>
      <c r="C107" s="18"/>
      <c r="D107" s="18"/>
      <c r="E107" s="18"/>
      <c r="F107" s="18"/>
    </row>
    <row r="108" spans="2:6">
      <c r="B108" s="18"/>
      <c r="C108" s="18"/>
      <c r="D108" s="18"/>
      <c r="E108" s="18"/>
      <c r="F108" s="18"/>
    </row>
    <row r="109" spans="2:6">
      <c r="B109" s="18"/>
      <c r="C109" s="18"/>
      <c r="D109" s="18"/>
      <c r="E109" s="18"/>
      <c r="F109" s="18"/>
    </row>
    <row r="110" spans="2:6">
      <c r="B110" s="18"/>
      <c r="C110" s="18"/>
      <c r="D110" s="18"/>
      <c r="E110" s="18"/>
      <c r="F110" s="18"/>
    </row>
    <row r="111" spans="2:6">
      <c r="B111" s="18"/>
      <c r="C111" s="18"/>
      <c r="D111" s="18"/>
      <c r="E111" s="18"/>
      <c r="F111" s="18"/>
    </row>
    <row r="112" spans="2:6">
      <c r="B112" s="18"/>
      <c r="C112" s="18"/>
      <c r="D112" s="18"/>
      <c r="E112" s="18"/>
      <c r="F112" s="18"/>
    </row>
    <row r="113" spans="2:6">
      <c r="B113" s="18"/>
      <c r="C113" s="18"/>
      <c r="D113" s="18"/>
      <c r="E113" s="18"/>
      <c r="F113" s="18"/>
    </row>
    <row r="114" spans="2:6">
      <c r="B114" s="18"/>
      <c r="C114" s="18"/>
      <c r="D114" s="18"/>
      <c r="E114" s="18"/>
      <c r="F114" s="18"/>
    </row>
    <row r="115" spans="2:6">
      <c r="B115" s="18"/>
      <c r="C115" s="18"/>
      <c r="D115" s="18"/>
      <c r="E115" s="18"/>
      <c r="F115" s="18"/>
    </row>
    <row r="116" spans="2:6">
      <c r="B116" s="18"/>
      <c r="C116" s="18"/>
      <c r="D116" s="18"/>
      <c r="E116" s="18"/>
      <c r="F116" s="18"/>
    </row>
    <row r="117" spans="2:6">
      <c r="B117" s="18"/>
      <c r="C117" s="18"/>
      <c r="D117" s="18"/>
      <c r="E117" s="18"/>
      <c r="F117" s="18"/>
    </row>
    <row r="118" spans="2:6">
      <c r="B118" s="18"/>
      <c r="C118" s="18"/>
      <c r="D118" s="18"/>
      <c r="E118" s="18"/>
      <c r="F118" s="18"/>
    </row>
    <row r="119" spans="2:6">
      <c r="B119" s="18"/>
      <c r="C119" s="18"/>
      <c r="D119" s="18"/>
      <c r="E119" s="18"/>
      <c r="F119" s="18"/>
    </row>
    <row r="120" spans="2:6">
      <c r="B120" s="18"/>
      <c r="C120" s="18"/>
      <c r="D120" s="18"/>
      <c r="E120" s="18"/>
      <c r="F120" s="18"/>
    </row>
    <row r="121" spans="2:6">
      <c r="B121" s="18"/>
      <c r="C121" s="18"/>
      <c r="D121" s="18"/>
      <c r="E121" s="18"/>
      <c r="F121" s="18"/>
    </row>
    <row r="122" spans="2:6">
      <c r="B122" s="18"/>
      <c r="C122" s="18"/>
      <c r="D122" s="18"/>
      <c r="E122" s="18"/>
      <c r="F122" s="18"/>
    </row>
    <row r="123" spans="2:6">
      <c r="B123" s="18"/>
      <c r="C123" s="18"/>
      <c r="D123" s="18"/>
      <c r="E123" s="18"/>
      <c r="F123" s="18"/>
    </row>
    <row r="124" spans="2:6">
      <c r="B124" s="18"/>
      <c r="C124" s="18"/>
      <c r="D124" s="18"/>
      <c r="E124" s="18"/>
      <c r="F124" s="18"/>
    </row>
    <row r="125" spans="2:6">
      <c r="B125" s="18"/>
      <c r="C125" s="18"/>
      <c r="D125" s="18"/>
      <c r="E125" s="18"/>
      <c r="F125" s="18"/>
    </row>
    <row r="126" spans="2:6">
      <c r="B126" s="18"/>
      <c r="C126" s="18"/>
      <c r="D126" s="18"/>
      <c r="E126" s="18"/>
      <c r="F126" s="18"/>
    </row>
    <row r="127" spans="2:6">
      <c r="B127" s="18"/>
      <c r="C127" s="18"/>
      <c r="D127" s="18"/>
      <c r="E127" s="18"/>
      <c r="F127" s="18"/>
    </row>
    <row r="128" spans="2:6">
      <c r="B128" s="18"/>
      <c r="C128" s="18"/>
      <c r="D128" s="18"/>
      <c r="E128" s="18"/>
      <c r="F128" s="18"/>
    </row>
    <row r="129" spans="2:6">
      <c r="B129" s="18"/>
      <c r="C129" s="18"/>
      <c r="D129" s="18"/>
      <c r="E129" s="18"/>
      <c r="F129" s="18"/>
    </row>
    <row r="130" spans="2:6">
      <c r="B130" s="18"/>
      <c r="C130" s="18"/>
      <c r="D130" s="18"/>
      <c r="E130" s="18"/>
      <c r="F130" s="18"/>
    </row>
    <row r="131" spans="2:6">
      <c r="B131" s="18"/>
      <c r="C131" s="18"/>
      <c r="D131" s="18"/>
      <c r="E131" s="18"/>
      <c r="F131" s="18"/>
    </row>
    <row r="132" spans="2:6">
      <c r="B132" s="18"/>
      <c r="C132" s="18"/>
      <c r="D132" s="18"/>
      <c r="E132" s="18"/>
      <c r="F132" s="18"/>
    </row>
    <row r="133" spans="2:6">
      <c r="B133" s="18"/>
      <c r="C133" s="18"/>
      <c r="D133" s="18"/>
      <c r="E133" s="18"/>
      <c r="F133" s="18"/>
    </row>
    <row r="134" spans="2:6">
      <c r="B134" s="18"/>
      <c r="C134" s="18"/>
      <c r="D134" s="18"/>
      <c r="E134" s="18"/>
      <c r="F134" s="18"/>
    </row>
    <row r="135" spans="2:6">
      <c r="B135" s="18"/>
      <c r="C135" s="18"/>
      <c r="D135" s="18"/>
      <c r="E135" s="18"/>
      <c r="F135" s="18"/>
    </row>
    <row r="136" spans="2:6">
      <c r="B136" s="18"/>
      <c r="C136" s="18"/>
      <c r="D136" s="18"/>
      <c r="E136" s="18"/>
      <c r="F136" s="18"/>
    </row>
    <row r="137" spans="2:6">
      <c r="B137" s="18"/>
      <c r="C137" s="18"/>
      <c r="D137" s="18"/>
      <c r="E137" s="18"/>
      <c r="F137" s="18"/>
    </row>
    <row r="138" spans="2:6">
      <c r="B138" s="18"/>
      <c r="C138" s="18"/>
      <c r="D138" s="18"/>
      <c r="E138" s="18"/>
      <c r="F138" s="18"/>
    </row>
    <row r="139" spans="2:6">
      <c r="B139" s="18"/>
      <c r="C139" s="18"/>
      <c r="D139" s="18"/>
      <c r="E139" s="18"/>
      <c r="F139" s="18"/>
    </row>
    <row r="140" spans="2:6">
      <c r="B140" s="18"/>
      <c r="C140" s="18"/>
      <c r="D140" s="18"/>
      <c r="E140" s="18"/>
      <c r="F140" s="18"/>
    </row>
    <row r="141" spans="2:6">
      <c r="B141" s="18"/>
      <c r="C141" s="18"/>
      <c r="D141" s="18"/>
      <c r="E141" s="18"/>
      <c r="F141" s="18"/>
    </row>
    <row r="142" spans="2:6">
      <c r="B142" s="18"/>
      <c r="C142" s="18"/>
      <c r="D142" s="18"/>
      <c r="E142" s="18"/>
      <c r="F142" s="18"/>
    </row>
    <row r="143" spans="2:6">
      <c r="B143" s="18"/>
      <c r="C143" s="18"/>
      <c r="D143" s="18"/>
      <c r="E143" s="18"/>
      <c r="F143" s="18"/>
    </row>
    <row r="144" spans="2:6">
      <c r="B144" s="18"/>
      <c r="C144" s="18"/>
      <c r="D144" s="18"/>
      <c r="E144" s="18"/>
      <c r="F144" s="18"/>
    </row>
    <row r="145" spans="2:6">
      <c r="B145" s="18"/>
      <c r="C145" s="18"/>
      <c r="D145" s="18"/>
      <c r="E145" s="18"/>
      <c r="F145" s="18"/>
    </row>
    <row r="146" spans="2:6">
      <c r="B146" s="18"/>
      <c r="C146" s="18"/>
      <c r="D146" s="18"/>
      <c r="E146" s="18"/>
      <c r="F146" s="18"/>
    </row>
    <row r="147" spans="2:6">
      <c r="B147" s="18"/>
      <c r="C147" s="18"/>
      <c r="D147" s="18"/>
      <c r="E147" s="18"/>
      <c r="F147" s="18"/>
    </row>
    <row r="148" spans="2:6">
      <c r="B148" s="18"/>
      <c r="C148" s="18"/>
      <c r="D148" s="18"/>
      <c r="E148" s="18"/>
      <c r="F148" s="18"/>
    </row>
    <row r="149" spans="2:6">
      <c r="B149" s="18"/>
      <c r="C149" s="18"/>
      <c r="D149" s="18"/>
      <c r="E149" s="18"/>
      <c r="F149" s="18"/>
    </row>
    <row r="150" spans="2:6">
      <c r="B150" s="18"/>
      <c r="C150" s="18"/>
      <c r="D150" s="18"/>
      <c r="E150" s="18"/>
      <c r="F150" s="18"/>
    </row>
    <row r="151" spans="2:6">
      <c r="B151" s="18"/>
      <c r="C151" s="18"/>
      <c r="D151" s="18"/>
      <c r="E151" s="18"/>
      <c r="F151" s="18"/>
    </row>
    <row r="152" spans="2:6">
      <c r="B152" s="18"/>
      <c r="C152" s="18"/>
      <c r="D152" s="18"/>
      <c r="E152" s="18"/>
      <c r="F152" s="18"/>
    </row>
    <row r="153" spans="2:6">
      <c r="B153" s="18"/>
      <c r="C153" s="18"/>
      <c r="D153" s="18"/>
      <c r="E153" s="18"/>
      <c r="F153" s="18"/>
    </row>
    <row r="154" spans="2:6">
      <c r="B154" s="18"/>
      <c r="C154" s="18"/>
      <c r="D154" s="18"/>
      <c r="E154" s="18"/>
      <c r="F154" s="18"/>
    </row>
    <row r="155" spans="2:6">
      <c r="B155" s="18"/>
      <c r="C155" s="18"/>
      <c r="D155" s="18"/>
      <c r="E155" s="18"/>
      <c r="F155" s="18"/>
    </row>
    <row r="156" spans="2:6">
      <c r="B156" s="18"/>
      <c r="C156" s="18"/>
      <c r="D156" s="18"/>
      <c r="E156" s="18"/>
      <c r="F156" s="18"/>
    </row>
    <row r="157" spans="2:6">
      <c r="B157" s="18"/>
      <c r="C157" s="18"/>
      <c r="D157" s="18"/>
      <c r="E157" s="18"/>
      <c r="F157" s="18"/>
    </row>
    <row r="158" spans="2:6">
      <c r="B158" s="18"/>
      <c r="C158" s="18"/>
      <c r="D158" s="18"/>
      <c r="E158" s="18"/>
      <c r="F158" s="18"/>
    </row>
    <row r="159" spans="2:6">
      <c r="B159" s="18"/>
      <c r="C159" s="18"/>
      <c r="D159" s="18"/>
      <c r="E159" s="18"/>
      <c r="F159" s="18"/>
    </row>
    <row r="160" spans="2:6">
      <c r="B160" s="18"/>
      <c r="C160" s="18"/>
      <c r="D160" s="18"/>
      <c r="E160" s="18"/>
      <c r="F160" s="18"/>
    </row>
    <row r="161" spans="2:6">
      <c r="B161" s="18"/>
      <c r="C161" s="18"/>
      <c r="D161" s="18"/>
      <c r="E161" s="18"/>
      <c r="F161" s="18"/>
    </row>
    <row r="162" spans="2:6">
      <c r="B162" s="18"/>
      <c r="C162" s="18"/>
      <c r="D162" s="18"/>
      <c r="E162" s="18"/>
      <c r="F162" s="18"/>
    </row>
    <row r="163" spans="2:6">
      <c r="B163" s="18"/>
      <c r="C163" s="18"/>
      <c r="D163" s="18"/>
      <c r="E163" s="18"/>
      <c r="F163" s="18"/>
    </row>
    <row r="164" spans="2:6">
      <c r="B164" s="18"/>
      <c r="C164" s="18"/>
      <c r="D164" s="18"/>
      <c r="E164" s="18"/>
      <c r="F164" s="18"/>
    </row>
    <row r="165" spans="2:6">
      <c r="B165" s="18"/>
      <c r="C165" s="18"/>
      <c r="D165" s="18"/>
      <c r="E165" s="18"/>
      <c r="F165" s="18"/>
    </row>
    <row r="166" spans="2:6">
      <c r="B166" s="18"/>
      <c r="C166" s="18"/>
      <c r="D166" s="18"/>
      <c r="E166" s="18"/>
      <c r="F166" s="18"/>
    </row>
    <row r="167" spans="2:6">
      <c r="B167" s="18"/>
      <c r="C167" s="18"/>
      <c r="D167" s="18"/>
      <c r="E167" s="18"/>
      <c r="F167" s="18"/>
    </row>
    <row r="168" spans="2:6">
      <c r="B168" s="18"/>
      <c r="C168" s="18"/>
      <c r="D168" s="18"/>
      <c r="E168" s="18"/>
      <c r="F168" s="18"/>
    </row>
    <row r="169" spans="2:6">
      <c r="B169" s="18"/>
      <c r="C169" s="18"/>
      <c r="D169" s="18"/>
      <c r="E169" s="18"/>
      <c r="F169" s="18"/>
    </row>
    <row r="170" spans="2:6">
      <c r="B170" s="18"/>
      <c r="C170" s="18"/>
      <c r="D170" s="18"/>
      <c r="E170" s="18"/>
      <c r="F170" s="18"/>
    </row>
    <row r="171" spans="2:6">
      <c r="B171" s="18"/>
      <c r="C171" s="18"/>
      <c r="D171" s="18"/>
      <c r="E171" s="18"/>
      <c r="F171" s="18"/>
    </row>
    <row r="172" spans="2:6">
      <c r="B172" s="18"/>
      <c r="C172" s="18"/>
      <c r="D172" s="18"/>
      <c r="E172" s="18"/>
      <c r="F172" s="18"/>
    </row>
    <row r="173" spans="2:6">
      <c r="B173" s="18"/>
      <c r="C173" s="18"/>
      <c r="D173" s="18"/>
      <c r="E173" s="18"/>
      <c r="F173" s="18"/>
    </row>
    <row r="174" spans="2:6">
      <c r="B174" s="18"/>
      <c r="C174" s="18"/>
      <c r="D174" s="18"/>
      <c r="E174" s="18"/>
      <c r="F174" s="18"/>
    </row>
    <row r="175" spans="2:6">
      <c r="B175" s="18"/>
      <c r="C175" s="18"/>
      <c r="D175" s="18"/>
      <c r="E175" s="18"/>
      <c r="F175" s="18"/>
    </row>
    <row r="176" spans="2:6">
      <c r="B176" s="18"/>
      <c r="C176" s="18"/>
      <c r="D176" s="18"/>
      <c r="E176" s="18"/>
      <c r="F176" s="18"/>
    </row>
    <row r="177" spans="2:6">
      <c r="B177" s="18"/>
      <c r="C177" s="18"/>
      <c r="D177" s="18"/>
      <c r="E177" s="18"/>
      <c r="F177" s="18"/>
    </row>
    <row r="178" spans="2:6">
      <c r="B178" s="18"/>
      <c r="C178" s="18"/>
      <c r="D178" s="18"/>
      <c r="E178" s="18"/>
      <c r="F178" s="18"/>
    </row>
    <row r="179" spans="2:6">
      <c r="B179" s="18"/>
      <c r="C179" s="18"/>
      <c r="D179" s="18"/>
      <c r="E179" s="18"/>
      <c r="F179" s="18"/>
    </row>
    <row r="180" spans="2:6">
      <c r="B180" s="18"/>
      <c r="C180" s="18"/>
      <c r="D180" s="18"/>
      <c r="E180" s="18"/>
      <c r="F180" s="18"/>
    </row>
    <row r="181" spans="2:6">
      <c r="B181" s="18"/>
      <c r="C181" s="18"/>
      <c r="D181" s="18"/>
      <c r="E181" s="18"/>
      <c r="F181" s="18"/>
    </row>
    <row r="182" spans="2:6">
      <c r="B182" s="18"/>
      <c r="C182" s="18"/>
      <c r="D182" s="18"/>
      <c r="E182" s="18"/>
      <c r="F182" s="18"/>
    </row>
    <row r="183" spans="2:6">
      <c r="B183" s="18"/>
      <c r="C183" s="18"/>
      <c r="D183" s="18"/>
      <c r="E183" s="18"/>
      <c r="F183" s="18"/>
    </row>
    <row r="184" spans="2:6">
      <c r="B184" s="18"/>
      <c r="C184" s="18"/>
      <c r="D184" s="18"/>
      <c r="E184" s="18"/>
      <c r="F184" s="18"/>
    </row>
    <row r="185" spans="2:6">
      <c r="B185" s="18"/>
      <c r="C185" s="18"/>
      <c r="D185" s="18"/>
      <c r="E185" s="18"/>
      <c r="F185" s="18"/>
    </row>
    <row r="186" spans="2:6">
      <c r="B186" s="18"/>
      <c r="C186" s="18"/>
      <c r="D186" s="18"/>
      <c r="E186" s="18"/>
      <c r="F186" s="18"/>
    </row>
    <row r="187" spans="2:6">
      <c r="B187" s="18"/>
      <c r="C187" s="18"/>
      <c r="D187" s="18"/>
      <c r="E187" s="18"/>
      <c r="F187" s="18"/>
    </row>
    <row r="188" spans="2:6">
      <c r="B188" s="18"/>
      <c r="C188" s="18"/>
      <c r="D188" s="18"/>
      <c r="E188" s="18"/>
      <c r="F188" s="18"/>
    </row>
    <row r="189" spans="2:6">
      <c r="B189" s="18"/>
      <c r="C189" s="18"/>
      <c r="D189" s="18"/>
      <c r="E189" s="18"/>
      <c r="F189" s="18"/>
    </row>
    <row r="190" spans="2:6">
      <c r="B190" s="18"/>
      <c r="C190" s="18"/>
      <c r="D190" s="18"/>
      <c r="E190" s="18"/>
      <c r="F190" s="18"/>
    </row>
    <row r="191" spans="2:6">
      <c r="B191" s="18"/>
      <c r="C191" s="18"/>
      <c r="D191" s="18"/>
      <c r="E191" s="18"/>
      <c r="F191" s="18"/>
    </row>
    <row r="192" spans="2:6">
      <c r="B192" s="18"/>
      <c r="C192" s="18"/>
      <c r="D192" s="18"/>
      <c r="E192" s="18"/>
      <c r="F192" s="18"/>
    </row>
    <row r="193" spans="2:6">
      <c r="B193" s="18"/>
      <c r="C193" s="18"/>
      <c r="D193" s="18"/>
      <c r="E193" s="18"/>
      <c r="F193" s="18"/>
    </row>
    <row r="194" spans="2:6">
      <c r="B194" s="18"/>
      <c r="C194" s="18"/>
      <c r="D194" s="18"/>
      <c r="E194" s="18"/>
      <c r="F194" s="18"/>
    </row>
    <row r="195" spans="2:6">
      <c r="B195" s="18"/>
      <c r="C195" s="18"/>
      <c r="D195" s="18"/>
      <c r="E195" s="18"/>
      <c r="F195" s="18"/>
    </row>
    <row r="196" spans="2:6">
      <c r="B196" s="18"/>
      <c r="C196" s="18"/>
      <c r="D196" s="18"/>
      <c r="E196" s="18"/>
      <c r="F196" s="18"/>
    </row>
    <row r="197" spans="2:6">
      <c r="B197" s="18"/>
      <c r="C197" s="18"/>
      <c r="D197" s="18"/>
      <c r="E197" s="18"/>
      <c r="F197" s="18"/>
    </row>
    <row r="198" spans="2:6">
      <c r="B198" s="18"/>
      <c r="C198" s="18"/>
      <c r="D198" s="18"/>
      <c r="E198" s="18"/>
      <c r="F198" s="18"/>
    </row>
    <row r="199" spans="2:6">
      <c r="B199" s="18"/>
      <c r="C199" s="18"/>
      <c r="D199" s="18"/>
      <c r="E199" s="18"/>
      <c r="F199" s="18"/>
    </row>
    <row r="200" spans="2:6">
      <c r="B200" s="18"/>
      <c r="C200" s="18"/>
      <c r="D200" s="18"/>
      <c r="E200" s="18"/>
      <c r="F200" s="18"/>
    </row>
    <row r="201" spans="2:6">
      <c r="B201" s="18"/>
      <c r="C201" s="18"/>
      <c r="D201" s="18"/>
      <c r="E201" s="18"/>
      <c r="F201" s="18"/>
    </row>
    <row r="202" spans="2:6">
      <c r="B202" s="18"/>
      <c r="C202" s="18"/>
      <c r="D202" s="18"/>
      <c r="E202" s="18"/>
      <c r="F202" s="18"/>
    </row>
    <row r="203" spans="2:6">
      <c r="B203" s="18"/>
      <c r="C203" s="18"/>
      <c r="D203" s="18"/>
      <c r="E203" s="18"/>
      <c r="F203" s="18"/>
    </row>
    <row r="204" spans="2:6">
      <c r="B204" s="18"/>
      <c r="C204" s="18"/>
      <c r="D204" s="18"/>
      <c r="E204" s="18"/>
      <c r="F204" s="18"/>
    </row>
    <row r="205" spans="2:6">
      <c r="B205" s="18"/>
      <c r="C205" s="18"/>
      <c r="D205" s="18"/>
      <c r="E205" s="18"/>
      <c r="F205" s="18"/>
    </row>
    <row r="206" spans="2:6">
      <c r="B206" s="18"/>
      <c r="C206" s="18"/>
      <c r="D206" s="18"/>
      <c r="E206" s="18"/>
      <c r="F206" s="18"/>
    </row>
    <row r="207" spans="2:6">
      <c r="B207" s="18"/>
      <c r="C207" s="18"/>
      <c r="D207" s="18"/>
      <c r="E207" s="18"/>
      <c r="F207" s="18"/>
    </row>
    <row r="208" spans="2:6">
      <c r="B208" s="18"/>
      <c r="C208" s="18"/>
      <c r="D208" s="18"/>
      <c r="E208" s="18"/>
      <c r="F208" s="18"/>
    </row>
    <row r="209" spans="2:6">
      <c r="B209" s="18"/>
      <c r="C209" s="18"/>
      <c r="D209" s="18"/>
      <c r="E209" s="18"/>
      <c r="F209" s="18"/>
    </row>
    <row r="210" spans="2:6">
      <c r="B210" s="18"/>
      <c r="C210" s="18"/>
      <c r="D210" s="18"/>
      <c r="E210" s="18"/>
      <c r="F210" s="18"/>
    </row>
    <row r="211" spans="2:6">
      <c r="B211" s="18"/>
      <c r="C211" s="18"/>
      <c r="D211" s="18"/>
      <c r="E211" s="18"/>
      <c r="F211" s="18"/>
    </row>
    <row r="212" spans="2:6">
      <c r="B212" s="18"/>
      <c r="C212" s="18"/>
      <c r="D212" s="18"/>
      <c r="E212" s="18"/>
      <c r="F212" s="18"/>
    </row>
    <row r="213" spans="2:6">
      <c r="B213" s="18"/>
      <c r="C213" s="18"/>
      <c r="D213" s="18"/>
      <c r="E213" s="18"/>
      <c r="F213" s="18"/>
    </row>
    <row r="214" spans="2:6">
      <c r="B214" s="18"/>
      <c r="C214" s="18"/>
      <c r="D214" s="18"/>
      <c r="E214" s="18"/>
      <c r="F214" s="18"/>
    </row>
    <row r="215" spans="2:6">
      <c r="B215" s="18"/>
      <c r="C215" s="18"/>
      <c r="D215" s="18"/>
      <c r="E215" s="18"/>
      <c r="F215" s="18"/>
    </row>
    <row r="216" spans="2:6">
      <c r="B216" s="18"/>
      <c r="C216" s="18"/>
      <c r="D216" s="18"/>
      <c r="E216" s="18"/>
      <c r="F216" s="18"/>
    </row>
    <row r="217" spans="2:6">
      <c r="B217" s="18"/>
      <c r="C217" s="18"/>
      <c r="D217" s="18"/>
      <c r="E217" s="18"/>
      <c r="F217" s="18"/>
    </row>
    <row r="218" spans="2:6">
      <c r="B218" s="18"/>
      <c r="C218" s="18"/>
      <c r="D218" s="18"/>
      <c r="E218" s="18"/>
      <c r="F218" s="18"/>
    </row>
    <row r="219" spans="2:6">
      <c r="B219" s="18"/>
      <c r="C219" s="18"/>
      <c r="D219" s="18"/>
      <c r="E219" s="18"/>
      <c r="F219" s="18"/>
    </row>
    <row r="220" spans="2:6">
      <c r="B220" s="18"/>
      <c r="C220" s="18"/>
      <c r="D220" s="18"/>
      <c r="E220" s="18"/>
      <c r="F220" s="18"/>
    </row>
    <row r="221" spans="2:6">
      <c r="B221" s="18"/>
      <c r="C221" s="18"/>
      <c r="D221" s="18"/>
      <c r="E221" s="18"/>
      <c r="F221" s="18"/>
    </row>
    <row r="222" spans="2:6">
      <c r="B222" s="18"/>
      <c r="C222" s="18"/>
      <c r="D222" s="18"/>
      <c r="E222" s="18"/>
      <c r="F222" s="18"/>
    </row>
    <row r="223" spans="2:6">
      <c r="B223" s="18"/>
      <c r="C223" s="18"/>
      <c r="D223" s="18"/>
      <c r="E223" s="18"/>
      <c r="F223" s="18"/>
    </row>
    <row r="224" spans="2:6">
      <c r="B224" s="18"/>
      <c r="C224" s="18"/>
      <c r="D224" s="18"/>
      <c r="E224" s="18"/>
      <c r="F224" s="18"/>
    </row>
    <row r="225" spans="2:6">
      <c r="B225" s="18"/>
      <c r="C225" s="18"/>
      <c r="D225" s="18"/>
      <c r="E225" s="18"/>
      <c r="F225" s="18"/>
    </row>
    <row r="226" spans="2:6">
      <c r="B226" s="18"/>
      <c r="C226" s="18"/>
      <c r="D226" s="18"/>
      <c r="E226" s="18"/>
      <c r="F226" s="18"/>
    </row>
    <row r="227" spans="2:6">
      <c r="B227" s="18"/>
      <c r="C227" s="18"/>
      <c r="D227" s="18"/>
      <c r="E227" s="18"/>
      <c r="F227" s="18"/>
    </row>
    <row r="228" spans="2:6">
      <c r="B228" s="18"/>
      <c r="C228" s="18"/>
      <c r="D228" s="18"/>
      <c r="E228" s="18"/>
      <c r="F228" s="18"/>
    </row>
    <row r="229" spans="2:6">
      <c r="B229" s="18"/>
      <c r="C229" s="18"/>
      <c r="D229" s="18"/>
      <c r="E229" s="18"/>
      <c r="F229" s="18"/>
    </row>
    <row r="230" spans="2:6">
      <c r="B230" s="18"/>
      <c r="C230" s="18"/>
      <c r="D230" s="18"/>
      <c r="E230" s="18"/>
      <c r="F230" s="18"/>
    </row>
    <row r="231" spans="2:6">
      <c r="B231" s="18"/>
      <c r="C231" s="18"/>
      <c r="D231" s="18"/>
      <c r="E231" s="18"/>
      <c r="F231" s="18"/>
    </row>
    <row r="232" spans="2:6">
      <c r="B232" s="18"/>
      <c r="C232" s="18"/>
      <c r="D232" s="18"/>
      <c r="E232" s="18"/>
      <c r="F232" s="18"/>
    </row>
    <row r="233" spans="2:6">
      <c r="B233" s="18"/>
      <c r="C233" s="18"/>
      <c r="D233" s="18"/>
      <c r="E233" s="18"/>
      <c r="F233" s="18"/>
    </row>
    <row r="234" spans="2:6">
      <c r="B234" s="18"/>
      <c r="C234" s="18"/>
      <c r="D234" s="18"/>
      <c r="E234" s="18"/>
      <c r="F234" s="18"/>
    </row>
    <row r="235" spans="2:6">
      <c r="B235" s="18"/>
      <c r="C235" s="18"/>
      <c r="D235" s="18"/>
      <c r="E235" s="18"/>
      <c r="F235" s="18"/>
    </row>
    <row r="236" spans="2:6">
      <c r="B236" s="18"/>
      <c r="C236" s="18"/>
      <c r="D236" s="18"/>
      <c r="E236" s="18"/>
      <c r="F236" s="18"/>
    </row>
    <row r="237" spans="2:6">
      <c r="B237" s="18"/>
      <c r="C237" s="18"/>
      <c r="D237" s="18"/>
      <c r="E237" s="18"/>
      <c r="F237" s="18"/>
    </row>
    <row r="238" spans="2:6">
      <c r="B238" s="18"/>
      <c r="C238" s="18"/>
      <c r="D238" s="18"/>
      <c r="E238" s="18"/>
      <c r="F238" s="18"/>
    </row>
    <row r="239" spans="2:6">
      <c r="B239" s="18"/>
      <c r="C239" s="18"/>
      <c r="D239" s="18"/>
      <c r="E239" s="18"/>
      <c r="F239" s="18"/>
    </row>
    <row r="240" spans="2:6">
      <c r="B240" s="18"/>
      <c r="C240" s="18"/>
      <c r="D240" s="18"/>
      <c r="E240" s="18"/>
      <c r="F240" s="18"/>
    </row>
    <row r="241" spans="2:6">
      <c r="B241" s="18"/>
      <c r="C241" s="18"/>
      <c r="D241" s="18"/>
      <c r="E241" s="18"/>
      <c r="F241" s="18"/>
    </row>
    <row r="242" spans="2:6">
      <c r="B242" s="18"/>
      <c r="C242" s="18"/>
      <c r="D242" s="18"/>
      <c r="E242" s="18"/>
      <c r="F242" s="18"/>
    </row>
    <row r="243" spans="2:6">
      <c r="B243" s="18"/>
      <c r="C243" s="18"/>
      <c r="D243" s="18"/>
      <c r="E243" s="18"/>
      <c r="F243" s="18"/>
    </row>
    <row r="244" spans="2:6">
      <c r="B244" s="18"/>
      <c r="C244" s="18"/>
      <c r="D244" s="18"/>
      <c r="E244" s="18"/>
      <c r="F244" s="18"/>
    </row>
    <row r="245" spans="2:6">
      <c r="B245" s="18"/>
      <c r="C245" s="18"/>
      <c r="D245" s="18"/>
      <c r="E245" s="18"/>
      <c r="F245" s="18"/>
    </row>
    <row r="246" spans="2:6">
      <c r="B246" s="18"/>
      <c r="C246" s="18"/>
      <c r="D246" s="18"/>
      <c r="E246" s="18"/>
      <c r="F246" s="18"/>
    </row>
    <row r="247" spans="2:6">
      <c r="B247" s="18"/>
      <c r="C247" s="18"/>
      <c r="D247" s="18"/>
      <c r="E247" s="18"/>
      <c r="F247" s="18"/>
    </row>
    <row r="248" spans="2:6">
      <c r="B248" s="18"/>
      <c r="C248" s="18"/>
      <c r="D248" s="18"/>
      <c r="E248" s="18"/>
      <c r="F248" s="18"/>
    </row>
    <row r="249" spans="2:6">
      <c r="B249" s="18"/>
      <c r="C249" s="18"/>
      <c r="D249" s="18"/>
      <c r="E249" s="18"/>
      <c r="F249" s="18"/>
    </row>
    <row r="250" spans="2:6">
      <c r="B250" s="18"/>
      <c r="C250" s="18"/>
      <c r="D250" s="18"/>
      <c r="E250" s="18"/>
      <c r="F250" s="18"/>
    </row>
    <row r="251" spans="2:6">
      <c r="B251" s="18"/>
      <c r="C251" s="18"/>
      <c r="D251" s="18"/>
      <c r="E251" s="18"/>
      <c r="F251" s="18"/>
    </row>
    <row r="252" spans="2:6">
      <c r="B252" s="18"/>
      <c r="C252" s="18"/>
      <c r="D252" s="18"/>
      <c r="E252" s="18"/>
      <c r="F252" s="18"/>
    </row>
    <row r="253" spans="2:6">
      <c r="B253" s="18"/>
      <c r="C253" s="18"/>
      <c r="D253" s="18"/>
      <c r="E253" s="18"/>
      <c r="F253" s="18"/>
    </row>
    <row r="254" spans="2:6">
      <c r="B254" s="18"/>
      <c r="C254" s="18"/>
      <c r="D254" s="18"/>
      <c r="E254" s="18"/>
      <c r="F254" s="18"/>
    </row>
    <row r="255" spans="2:6">
      <c r="B255" s="18"/>
      <c r="C255" s="18"/>
      <c r="D255" s="18"/>
      <c r="E255" s="18"/>
      <c r="F255" s="18"/>
    </row>
    <row r="256" spans="2:6">
      <c r="B256" s="18"/>
      <c r="C256" s="18"/>
      <c r="D256" s="18"/>
      <c r="E256" s="18"/>
      <c r="F256" s="18"/>
    </row>
    <row r="257" spans="2:6">
      <c r="B257" s="18"/>
      <c r="C257" s="18"/>
      <c r="D257" s="18"/>
      <c r="E257" s="18"/>
      <c r="F257" s="18"/>
    </row>
    <row r="258" spans="2:6">
      <c r="B258" s="18"/>
      <c r="C258" s="18"/>
      <c r="D258" s="18"/>
      <c r="E258" s="18"/>
      <c r="F258" s="18"/>
    </row>
    <row r="259" spans="2:6">
      <c r="B259" s="18"/>
      <c r="C259" s="18"/>
      <c r="D259" s="18"/>
      <c r="E259" s="18"/>
      <c r="F259" s="18"/>
    </row>
    <row r="260" spans="2:6">
      <c r="B260" s="18"/>
      <c r="C260" s="18"/>
      <c r="D260" s="18"/>
      <c r="E260" s="18"/>
      <c r="F260" s="18"/>
    </row>
    <row r="261" spans="2:6">
      <c r="B261" s="18"/>
      <c r="C261" s="18"/>
      <c r="D261" s="18"/>
      <c r="E261" s="18"/>
      <c r="F261" s="18"/>
    </row>
    <row r="262" spans="2:6">
      <c r="B262" s="18"/>
      <c r="C262" s="18"/>
      <c r="D262" s="18"/>
      <c r="E262" s="18"/>
      <c r="F262" s="18"/>
    </row>
    <row r="263" spans="2:6">
      <c r="B263" s="18"/>
      <c r="C263" s="18"/>
      <c r="D263" s="18"/>
      <c r="E263" s="18"/>
      <c r="F263" s="18"/>
    </row>
    <row r="264" spans="2:6">
      <c r="B264" s="18"/>
      <c r="C264" s="18"/>
      <c r="D264" s="18"/>
      <c r="E264" s="18"/>
      <c r="F264" s="18"/>
    </row>
    <row r="265" spans="2:6">
      <c r="B265" s="18"/>
      <c r="C265" s="18"/>
      <c r="D265" s="18"/>
      <c r="E265" s="18"/>
      <c r="F265" s="18"/>
    </row>
    <row r="266" spans="2:6">
      <c r="B266" s="18"/>
      <c r="C266" s="18"/>
      <c r="D266" s="18"/>
      <c r="E266" s="18"/>
      <c r="F266" s="18"/>
    </row>
    <row r="267" spans="2:6">
      <c r="B267" s="18"/>
      <c r="C267" s="18"/>
      <c r="D267" s="18"/>
      <c r="E267" s="18"/>
      <c r="F267" s="18"/>
    </row>
    <row r="268" spans="2:6">
      <c r="B268" s="18"/>
      <c r="C268" s="18"/>
      <c r="D268" s="18"/>
      <c r="E268" s="18"/>
      <c r="F268" s="18"/>
    </row>
    <row r="269" spans="2:6">
      <c r="B269" s="18"/>
      <c r="C269" s="18"/>
      <c r="D269" s="18"/>
      <c r="E269" s="18"/>
      <c r="F269" s="18"/>
    </row>
    <row r="270" spans="2:6">
      <c r="B270" s="18"/>
      <c r="C270" s="18"/>
      <c r="D270" s="18"/>
      <c r="E270" s="18"/>
      <c r="F270" s="18"/>
    </row>
    <row r="271" spans="2:6">
      <c r="B271" s="18"/>
      <c r="C271" s="18"/>
      <c r="D271" s="18"/>
      <c r="E271" s="18"/>
      <c r="F271" s="18"/>
    </row>
    <row r="272" spans="2:6">
      <c r="B272" s="18"/>
      <c r="C272" s="18"/>
      <c r="D272" s="18"/>
      <c r="E272" s="18"/>
      <c r="F272" s="18"/>
    </row>
    <row r="273" spans="2:6">
      <c r="B273" s="18"/>
      <c r="C273" s="18"/>
      <c r="D273" s="18"/>
      <c r="E273" s="18"/>
      <c r="F273" s="18"/>
    </row>
    <row r="274" spans="2:6">
      <c r="B274" s="18"/>
      <c r="C274" s="18"/>
      <c r="D274" s="18"/>
      <c r="E274" s="18"/>
      <c r="F274" s="18"/>
    </row>
    <row r="275" spans="2:6">
      <c r="B275" s="18"/>
      <c r="C275" s="18"/>
      <c r="D275" s="18"/>
      <c r="E275" s="18"/>
      <c r="F275" s="18"/>
    </row>
    <row r="276" spans="2:6">
      <c r="B276" s="18"/>
      <c r="C276" s="18"/>
      <c r="D276" s="18"/>
      <c r="E276" s="18"/>
      <c r="F276" s="18"/>
    </row>
    <row r="277" spans="2:6">
      <c r="B277" s="18"/>
      <c r="C277" s="18"/>
      <c r="D277" s="18"/>
      <c r="E277" s="18"/>
      <c r="F277" s="18"/>
    </row>
    <row r="278" spans="2:6">
      <c r="B278" s="18"/>
      <c r="C278" s="18"/>
      <c r="D278" s="18"/>
      <c r="E278" s="18"/>
      <c r="F278" s="18"/>
    </row>
    <row r="279" spans="2:6">
      <c r="B279" s="18"/>
      <c r="C279" s="18"/>
      <c r="D279" s="18"/>
      <c r="E279" s="18"/>
      <c r="F279" s="18"/>
    </row>
    <row r="280" spans="2:6">
      <c r="B280" s="18"/>
      <c r="C280" s="18"/>
      <c r="D280" s="18"/>
      <c r="E280" s="18"/>
      <c r="F280" s="18"/>
    </row>
    <row r="281" spans="2:6">
      <c r="B281" s="18"/>
      <c r="C281" s="18"/>
      <c r="D281" s="18"/>
      <c r="E281" s="18"/>
      <c r="F281" s="18"/>
    </row>
    <row r="282" spans="2:6">
      <c r="B282" s="18"/>
      <c r="C282" s="18"/>
      <c r="D282" s="18"/>
      <c r="E282" s="18"/>
      <c r="F282" s="18"/>
    </row>
    <row r="283" spans="2:6">
      <c r="B283" s="18"/>
      <c r="C283" s="18"/>
      <c r="D283" s="18"/>
      <c r="E283" s="18"/>
      <c r="F283" s="18"/>
    </row>
    <row r="284" spans="2:6">
      <c r="B284" s="18"/>
      <c r="C284" s="18"/>
      <c r="D284" s="18"/>
      <c r="E284" s="18"/>
      <c r="F284" s="18"/>
    </row>
    <row r="285" spans="2:6">
      <c r="B285" s="18"/>
      <c r="C285" s="18"/>
      <c r="D285" s="18"/>
      <c r="E285" s="18"/>
      <c r="F285" s="18"/>
    </row>
    <row r="286" spans="2:6">
      <c r="B286" s="18"/>
      <c r="C286" s="18"/>
      <c r="D286" s="18"/>
      <c r="E286" s="18"/>
      <c r="F286" s="18"/>
    </row>
    <row r="287" spans="2:6">
      <c r="B287" s="18"/>
      <c r="C287" s="18"/>
      <c r="D287" s="18"/>
      <c r="E287" s="18"/>
      <c r="F287" s="18"/>
    </row>
    <row r="288" spans="2:6">
      <c r="B288" s="18"/>
      <c r="C288" s="18"/>
      <c r="D288" s="18"/>
      <c r="E288" s="18"/>
      <c r="F288" s="18"/>
    </row>
    <row r="289" spans="2:6">
      <c r="B289" s="18"/>
      <c r="C289" s="18"/>
      <c r="D289" s="18"/>
      <c r="E289" s="18"/>
      <c r="F289" s="18"/>
    </row>
    <row r="290" spans="2:6">
      <c r="B290" s="18"/>
      <c r="C290" s="18"/>
      <c r="D290" s="18"/>
      <c r="E290" s="18"/>
      <c r="F290" s="18"/>
    </row>
    <row r="291" spans="2:6">
      <c r="B291" s="18"/>
      <c r="C291" s="18"/>
      <c r="D291" s="18"/>
      <c r="E291" s="18"/>
      <c r="F291" s="18"/>
    </row>
    <row r="292" spans="2:6">
      <c r="B292" s="18"/>
      <c r="C292" s="18"/>
      <c r="D292" s="18"/>
      <c r="E292" s="18"/>
      <c r="F292" s="18"/>
    </row>
    <row r="293" spans="2:6">
      <c r="B293" s="18"/>
      <c r="C293" s="18"/>
      <c r="D293" s="18"/>
      <c r="E293" s="18"/>
      <c r="F293" s="18"/>
    </row>
    <row r="294" spans="2:6">
      <c r="B294" s="18"/>
      <c r="C294" s="18"/>
      <c r="D294" s="18"/>
      <c r="E294" s="18"/>
      <c r="F294" s="18"/>
    </row>
    <row r="295" spans="2:6">
      <c r="B295" s="18"/>
      <c r="C295" s="18"/>
      <c r="D295" s="18"/>
      <c r="E295" s="18"/>
      <c r="F295" s="18"/>
    </row>
    <row r="296" spans="2:6">
      <c r="B296" s="18"/>
      <c r="C296" s="18"/>
      <c r="D296" s="18"/>
      <c r="E296" s="18"/>
      <c r="F296" s="18"/>
    </row>
    <row r="297" spans="2:6">
      <c r="B297" s="18"/>
      <c r="C297" s="18"/>
      <c r="D297" s="18"/>
      <c r="E297" s="18"/>
      <c r="F297" s="18"/>
    </row>
    <row r="298" spans="2:6">
      <c r="B298" s="18"/>
      <c r="C298" s="18"/>
      <c r="D298" s="18"/>
      <c r="E298" s="18"/>
      <c r="F298" s="18"/>
    </row>
    <row r="299" spans="2:6">
      <c r="B299" s="18"/>
      <c r="C299" s="18"/>
      <c r="D299" s="18"/>
      <c r="E299" s="18"/>
      <c r="F299" s="18"/>
    </row>
    <row r="300" spans="2:6">
      <c r="B300" s="18"/>
      <c r="C300" s="18"/>
      <c r="D300" s="18"/>
      <c r="E300" s="18"/>
      <c r="F300" s="18"/>
    </row>
    <row r="301" spans="2:6">
      <c r="B301" s="18"/>
      <c r="C301" s="18"/>
      <c r="D301" s="18"/>
      <c r="E301" s="18"/>
      <c r="F301" s="18"/>
    </row>
    <row r="302" spans="2:6">
      <c r="B302" s="18"/>
      <c r="C302" s="18"/>
      <c r="D302" s="18"/>
      <c r="E302" s="18"/>
      <c r="F302" s="18"/>
    </row>
    <row r="303" spans="2:6">
      <c r="B303" s="18"/>
      <c r="C303" s="18"/>
      <c r="D303" s="18"/>
      <c r="E303" s="18"/>
      <c r="F303" s="18"/>
    </row>
    <row r="304" spans="2:6">
      <c r="B304" s="18"/>
      <c r="C304" s="18"/>
      <c r="D304" s="18"/>
      <c r="E304" s="18"/>
      <c r="F304" s="18"/>
    </row>
    <row r="305" spans="2:6">
      <c r="B305" s="18"/>
      <c r="C305" s="18"/>
      <c r="D305" s="18"/>
      <c r="E305" s="18"/>
      <c r="F305" s="18"/>
    </row>
    <row r="306" spans="2:6">
      <c r="B306" s="18"/>
      <c r="C306" s="18"/>
      <c r="D306" s="18"/>
      <c r="E306" s="18"/>
      <c r="F306" s="18"/>
    </row>
    <row r="307" spans="2:6">
      <c r="B307" s="18"/>
      <c r="C307" s="18"/>
      <c r="D307" s="18"/>
      <c r="E307" s="18"/>
      <c r="F307" s="18"/>
    </row>
    <row r="308" spans="2:6">
      <c r="B308" s="18"/>
      <c r="C308" s="18"/>
      <c r="D308" s="18"/>
      <c r="E308" s="18"/>
      <c r="F308" s="18"/>
    </row>
    <row r="309" spans="2:6">
      <c r="B309" s="18"/>
      <c r="C309" s="18"/>
      <c r="D309" s="18"/>
      <c r="E309" s="18"/>
      <c r="F309" s="18"/>
    </row>
    <row r="310" spans="2:6">
      <c r="B310" s="18"/>
      <c r="C310" s="18"/>
      <c r="D310" s="18"/>
      <c r="E310" s="18"/>
      <c r="F310" s="18"/>
    </row>
    <row r="311" spans="2:6">
      <c r="B311" s="18"/>
      <c r="C311" s="18"/>
      <c r="D311" s="18"/>
      <c r="E311" s="18"/>
      <c r="F311" s="18"/>
    </row>
    <row r="312" spans="2:6">
      <c r="B312" s="18"/>
      <c r="C312" s="18"/>
      <c r="D312" s="18"/>
      <c r="E312" s="18"/>
      <c r="F312" s="18"/>
    </row>
    <row r="313" spans="2:6">
      <c r="B313" s="18"/>
      <c r="C313" s="18"/>
      <c r="D313" s="18"/>
      <c r="E313" s="18"/>
      <c r="F313" s="18"/>
    </row>
    <row r="314" spans="2:6">
      <c r="B314" s="18"/>
      <c r="C314" s="18"/>
      <c r="D314" s="18"/>
      <c r="E314" s="18"/>
      <c r="F314" s="18"/>
    </row>
    <row r="315" spans="2:6">
      <c r="B315" s="18"/>
      <c r="C315" s="18"/>
      <c r="D315" s="18"/>
      <c r="E315" s="18"/>
      <c r="F315" s="18"/>
    </row>
    <row r="316" spans="2:6">
      <c r="B316" s="18"/>
      <c r="C316" s="18"/>
      <c r="D316" s="18"/>
      <c r="E316" s="18"/>
      <c r="F316" s="18"/>
    </row>
    <row r="317" spans="2:6">
      <c r="B317" s="18"/>
      <c r="C317" s="18"/>
      <c r="D317" s="18"/>
      <c r="E317" s="18"/>
      <c r="F317" s="18"/>
    </row>
    <row r="318" spans="2:6">
      <c r="B318" s="18"/>
      <c r="C318" s="18"/>
      <c r="D318" s="18"/>
      <c r="E318" s="18"/>
      <c r="F318" s="18"/>
    </row>
    <row r="319" spans="2:6">
      <c r="B319" s="18"/>
      <c r="C319" s="18"/>
      <c r="D319" s="18"/>
      <c r="E319" s="18"/>
      <c r="F319" s="18"/>
    </row>
    <row r="320" spans="2:6">
      <c r="B320" s="18"/>
      <c r="C320" s="18"/>
      <c r="D320" s="18"/>
      <c r="E320" s="18"/>
      <c r="F320" s="18"/>
    </row>
    <row r="321" spans="2:6">
      <c r="B321" s="18"/>
      <c r="C321" s="18"/>
      <c r="D321" s="18"/>
      <c r="E321" s="18"/>
      <c r="F321" s="18"/>
    </row>
    <row r="322" spans="2:6">
      <c r="B322" s="18"/>
      <c r="C322" s="18"/>
      <c r="D322" s="18"/>
      <c r="E322" s="18"/>
      <c r="F322" s="18"/>
    </row>
    <row r="323" spans="2:6">
      <c r="B323" s="18"/>
      <c r="C323" s="18"/>
      <c r="D323" s="18"/>
      <c r="E323" s="18"/>
      <c r="F323" s="18"/>
    </row>
    <row r="324" spans="2:6">
      <c r="B324" s="18"/>
      <c r="C324" s="18"/>
      <c r="D324" s="18"/>
      <c r="E324" s="18"/>
      <c r="F324" s="18"/>
    </row>
    <row r="325" spans="2:6">
      <c r="B325" s="18"/>
      <c r="C325" s="18"/>
      <c r="D325" s="18"/>
      <c r="E325" s="18"/>
      <c r="F325" s="18"/>
    </row>
    <row r="326" spans="2:6">
      <c r="B326" s="18"/>
      <c r="C326" s="18"/>
      <c r="D326" s="18"/>
      <c r="E326" s="18"/>
      <c r="F326" s="18"/>
    </row>
    <row r="327" spans="2:6">
      <c r="B327" s="18"/>
      <c r="C327" s="18"/>
      <c r="D327" s="18"/>
      <c r="E327" s="18"/>
      <c r="F327" s="18"/>
    </row>
    <row r="328" spans="2:6">
      <c r="B328" s="18"/>
      <c r="C328" s="18"/>
      <c r="D328" s="18"/>
      <c r="E328" s="18"/>
      <c r="F328" s="18"/>
    </row>
    <row r="329" spans="2:6">
      <c r="B329" s="18"/>
      <c r="C329" s="18"/>
      <c r="D329" s="18"/>
      <c r="E329" s="18"/>
      <c r="F329" s="18"/>
    </row>
    <row r="330" spans="2:6">
      <c r="B330" s="18"/>
      <c r="C330" s="18"/>
      <c r="D330" s="18"/>
      <c r="E330" s="18"/>
      <c r="F330" s="18"/>
    </row>
    <row r="331" spans="2:6">
      <c r="B331" s="18"/>
      <c r="C331" s="18"/>
      <c r="D331" s="18"/>
      <c r="E331" s="18"/>
      <c r="F331" s="18"/>
    </row>
    <row r="332" spans="2:6">
      <c r="B332" s="18"/>
      <c r="C332" s="18"/>
      <c r="D332" s="18"/>
      <c r="E332" s="18"/>
      <c r="F332" s="18"/>
    </row>
    <row r="333" spans="2:6">
      <c r="B333" s="18"/>
      <c r="C333" s="18"/>
      <c r="D333" s="18"/>
      <c r="E333" s="18"/>
      <c r="F333" s="18"/>
    </row>
    <row r="334" spans="2:6">
      <c r="B334" s="18"/>
      <c r="C334" s="18"/>
      <c r="D334" s="18"/>
      <c r="E334" s="18"/>
      <c r="F334" s="18"/>
    </row>
    <row r="335" spans="2:6">
      <c r="B335" s="18"/>
      <c r="C335" s="18"/>
      <c r="D335" s="18"/>
      <c r="E335" s="18"/>
      <c r="F335" s="18"/>
    </row>
    <row r="336" spans="2:6">
      <c r="B336" s="18"/>
      <c r="C336" s="18"/>
      <c r="D336" s="18"/>
      <c r="E336" s="18"/>
      <c r="F336" s="18"/>
    </row>
    <row r="337" spans="2:6">
      <c r="B337" s="18"/>
      <c r="C337" s="18"/>
      <c r="D337" s="18"/>
      <c r="E337" s="18"/>
      <c r="F337" s="18"/>
    </row>
    <row r="338" spans="2:6">
      <c r="B338" s="18"/>
      <c r="C338" s="18"/>
      <c r="D338" s="18"/>
      <c r="E338" s="18"/>
      <c r="F338" s="18"/>
    </row>
    <row r="339" spans="2:6">
      <c r="B339" s="18"/>
      <c r="C339" s="18"/>
      <c r="D339" s="18"/>
      <c r="E339" s="18"/>
      <c r="F339" s="18"/>
    </row>
    <row r="340" spans="2:6">
      <c r="B340" s="18"/>
      <c r="C340" s="18"/>
      <c r="D340" s="18"/>
      <c r="E340" s="18"/>
      <c r="F340" s="18"/>
    </row>
    <row r="341" spans="2:6">
      <c r="B341" s="18"/>
      <c r="C341" s="18"/>
      <c r="D341" s="18"/>
      <c r="E341" s="18"/>
      <c r="F341" s="18"/>
    </row>
    <row r="342" spans="2:6">
      <c r="B342" s="18"/>
      <c r="C342" s="18"/>
      <c r="D342" s="18"/>
      <c r="E342" s="18"/>
      <c r="F342" s="18"/>
    </row>
    <row r="343" spans="2:6">
      <c r="B343" s="18"/>
      <c r="C343" s="18"/>
      <c r="D343" s="18"/>
      <c r="E343" s="18"/>
      <c r="F343" s="18"/>
    </row>
    <row r="344" spans="2:6">
      <c r="B344" s="18"/>
      <c r="C344" s="18"/>
      <c r="D344" s="18"/>
      <c r="E344" s="18"/>
      <c r="F344" s="18"/>
    </row>
    <row r="345" spans="2:6">
      <c r="B345" s="18"/>
      <c r="C345" s="18"/>
      <c r="D345" s="18"/>
      <c r="E345" s="18"/>
      <c r="F345" s="18"/>
    </row>
    <row r="346" spans="2:6">
      <c r="B346" s="18"/>
      <c r="C346" s="18"/>
      <c r="D346" s="18"/>
      <c r="E346" s="18"/>
      <c r="F346" s="18"/>
    </row>
    <row r="347" spans="2:6">
      <c r="B347" s="18"/>
      <c r="C347" s="18"/>
      <c r="D347" s="18"/>
      <c r="E347" s="18"/>
      <c r="F347" s="18"/>
    </row>
    <row r="348" spans="2:6">
      <c r="B348" s="18"/>
      <c r="C348" s="18"/>
      <c r="D348" s="18"/>
      <c r="E348" s="18"/>
      <c r="F348" s="18"/>
    </row>
    <row r="349" spans="2:6">
      <c r="B349" s="18"/>
      <c r="C349" s="18"/>
      <c r="D349" s="18"/>
      <c r="E349" s="18"/>
      <c r="F349" s="18"/>
    </row>
    <row r="350" spans="2:6">
      <c r="B350" s="18"/>
      <c r="C350" s="18"/>
      <c r="D350" s="18"/>
      <c r="E350" s="18"/>
      <c r="F350" s="18"/>
    </row>
    <row r="351" spans="2:6">
      <c r="B351" s="18"/>
      <c r="C351" s="18"/>
      <c r="D351" s="18"/>
      <c r="E351" s="18"/>
      <c r="F351" s="18"/>
    </row>
    <row r="352" spans="2:6">
      <c r="B352" s="18"/>
      <c r="C352" s="18"/>
      <c r="D352" s="18"/>
      <c r="E352" s="18"/>
      <c r="F352" s="18"/>
    </row>
    <row r="353" spans="2:6">
      <c r="B353" s="18"/>
      <c r="C353" s="18"/>
      <c r="D353" s="18"/>
      <c r="E353" s="18"/>
      <c r="F353" s="18"/>
    </row>
    <row r="354" spans="2:6">
      <c r="B354" s="18"/>
      <c r="C354" s="18"/>
      <c r="D354" s="18"/>
      <c r="E354" s="18"/>
      <c r="F354" s="18"/>
    </row>
    <row r="355" spans="2:6">
      <c r="B355" s="18"/>
      <c r="C355" s="18"/>
      <c r="D355" s="18"/>
      <c r="E355" s="18"/>
      <c r="F355" s="18"/>
    </row>
    <row r="356" spans="2:6">
      <c r="B356" s="18"/>
      <c r="C356" s="18"/>
      <c r="D356" s="18"/>
      <c r="E356" s="18"/>
      <c r="F356" s="18"/>
    </row>
    <row r="357" spans="2:6">
      <c r="B357" s="18"/>
      <c r="C357" s="18"/>
      <c r="D357" s="18"/>
      <c r="E357" s="18"/>
      <c r="F357" s="18"/>
    </row>
    <row r="358" spans="2:6">
      <c r="B358" s="18"/>
      <c r="C358" s="18"/>
      <c r="D358" s="18"/>
      <c r="E358" s="18"/>
      <c r="F358" s="18"/>
    </row>
    <row r="359" spans="2:6">
      <c r="B359" s="18"/>
      <c r="C359" s="18"/>
      <c r="D359" s="18"/>
      <c r="E359" s="18"/>
      <c r="F359" s="18"/>
    </row>
    <row r="360" spans="2:6">
      <c r="B360" s="18"/>
      <c r="C360" s="18"/>
      <c r="D360" s="18"/>
      <c r="E360" s="18"/>
      <c r="F360" s="18"/>
    </row>
    <row r="361" spans="2:6">
      <c r="B361" s="18"/>
      <c r="C361" s="18"/>
      <c r="D361" s="18"/>
      <c r="E361" s="18"/>
      <c r="F361" s="18"/>
    </row>
    <row r="362" spans="2:6">
      <c r="B362" s="18"/>
      <c r="C362" s="18"/>
      <c r="D362" s="18"/>
      <c r="E362" s="18"/>
      <c r="F362" s="18"/>
    </row>
    <row r="363" spans="2:6">
      <c r="B363" s="18"/>
      <c r="C363" s="18"/>
      <c r="D363" s="18"/>
      <c r="E363" s="18"/>
      <c r="F363" s="18"/>
    </row>
    <row r="364" spans="2:6">
      <c r="B364" s="18"/>
      <c r="C364" s="18"/>
      <c r="D364" s="18"/>
      <c r="E364" s="18"/>
      <c r="F364" s="18"/>
    </row>
    <row r="365" spans="2:6">
      <c r="B365" s="18"/>
      <c r="C365" s="18"/>
      <c r="D365" s="18"/>
      <c r="E365" s="18"/>
      <c r="F365" s="18"/>
    </row>
    <row r="366" spans="2:6">
      <c r="B366" s="18"/>
      <c r="C366" s="18"/>
      <c r="D366" s="18"/>
      <c r="E366" s="18"/>
      <c r="F366" s="18"/>
    </row>
    <row r="367" spans="2:6">
      <c r="B367" s="18"/>
      <c r="C367" s="18"/>
      <c r="D367" s="18"/>
      <c r="E367" s="18"/>
      <c r="F367" s="18"/>
    </row>
    <row r="368" spans="2:6">
      <c r="B368" s="18"/>
      <c r="C368" s="18"/>
      <c r="D368" s="18"/>
      <c r="E368" s="18"/>
      <c r="F368" s="18"/>
    </row>
    <row r="369" spans="2:6">
      <c r="B369" s="18"/>
      <c r="C369" s="18"/>
      <c r="D369" s="18"/>
      <c r="E369" s="18"/>
      <c r="F369" s="18"/>
    </row>
    <row r="370" spans="2:6">
      <c r="B370" s="18"/>
      <c r="C370" s="18"/>
      <c r="D370" s="18"/>
      <c r="E370" s="18"/>
      <c r="F370" s="18"/>
    </row>
    <row r="371" spans="2:6">
      <c r="B371" s="18"/>
      <c r="C371" s="18"/>
      <c r="D371" s="18"/>
      <c r="E371" s="18"/>
      <c r="F371" s="18"/>
    </row>
    <row r="372" spans="2:6">
      <c r="B372" s="18"/>
      <c r="C372" s="18"/>
      <c r="D372" s="18"/>
      <c r="E372" s="18"/>
      <c r="F372" s="18"/>
    </row>
    <row r="373" spans="2:6">
      <c r="B373" s="18"/>
      <c r="C373" s="18"/>
      <c r="D373" s="18"/>
      <c r="E373" s="18"/>
      <c r="F373" s="18"/>
    </row>
    <row r="374" spans="2:6">
      <c r="B374" s="18"/>
      <c r="C374" s="18"/>
      <c r="D374" s="18"/>
      <c r="E374" s="18"/>
      <c r="F374" s="18"/>
    </row>
    <row r="375" spans="2:6">
      <c r="B375" s="18"/>
      <c r="C375" s="18"/>
      <c r="D375" s="18"/>
      <c r="E375" s="18"/>
      <c r="F375" s="18"/>
    </row>
    <row r="376" spans="2:6">
      <c r="B376" s="18"/>
      <c r="C376" s="18"/>
      <c r="D376" s="18"/>
      <c r="E376" s="18"/>
      <c r="F376" s="18"/>
    </row>
    <row r="377" spans="2:6">
      <c r="B377" s="18"/>
      <c r="C377" s="18"/>
      <c r="D377" s="18"/>
      <c r="E377" s="18"/>
      <c r="F377" s="18"/>
    </row>
    <row r="378" spans="2:6">
      <c r="B378" s="18"/>
      <c r="C378" s="18"/>
      <c r="D378" s="18"/>
      <c r="E378" s="18"/>
      <c r="F378" s="18"/>
    </row>
    <row r="379" spans="2:6">
      <c r="B379" s="18"/>
      <c r="C379" s="18"/>
      <c r="D379" s="18"/>
      <c r="E379" s="18"/>
      <c r="F379" s="18"/>
    </row>
    <row r="380" spans="2:6">
      <c r="B380" s="18"/>
      <c r="C380" s="18"/>
      <c r="D380" s="18"/>
      <c r="E380" s="18"/>
      <c r="F380" s="18"/>
    </row>
    <row r="381" spans="2:6">
      <c r="B381" s="18"/>
      <c r="C381" s="18"/>
      <c r="D381" s="18"/>
      <c r="E381" s="18"/>
      <c r="F381" s="18"/>
    </row>
    <row r="382" spans="2:6">
      <c r="B382" s="18"/>
      <c r="C382" s="18"/>
      <c r="D382" s="18"/>
      <c r="E382" s="18"/>
      <c r="F382" s="18"/>
    </row>
    <row r="383" spans="2:6">
      <c r="B383" s="18"/>
      <c r="C383" s="18"/>
      <c r="D383" s="18"/>
      <c r="E383" s="18"/>
      <c r="F383" s="18"/>
    </row>
    <row r="384" spans="2:6">
      <c r="B384" s="18"/>
      <c r="C384" s="18"/>
      <c r="D384" s="18"/>
      <c r="E384" s="18"/>
      <c r="F384" s="18"/>
    </row>
    <row r="385" spans="2:6">
      <c r="B385" s="18"/>
      <c r="C385" s="18"/>
      <c r="D385" s="18"/>
      <c r="E385" s="18"/>
      <c r="F385" s="18"/>
    </row>
    <row r="386" spans="2:6">
      <c r="B386" s="18"/>
      <c r="C386" s="18"/>
      <c r="D386" s="18"/>
      <c r="E386" s="18"/>
      <c r="F386" s="18"/>
    </row>
    <row r="387" spans="2:6">
      <c r="B387" s="18"/>
      <c r="C387" s="18"/>
      <c r="D387" s="18"/>
      <c r="E387" s="18"/>
      <c r="F387" s="18"/>
    </row>
    <row r="388" spans="2:6">
      <c r="B388" s="18"/>
      <c r="C388" s="18"/>
      <c r="D388" s="18"/>
      <c r="E388" s="18"/>
      <c r="F388" s="18"/>
    </row>
    <row r="389" spans="2:6">
      <c r="B389" s="18"/>
      <c r="C389" s="18"/>
      <c r="D389" s="18"/>
      <c r="E389" s="18"/>
      <c r="F389" s="18"/>
    </row>
    <row r="390" spans="2:6">
      <c r="B390" s="18"/>
      <c r="C390" s="18"/>
      <c r="D390" s="18"/>
      <c r="E390" s="18"/>
      <c r="F390" s="18"/>
    </row>
    <row r="391" spans="2:6">
      <c r="B391" s="18"/>
      <c r="C391" s="18"/>
      <c r="D391" s="18"/>
      <c r="E391" s="18"/>
      <c r="F391" s="18"/>
    </row>
    <row r="392" spans="2:6">
      <c r="B392" s="18"/>
      <c r="C392" s="18"/>
      <c r="D392" s="18"/>
      <c r="E392" s="18"/>
      <c r="F392" s="18"/>
    </row>
    <row r="393" spans="2:6">
      <c r="B393" s="18"/>
      <c r="C393" s="18"/>
      <c r="D393" s="18"/>
      <c r="E393" s="18"/>
      <c r="F393" s="18"/>
    </row>
    <row r="394" spans="2:6">
      <c r="B394" s="18"/>
      <c r="C394" s="18"/>
      <c r="D394" s="18"/>
      <c r="E394" s="18"/>
      <c r="F394" s="18"/>
    </row>
    <row r="395" spans="2:6">
      <c r="B395" s="18"/>
      <c r="C395" s="18"/>
      <c r="D395" s="18"/>
      <c r="E395" s="18"/>
      <c r="F395" s="18"/>
    </row>
    <row r="396" spans="2:6">
      <c r="B396" s="18"/>
      <c r="C396" s="18"/>
      <c r="D396" s="18"/>
      <c r="E396" s="18"/>
      <c r="F396" s="18"/>
    </row>
    <row r="397" spans="2:6">
      <c r="B397" s="18"/>
      <c r="C397" s="18"/>
      <c r="D397" s="18"/>
      <c r="E397" s="18"/>
      <c r="F397" s="18"/>
    </row>
    <row r="398" spans="2:6">
      <c r="B398" s="18"/>
      <c r="C398" s="18"/>
      <c r="D398" s="18"/>
      <c r="E398" s="18"/>
      <c r="F398" s="18"/>
    </row>
    <row r="399" spans="2:6">
      <c r="B399" s="18"/>
      <c r="C399" s="18"/>
      <c r="D399" s="18"/>
      <c r="E399" s="18"/>
      <c r="F399" s="18"/>
    </row>
    <row r="400" spans="2:6">
      <c r="B400" s="18"/>
      <c r="C400" s="18"/>
      <c r="D400" s="18"/>
      <c r="E400" s="18"/>
      <c r="F400" s="18"/>
    </row>
    <row r="401" spans="2:6">
      <c r="B401" s="18"/>
      <c r="C401" s="18"/>
      <c r="D401" s="18"/>
      <c r="E401" s="18"/>
      <c r="F401" s="18"/>
    </row>
    <row r="402" spans="2:6">
      <c r="B402" s="18"/>
      <c r="C402" s="18"/>
      <c r="D402" s="18"/>
      <c r="E402" s="18"/>
      <c r="F402" s="18"/>
    </row>
    <row r="403" spans="2:6">
      <c r="B403" s="18"/>
      <c r="C403" s="18"/>
      <c r="D403" s="18"/>
      <c r="E403" s="18"/>
      <c r="F403" s="18"/>
    </row>
    <row r="404" spans="2:6">
      <c r="B404" s="18"/>
      <c r="C404" s="18"/>
      <c r="D404" s="18"/>
      <c r="E404" s="18"/>
      <c r="F404" s="18"/>
    </row>
    <row r="405" spans="2:6">
      <c r="B405" s="18"/>
      <c r="C405" s="18"/>
      <c r="D405" s="18"/>
      <c r="E405" s="18"/>
      <c r="F405" s="18"/>
    </row>
    <row r="406" spans="2:6">
      <c r="B406" s="18"/>
      <c r="C406" s="18"/>
      <c r="D406" s="18"/>
      <c r="E406" s="18"/>
      <c r="F406" s="18"/>
    </row>
    <row r="407" spans="2:6">
      <c r="B407" s="18"/>
      <c r="C407" s="18"/>
      <c r="D407" s="18"/>
      <c r="E407" s="18"/>
      <c r="F407" s="18"/>
    </row>
    <row r="408" spans="2:6">
      <c r="B408" s="18"/>
      <c r="C408" s="18"/>
      <c r="D408" s="18"/>
      <c r="E408" s="18"/>
      <c r="F408" s="18"/>
    </row>
    <row r="409" spans="2:6">
      <c r="B409" s="18"/>
      <c r="C409" s="18"/>
      <c r="D409" s="18"/>
      <c r="E409" s="18"/>
      <c r="F409" s="18"/>
    </row>
    <row r="410" spans="2:6">
      <c r="B410" s="18"/>
      <c r="C410" s="18"/>
      <c r="D410" s="18"/>
      <c r="E410" s="18"/>
      <c r="F410" s="18"/>
    </row>
    <row r="411" spans="2:6">
      <c r="B411" s="18"/>
      <c r="C411" s="18"/>
      <c r="D411" s="18"/>
      <c r="E411" s="18"/>
      <c r="F411" s="18"/>
    </row>
    <row r="412" spans="2:6">
      <c r="B412" s="18"/>
      <c r="C412" s="18"/>
      <c r="D412" s="18"/>
      <c r="E412" s="18"/>
      <c r="F412" s="18"/>
    </row>
    <row r="413" spans="2:6">
      <c r="B413" s="18"/>
      <c r="C413" s="18"/>
      <c r="D413" s="18"/>
      <c r="E413" s="18"/>
      <c r="F413" s="18"/>
    </row>
    <row r="414" spans="2:6">
      <c r="B414" s="18"/>
      <c r="C414" s="18"/>
      <c r="D414" s="18"/>
      <c r="E414" s="18"/>
      <c r="F414" s="18"/>
    </row>
    <row r="415" spans="2:6">
      <c r="B415" s="18"/>
      <c r="C415" s="18"/>
      <c r="D415" s="18"/>
      <c r="E415" s="18"/>
      <c r="F415" s="18"/>
    </row>
    <row r="416" spans="2:6">
      <c r="B416" s="18"/>
      <c r="C416" s="18"/>
      <c r="D416" s="18"/>
      <c r="E416" s="18"/>
      <c r="F416" s="18"/>
    </row>
    <row r="417" spans="2:6">
      <c r="B417" s="18"/>
      <c r="C417" s="18"/>
      <c r="D417" s="18"/>
      <c r="E417" s="18"/>
      <c r="F417" s="18"/>
    </row>
    <row r="418" spans="2:6">
      <c r="B418" s="18"/>
      <c r="C418" s="18"/>
      <c r="D418" s="18"/>
      <c r="E418" s="18"/>
      <c r="F418" s="18"/>
    </row>
  </sheetData>
  <mergeCells count="1">
    <mergeCell ref="A2:A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D4156-EB2A-420A-A4A5-6E2014D20E2E}">
  <sheetPr codeName="Feuil3"/>
  <dimension ref="A1:L16"/>
  <sheetViews>
    <sheetView showGridLines="0" topLeftCell="B1" zoomScale="85" zoomScaleNormal="85" workbookViewId="0">
      <selection activeCell="E15" sqref="E15"/>
    </sheetView>
  </sheetViews>
  <sheetFormatPr baseColWidth="10" defaultColWidth="11.35546875" defaultRowHeight="24"/>
  <cols>
    <col min="12" max="12" width="20.2109375" customWidth="1"/>
  </cols>
  <sheetData>
    <row r="1" spans="1:12">
      <c r="A1" s="1023" t="s">
        <v>669</v>
      </c>
      <c r="B1" s="1023" t="s">
        <v>64</v>
      </c>
      <c r="C1" s="1023" t="s">
        <v>670</v>
      </c>
      <c r="D1" s="1023" t="s">
        <v>671</v>
      </c>
      <c r="E1" s="1023" t="s">
        <v>672</v>
      </c>
      <c r="F1" s="1023" t="s">
        <v>673</v>
      </c>
      <c r="G1" s="1023" t="s">
        <v>674</v>
      </c>
      <c r="H1" s="1023" t="s">
        <v>675</v>
      </c>
      <c r="I1" s="1023" t="s">
        <v>676</v>
      </c>
      <c r="J1" s="1023" t="s">
        <v>677</v>
      </c>
      <c r="K1" s="1023" t="s">
        <v>678</v>
      </c>
      <c r="L1" s="1023" t="s">
        <v>679</v>
      </c>
    </row>
    <row r="2" spans="1:12" ht="45">
      <c r="A2" s="68" t="s">
        <v>10</v>
      </c>
      <c r="B2" s="68"/>
      <c r="C2" s="69" t="s">
        <v>1923</v>
      </c>
      <c r="D2" s="68"/>
      <c r="E2" s="391">
        <v>45878</v>
      </c>
      <c r="F2" s="391">
        <v>45881</v>
      </c>
      <c r="G2" s="391">
        <v>45676</v>
      </c>
      <c r="H2" s="69" t="s">
        <v>2033</v>
      </c>
      <c r="I2" s="68" t="s">
        <v>1788</v>
      </c>
      <c r="J2" s="68" t="s">
        <v>3392</v>
      </c>
      <c r="K2" s="68" t="s">
        <v>811</v>
      </c>
      <c r="L2" s="68">
        <v>4778018421</v>
      </c>
    </row>
    <row r="3" spans="1:12" ht="45">
      <c r="A3" s="68" t="s">
        <v>10</v>
      </c>
      <c r="B3" s="68"/>
      <c r="C3" s="69" t="s">
        <v>2394</v>
      </c>
      <c r="D3" s="68"/>
      <c r="E3" s="391">
        <v>45932</v>
      </c>
      <c r="F3" s="391">
        <v>45936</v>
      </c>
      <c r="G3" s="391">
        <v>45713</v>
      </c>
      <c r="H3" s="69" t="s">
        <v>2033</v>
      </c>
      <c r="I3" s="68" t="s">
        <v>2395</v>
      </c>
      <c r="J3" s="68" t="s">
        <v>3393</v>
      </c>
      <c r="K3" s="68" t="s">
        <v>811</v>
      </c>
      <c r="L3" s="68">
        <v>4803006430</v>
      </c>
    </row>
    <row r="4" spans="1:12" ht="31.8">
      <c r="A4" s="68" t="s">
        <v>10</v>
      </c>
      <c r="B4" s="68"/>
      <c r="C4" s="69" t="s">
        <v>3394</v>
      </c>
      <c r="D4" s="68"/>
      <c r="E4" s="391">
        <v>45937</v>
      </c>
      <c r="F4" s="391">
        <v>45941</v>
      </c>
      <c r="G4" s="391">
        <v>45692</v>
      </c>
      <c r="H4" s="68" t="s">
        <v>1165</v>
      </c>
      <c r="I4" s="68" t="s">
        <v>1354</v>
      </c>
      <c r="J4" s="68" t="s">
        <v>1354</v>
      </c>
      <c r="K4" s="68" t="s">
        <v>811</v>
      </c>
      <c r="L4" s="68">
        <v>4578805081</v>
      </c>
    </row>
    <row r="5" spans="1:12" ht="45">
      <c r="A5" s="68" t="s">
        <v>10</v>
      </c>
      <c r="B5" s="68"/>
      <c r="C5" s="69" t="s">
        <v>1853</v>
      </c>
      <c r="D5" s="68"/>
      <c r="E5" s="391">
        <v>45963</v>
      </c>
      <c r="F5" s="391">
        <v>45967</v>
      </c>
      <c r="G5" s="391">
        <v>45674</v>
      </c>
      <c r="H5" s="69" t="s">
        <v>2033</v>
      </c>
      <c r="I5" s="68" t="s">
        <v>1854</v>
      </c>
      <c r="J5" s="68" t="s">
        <v>3395</v>
      </c>
      <c r="K5" s="68" t="s">
        <v>811</v>
      </c>
      <c r="L5" s="68">
        <v>4923471545</v>
      </c>
    </row>
    <row r="6" spans="1:12" ht="31.8">
      <c r="A6" s="68" t="s">
        <v>10</v>
      </c>
      <c r="B6" s="68"/>
      <c r="C6" s="69" t="s">
        <v>3201</v>
      </c>
      <c r="D6" s="68"/>
      <c r="E6" s="391">
        <v>46003</v>
      </c>
      <c r="F6" s="391">
        <v>46018</v>
      </c>
      <c r="G6" s="391">
        <v>45858</v>
      </c>
      <c r="H6" s="69" t="s">
        <v>2033</v>
      </c>
      <c r="I6" s="68" t="s">
        <v>3396</v>
      </c>
      <c r="J6" s="68" t="s">
        <v>3397</v>
      </c>
      <c r="K6" s="68" t="s">
        <v>811</v>
      </c>
      <c r="L6" s="68">
        <v>5821116732</v>
      </c>
    </row>
    <row r="7" spans="1:12" ht="31.8">
      <c r="A7" s="68" t="s">
        <v>10</v>
      </c>
      <c r="B7" s="68"/>
      <c r="C7" s="69" t="s">
        <v>3398</v>
      </c>
      <c r="D7" s="68"/>
      <c r="E7" s="391">
        <v>46009</v>
      </c>
      <c r="F7" s="391">
        <v>46017</v>
      </c>
      <c r="G7" s="391">
        <v>45608</v>
      </c>
      <c r="H7" s="68" t="s">
        <v>1165</v>
      </c>
      <c r="I7" s="68" t="s">
        <v>1354</v>
      </c>
      <c r="J7" s="68" t="s">
        <v>1354</v>
      </c>
      <c r="K7" s="68" t="s">
        <v>811</v>
      </c>
      <c r="L7" s="68">
        <v>4370344277</v>
      </c>
    </row>
    <row r="8" spans="1:12" ht="45">
      <c r="A8" s="68" t="s">
        <v>10</v>
      </c>
      <c r="B8" s="68"/>
      <c r="C8" s="69" t="s">
        <v>3399</v>
      </c>
      <c r="D8" s="68"/>
      <c r="E8" s="391">
        <v>46017</v>
      </c>
      <c r="F8" s="391">
        <v>46024</v>
      </c>
      <c r="G8" s="391">
        <v>45657</v>
      </c>
      <c r="H8" s="68" t="s">
        <v>1165</v>
      </c>
      <c r="I8" s="68" t="s">
        <v>1354</v>
      </c>
      <c r="J8" s="68" t="s">
        <v>1354</v>
      </c>
      <c r="K8" s="68" t="s">
        <v>811</v>
      </c>
      <c r="L8" s="68">
        <v>4563713832</v>
      </c>
    </row>
    <row r="9" spans="1:12" ht="45">
      <c r="A9" s="68" t="s">
        <v>10</v>
      </c>
      <c r="B9" s="68"/>
      <c r="C9" s="69" t="s">
        <v>2289</v>
      </c>
      <c r="D9" s="68"/>
      <c r="E9" s="391">
        <v>46019</v>
      </c>
      <c r="F9" s="391">
        <v>46022</v>
      </c>
      <c r="G9" s="391">
        <v>45699</v>
      </c>
      <c r="H9" s="69" t="s">
        <v>2033</v>
      </c>
      <c r="I9" s="68" t="s">
        <v>1161</v>
      </c>
      <c r="J9" s="68" t="s">
        <v>3400</v>
      </c>
      <c r="K9" s="68" t="s">
        <v>811</v>
      </c>
      <c r="L9" s="68">
        <v>4898046080</v>
      </c>
    </row>
    <row r="10" spans="1:12" ht="31.8">
      <c r="A10" s="68" t="s">
        <v>10</v>
      </c>
      <c r="B10" s="68"/>
      <c r="C10" s="69" t="s">
        <v>3401</v>
      </c>
      <c r="D10" s="68"/>
      <c r="E10" s="391">
        <v>46022</v>
      </c>
      <c r="F10" s="391">
        <v>46026</v>
      </c>
      <c r="G10" s="391">
        <v>45865</v>
      </c>
      <c r="H10" s="68" t="s">
        <v>1165</v>
      </c>
      <c r="I10" s="68" t="s">
        <v>1354</v>
      </c>
      <c r="J10" s="68" t="s">
        <v>1354</v>
      </c>
      <c r="K10" s="68" t="s">
        <v>811</v>
      </c>
      <c r="L10" s="68">
        <v>6046483889</v>
      </c>
    </row>
    <row r="11" spans="1:12" ht="58.2">
      <c r="A11" s="68" t="s">
        <v>10</v>
      </c>
      <c r="B11" s="68"/>
      <c r="C11" s="69" t="s">
        <v>3319</v>
      </c>
      <c r="D11" s="68"/>
      <c r="E11" s="391">
        <v>46023</v>
      </c>
      <c r="F11" s="391">
        <v>46026</v>
      </c>
      <c r="G11" s="391">
        <v>45886</v>
      </c>
      <c r="H11" s="69" t="s">
        <v>2033</v>
      </c>
      <c r="I11" s="68" t="s">
        <v>3320</v>
      </c>
      <c r="J11" s="68" t="s">
        <v>3402</v>
      </c>
      <c r="K11" s="68" t="s">
        <v>811</v>
      </c>
      <c r="L11" s="68">
        <v>6236640289</v>
      </c>
    </row>
    <row r="12" spans="1:12" ht="31.8">
      <c r="A12" s="68" t="s">
        <v>10</v>
      </c>
      <c r="B12" s="68"/>
      <c r="C12" s="69" t="s">
        <v>3351</v>
      </c>
      <c r="D12" s="68"/>
      <c r="E12" s="391">
        <v>46113</v>
      </c>
      <c r="F12" s="391">
        <v>46119</v>
      </c>
      <c r="G12" s="391">
        <v>45890</v>
      </c>
      <c r="H12" s="69" t="s">
        <v>2033</v>
      </c>
      <c r="I12" s="68" t="s">
        <v>2264</v>
      </c>
      <c r="J12" s="68" t="s">
        <v>3403</v>
      </c>
      <c r="K12" s="68" t="s">
        <v>811</v>
      </c>
      <c r="L12" s="68">
        <v>6076436601</v>
      </c>
    </row>
    <row r="13" spans="1:12" ht="31.8">
      <c r="A13" s="68" t="s">
        <v>10</v>
      </c>
      <c r="B13" s="68"/>
      <c r="C13" s="69" t="s">
        <v>3404</v>
      </c>
      <c r="D13" s="68"/>
      <c r="E13" s="391">
        <v>46118</v>
      </c>
      <c r="F13" s="391">
        <v>46122</v>
      </c>
      <c r="G13" s="391">
        <v>45741</v>
      </c>
      <c r="H13" s="68" t="s">
        <v>1165</v>
      </c>
      <c r="I13" s="68" t="s">
        <v>1354</v>
      </c>
      <c r="J13" s="68" t="s">
        <v>1354</v>
      </c>
      <c r="K13" s="68" t="s">
        <v>811</v>
      </c>
      <c r="L13" s="68">
        <v>4377081698</v>
      </c>
    </row>
    <row r="14" spans="1:12" ht="45">
      <c r="A14" s="68" t="s">
        <v>10</v>
      </c>
      <c r="B14" s="68"/>
      <c r="C14" s="69" t="s">
        <v>3405</v>
      </c>
      <c r="D14" s="68"/>
      <c r="E14" s="391">
        <v>46179</v>
      </c>
      <c r="F14" s="391">
        <v>46182</v>
      </c>
      <c r="G14" s="391">
        <v>45826</v>
      </c>
      <c r="H14" s="68" t="s">
        <v>1165</v>
      </c>
      <c r="I14" s="68" t="s">
        <v>1354</v>
      </c>
      <c r="J14" s="68" t="s">
        <v>1354</v>
      </c>
      <c r="K14" s="68" t="s">
        <v>811</v>
      </c>
      <c r="L14" s="68">
        <v>6022510525</v>
      </c>
    </row>
    <row r="15" spans="1:12" ht="31.8">
      <c r="A15" s="68" t="s">
        <v>10</v>
      </c>
      <c r="B15" s="68"/>
      <c r="C15" s="69" t="s">
        <v>3259</v>
      </c>
      <c r="D15" s="68"/>
      <c r="E15" s="391">
        <v>46212</v>
      </c>
      <c r="F15" s="391">
        <v>46216</v>
      </c>
      <c r="G15" s="391">
        <v>45872</v>
      </c>
      <c r="H15" s="69" t="s">
        <v>2033</v>
      </c>
      <c r="I15" s="68" t="s">
        <v>3406</v>
      </c>
      <c r="J15" s="68" t="s">
        <v>3407</v>
      </c>
      <c r="K15" s="68" t="s">
        <v>811</v>
      </c>
      <c r="L15" s="68">
        <v>6493719146</v>
      </c>
    </row>
    <row r="16" spans="1:12" ht="45">
      <c r="A16" s="68" t="s">
        <v>10</v>
      </c>
      <c r="B16" s="68"/>
      <c r="C16" s="69" t="s">
        <v>3408</v>
      </c>
      <c r="D16" s="68"/>
      <c r="E16" s="391">
        <v>46228</v>
      </c>
      <c r="F16" s="391">
        <v>46231</v>
      </c>
      <c r="G16" s="391">
        <v>45827</v>
      </c>
      <c r="H16" s="69" t="s">
        <v>2033</v>
      </c>
      <c r="I16" s="68" t="s">
        <v>3041</v>
      </c>
      <c r="J16" s="68" t="s">
        <v>3409</v>
      </c>
      <c r="K16" s="68" t="s">
        <v>811</v>
      </c>
      <c r="L16" s="68">
        <v>6446376459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484DE-DB1F-4E24-B043-DCBC2F6C5D93}">
  <sheetPr codeName="Feuil9"/>
  <dimension ref="A1:X78"/>
  <sheetViews>
    <sheetView showGridLines="0" zoomScale="70" zoomScaleNormal="70" workbookViewId="0">
      <pane ySplit="2" topLeftCell="A18" activePane="bottomLeft" state="frozen"/>
      <selection pane="bottomLeft" activeCell="M3" sqref="M3:M67"/>
    </sheetView>
  </sheetViews>
  <sheetFormatPr baseColWidth="10" defaultColWidth="10.7109375" defaultRowHeight="24"/>
  <cols>
    <col min="1" max="1" width="10.7109375" customWidth="1"/>
    <col min="2" max="2" width="7.78515625" customWidth="1"/>
    <col min="5" max="5" width="10.7109375" style="2"/>
    <col min="7" max="7" width="10.7109375" style="2"/>
    <col min="8" max="8" width="11.7109375" customWidth="1"/>
    <col min="9" max="9" width="14.640625" style="2" customWidth="1"/>
    <col min="10" max="10" width="12.92578125" customWidth="1"/>
    <col min="11" max="11" width="6.640625" customWidth="1"/>
    <col min="12" max="12" width="15.0703125" customWidth="1"/>
    <col min="13" max="13" width="10.7109375" style="8" customWidth="1"/>
    <col min="14" max="14" width="11.2109375" customWidth="1"/>
    <col min="15" max="15" width="12.5703125" style="8" customWidth="1"/>
    <col min="16" max="16" width="11.7109375" customWidth="1"/>
    <col min="17" max="17" width="16.42578125" customWidth="1"/>
    <col min="18" max="18" width="10.7109375" style="8"/>
    <col min="20" max="20" width="7.42578125" customWidth="1"/>
    <col min="21" max="21" width="5.0703125" customWidth="1"/>
    <col min="22" max="22" width="6.0703125" customWidth="1"/>
    <col min="23" max="23" width="4.7109375" customWidth="1"/>
    <col min="24" max="24" width="11.2109375" customWidth="1"/>
  </cols>
  <sheetData>
    <row r="1" spans="1:24">
      <c r="A1" s="63"/>
      <c r="B1" s="63"/>
      <c r="C1" s="63"/>
      <c r="D1" s="63"/>
      <c r="E1" s="78"/>
      <c r="F1" s="63"/>
      <c r="G1" s="78"/>
      <c r="H1" s="63"/>
      <c r="I1" s="78"/>
      <c r="J1" s="63"/>
      <c r="K1" s="63"/>
      <c r="L1" s="63"/>
      <c r="M1" s="71"/>
      <c r="N1" s="63"/>
      <c r="O1" s="71"/>
      <c r="P1" s="63"/>
      <c r="Q1" s="63"/>
      <c r="R1" s="71"/>
      <c r="S1" s="63"/>
      <c r="T1" s="63"/>
      <c r="U1" s="63"/>
      <c r="V1" s="63"/>
      <c r="W1" s="63"/>
      <c r="X1" s="63"/>
    </row>
    <row r="2" spans="1:24" s="10" customFormat="1">
      <c r="A2" s="1024" t="s">
        <v>64</v>
      </c>
      <c r="B2" s="1025" t="s">
        <v>65</v>
      </c>
      <c r="C2" s="1026" t="s">
        <v>66</v>
      </c>
      <c r="D2" s="1027" t="s">
        <v>67</v>
      </c>
      <c r="E2" s="1025" t="s">
        <v>68</v>
      </c>
      <c r="F2" s="1025" t="s">
        <v>69</v>
      </c>
      <c r="G2" s="1025" t="s">
        <v>70</v>
      </c>
      <c r="H2" s="1025" t="s">
        <v>71</v>
      </c>
      <c r="I2" s="1025" t="s">
        <v>72</v>
      </c>
      <c r="J2" s="1025" t="s">
        <v>73</v>
      </c>
      <c r="K2" s="1025" t="s">
        <v>75</v>
      </c>
      <c r="L2" s="1025" t="s">
        <v>682</v>
      </c>
      <c r="M2" s="1025" t="s">
        <v>77</v>
      </c>
      <c r="N2" s="1028" t="s">
        <v>683</v>
      </c>
      <c r="O2" s="1025" t="s">
        <v>684</v>
      </c>
      <c r="P2" s="1028" t="s">
        <v>685</v>
      </c>
      <c r="Q2" s="1025" t="s">
        <v>78</v>
      </c>
      <c r="R2" s="1025" t="s">
        <v>79</v>
      </c>
      <c r="S2" s="1028" t="s">
        <v>80</v>
      </c>
      <c r="T2" s="1025" t="s">
        <v>686</v>
      </c>
      <c r="U2" s="1025" t="s">
        <v>82</v>
      </c>
      <c r="V2" s="1025" t="s">
        <v>83</v>
      </c>
      <c r="W2" s="1029" t="s">
        <v>84</v>
      </c>
      <c r="X2" s="1030" t="s">
        <v>85</v>
      </c>
    </row>
    <row r="3" spans="1:24">
      <c r="A3" s="1035" t="s">
        <v>10</v>
      </c>
      <c r="B3" s="1036" t="s">
        <v>88</v>
      </c>
      <c r="C3" s="1037">
        <v>46188</v>
      </c>
      <c r="D3" s="1038">
        <v>4</v>
      </c>
      <c r="E3" s="1036"/>
      <c r="F3" s="1036"/>
      <c r="G3" s="1036"/>
      <c r="H3" s="1036"/>
      <c r="I3" s="1036"/>
      <c r="J3" s="1036">
        <v>803.36</v>
      </c>
      <c r="K3" s="1036"/>
      <c r="L3" s="1036" t="s">
        <v>3280</v>
      </c>
      <c r="M3" s="1036" t="s">
        <v>86</v>
      </c>
      <c r="N3" s="1039" t="s">
        <v>97</v>
      </c>
      <c r="O3" s="1040">
        <v>45878</v>
      </c>
      <c r="P3" s="1041" t="s">
        <v>3281</v>
      </c>
      <c r="Q3" s="1042" t="s">
        <v>3282</v>
      </c>
      <c r="R3" s="1036" t="s">
        <v>3283</v>
      </c>
      <c r="S3" s="1041" t="s">
        <v>112</v>
      </c>
      <c r="T3" s="1043">
        <v>2</v>
      </c>
      <c r="U3" s="1036">
        <v>2</v>
      </c>
      <c r="V3" s="1036">
        <v>0</v>
      </c>
      <c r="W3" s="1044">
        <v>0</v>
      </c>
      <c r="X3" s="1045">
        <v>1166789474</v>
      </c>
    </row>
    <row r="4" spans="1:24">
      <c r="A4" s="927" t="s">
        <v>8</v>
      </c>
      <c r="B4" s="1046" t="s">
        <v>88</v>
      </c>
      <c r="C4" s="1047">
        <v>46107</v>
      </c>
      <c r="D4" s="1046">
        <v>8</v>
      </c>
      <c r="E4" s="1048"/>
      <c r="F4" s="1046"/>
      <c r="G4" s="1048"/>
      <c r="H4" s="1046"/>
      <c r="I4" s="1048"/>
      <c r="J4" s="1048">
        <v>1847.98</v>
      </c>
      <c r="K4" s="1046"/>
      <c r="L4" s="1046" t="s">
        <v>3121</v>
      </c>
      <c r="M4" s="1049" t="s">
        <v>86</v>
      </c>
      <c r="N4" s="1050" t="s">
        <v>89</v>
      </c>
      <c r="O4" s="1051">
        <v>45848</v>
      </c>
      <c r="P4" s="1049" t="s">
        <v>3122</v>
      </c>
      <c r="Q4" s="1046">
        <v>284583151</v>
      </c>
      <c r="R4" s="1049" t="s">
        <v>3123</v>
      </c>
      <c r="S4" s="1049" t="s">
        <v>3124</v>
      </c>
      <c r="T4" s="1046">
        <v>1</v>
      </c>
      <c r="U4" s="1046">
        <v>0</v>
      </c>
      <c r="V4" s="1046">
        <v>0</v>
      </c>
      <c r="W4" s="1052">
        <v>0</v>
      </c>
      <c r="X4" s="1046">
        <v>1148625188</v>
      </c>
    </row>
    <row r="5" spans="1:24">
      <c r="A5" s="927" t="s">
        <v>15</v>
      </c>
      <c r="B5" s="1046" t="s">
        <v>88</v>
      </c>
      <c r="C5" s="1047">
        <v>46037</v>
      </c>
      <c r="D5" s="1046">
        <v>43</v>
      </c>
      <c r="E5" s="1048"/>
      <c r="F5" s="1046"/>
      <c r="G5" s="1048"/>
      <c r="H5" s="1046"/>
      <c r="I5" s="1048"/>
      <c r="J5" s="1048">
        <v>0</v>
      </c>
      <c r="K5" s="1046"/>
      <c r="L5" s="1046" t="s">
        <v>2989</v>
      </c>
      <c r="M5" s="1049" t="s">
        <v>687</v>
      </c>
      <c r="N5" s="1050" t="s">
        <v>114</v>
      </c>
      <c r="O5" s="1051">
        <v>45821</v>
      </c>
      <c r="P5" s="1049"/>
      <c r="Q5" s="1046">
        <v>23952960</v>
      </c>
      <c r="R5" s="1049"/>
      <c r="S5" s="1049" t="s">
        <v>2990</v>
      </c>
      <c r="T5" s="1046">
        <v>2</v>
      </c>
      <c r="U5" s="1046">
        <v>0</v>
      </c>
      <c r="V5" s="1046">
        <v>0</v>
      </c>
      <c r="W5" s="1052">
        <v>0</v>
      </c>
      <c r="X5" s="1046">
        <v>1131538062</v>
      </c>
    </row>
    <row r="6" spans="1:24">
      <c r="A6" s="927" t="s">
        <v>8</v>
      </c>
      <c r="B6" s="1046" t="s">
        <v>88</v>
      </c>
      <c r="C6" s="1047">
        <v>46010</v>
      </c>
      <c r="D6" s="1046">
        <v>3</v>
      </c>
      <c r="E6" s="1048"/>
      <c r="F6" s="1046"/>
      <c r="G6" s="1048"/>
      <c r="H6" s="1046"/>
      <c r="I6" s="1048"/>
      <c r="J6" s="1048">
        <v>636.48</v>
      </c>
      <c r="K6" s="1046"/>
      <c r="L6" s="1046" t="s">
        <v>3068</v>
      </c>
      <c r="M6" s="1049" t="s">
        <v>86</v>
      </c>
      <c r="N6" s="1050" t="s">
        <v>89</v>
      </c>
      <c r="O6" s="1051">
        <v>45833</v>
      </c>
      <c r="P6" s="1049" t="s">
        <v>3069</v>
      </c>
      <c r="Q6" s="1046">
        <v>9473450</v>
      </c>
      <c r="R6" s="1049" t="s">
        <v>3070</v>
      </c>
      <c r="S6" s="1049" t="s">
        <v>2973</v>
      </c>
      <c r="T6" s="1046">
        <v>4</v>
      </c>
      <c r="U6" s="1046">
        <v>0</v>
      </c>
      <c r="V6" s="1046">
        <v>0</v>
      </c>
      <c r="W6" s="1052">
        <v>0</v>
      </c>
      <c r="X6" s="1046">
        <v>1138810608</v>
      </c>
    </row>
    <row r="7" spans="1:24">
      <c r="A7" s="927" t="s">
        <v>8</v>
      </c>
      <c r="B7" s="1046" t="s">
        <v>88</v>
      </c>
      <c r="C7" s="1047">
        <v>46008</v>
      </c>
      <c r="D7" s="1046">
        <v>2</v>
      </c>
      <c r="E7" s="1048"/>
      <c r="F7" s="1046"/>
      <c r="G7" s="1048"/>
      <c r="H7" s="1046"/>
      <c r="I7" s="1048"/>
      <c r="J7" s="1048">
        <v>316.33</v>
      </c>
      <c r="K7" s="1046"/>
      <c r="L7" s="1046" t="s">
        <v>3418</v>
      </c>
      <c r="M7" s="1049" t="s">
        <v>86</v>
      </c>
      <c r="N7" s="1050" t="s">
        <v>89</v>
      </c>
      <c r="O7" s="1051">
        <v>45904</v>
      </c>
      <c r="P7" s="1049" t="s">
        <v>3419</v>
      </c>
      <c r="Q7" s="1046">
        <v>170702666</v>
      </c>
      <c r="R7" s="1049" t="s">
        <v>3420</v>
      </c>
      <c r="S7" s="1049" t="s">
        <v>345</v>
      </c>
      <c r="T7" s="1046">
        <v>2</v>
      </c>
      <c r="U7" s="1046">
        <v>2</v>
      </c>
      <c r="V7" s="1046">
        <v>0</v>
      </c>
      <c r="W7" s="1052">
        <v>0</v>
      </c>
      <c r="X7" s="1046">
        <v>1181919454</v>
      </c>
    </row>
    <row r="8" spans="1:24">
      <c r="A8" s="927" t="s">
        <v>10</v>
      </c>
      <c r="B8" s="1046" t="s">
        <v>88</v>
      </c>
      <c r="C8" s="1047">
        <v>46002</v>
      </c>
      <c r="D8" s="1046">
        <v>3</v>
      </c>
      <c r="E8" s="1048"/>
      <c r="F8" s="1046"/>
      <c r="G8" s="1048"/>
      <c r="H8" s="1046"/>
      <c r="I8" s="1048"/>
      <c r="J8" s="1048">
        <v>0</v>
      </c>
      <c r="K8" s="1046"/>
      <c r="L8" s="1046" t="s">
        <v>2360</v>
      </c>
      <c r="M8" s="1049" t="s">
        <v>687</v>
      </c>
      <c r="N8" s="1050" t="s">
        <v>97</v>
      </c>
      <c r="O8" s="1051">
        <v>45705</v>
      </c>
      <c r="P8" s="1049"/>
      <c r="Q8" s="1046">
        <v>679335958</v>
      </c>
      <c r="R8" s="1049"/>
      <c r="S8" s="1049" t="s">
        <v>2361</v>
      </c>
      <c r="T8" s="1046">
        <v>2</v>
      </c>
      <c r="U8" s="1046">
        <v>2</v>
      </c>
      <c r="V8" s="1046">
        <v>0</v>
      </c>
      <c r="W8" s="1052">
        <v>0</v>
      </c>
      <c r="X8" s="1046">
        <v>1064801245</v>
      </c>
    </row>
    <row r="9" spans="1:24">
      <c r="A9" s="927" t="s">
        <v>15</v>
      </c>
      <c r="B9" s="1046" t="s">
        <v>88</v>
      </c>
      <c r="C9" s="1047">
        <v>46001</v>
      </c>
      <c r="D9" s="1046">
        <v>30</v>
      </c>
      <c r="E9" s="1048"/>
      <c r="F9" s="1046"/>
      <c r="G9" s="1048"/>
      <c r="H9" s="1046"/>
      <c r="I9" s="1048"/>
      <c r="J9" s="1048">
        <v>0</v>
      </c>
      <c r="K9" s="1046"/>
      <c r="L9" s="1046" t="s">
        <v>2955</v>
      </c>
      <c r="M9" s="1049" t="s">
        <v>687</v>
      </c>
      <c r="N9" s="1050" t="s">
        <v>114</v>
      </c>
      <c r="O9" s="1051">
        <v>45810</v>
      </c>
      <c r="P9" s="1049"/>
      <c r="Q9" s="1046">
        <v>672555910</v>
      </c>
      <c r="R9" s="1049"/>
      <c r="S9" s="1049" t="s">
        <v>122</v>
      </c>
      <c r="T9" s="1046">
        <v>2</v>
      </c>
      <c r="U9" s="1046">
        <v>0</v>
      </c>
      <c r="V9" s="1046">
        <v>0</v>
      </c>
      <c r="W9" s="1052">
        <v>0</v>
      </c>
      <c r="X9" s="1046">
        <v>1125000515</v>
      </c>
    </row>
    <row r="10" spans="1:24">
      <c r="A10" s="927" t="s">
        <v>10</v>
      </c>
      <c r="B10" s="1046" t="s">
        <v>88</v>
      </c>
      <c r="C10" s="1047">
        <v>45986</v>
      </c>
      <c r="D10" s="1046">
        <v>4</v>
      </c>
      <c r="E10" s="1048"/>
      <c r="F10" s="1046"/>
      <c r="G10" s="1048"/>
      <c r="H10" s="1046"/>
      <c r="I10" s="1048"/>
      <c r="J10" s="1048">
        <v>593.44000000000005</v>
      </c>
      <c r="K10" s="1046"/>
      <c r="L10" s="1046" t="s">
        <v>3169</v>
      </c>
      <c r="M10" s="1049" t="s">
        <v>86</v>
      </c>
      <c r="N10" s="1050" t="s">
        <v>97</v>
      </c>
      <c r="O10" s="1051">
        <v>45853</v>
      </c>
      <c r="P10" s="1049" t="s">
        <v>3170</v>
      </c>
      <c r="Q10" s="1046">
        <v>280018036</v>
      </c>
      <c r="R10" s="1049" t="s">
        <v>3171</v>
      </c>
      <c r="S10" s="1049" t="s">
        <v>3172</v>
      </c>
      <c r="T10" s="1046">
        <v>3</v>
      </c>
      <c r="U10" s="1046">
        <v>0</v>
      </c>
      <c r="V10" s="1046">
        <v>0</v>
      </c>
      <c r="W10" s="1052">
        <v>0</v>
      </c>
      <c r="X10" s="1046">
        <v>1151322092</v>
      </c>
    </row>
    <row r="11" spans="1:24">
      <c r="A11" s="506" t="s">
        <v>8</v>
      </c>
      <c r="B11" s="507" t="s">
        <v>88</v>
      </c>
      <c r="C11" s="1031">
        <v>45982</v>
      </c>
      <c r="D11" s="507">
        <v>6</v>
      </c>
      <c r="E11" s="446"/>
      <c r="F11" s="507"/>
      <c r="G11" s="446"/>
      <c r="H11" s="507"/>
      <c r="I11" s="446"/>
      <c r="J11" s="446">
        <v>1157.06</v>
      </c>
      <c r="K11" s="507"/>
      <c r="L11" s="507" t="s">
        <v>3570</v>
      </c>
      <c r="M11" s="509" t="s">
        <v>86</v>
      </c>
      <c r="N11" s="1032" t="s">
        <v>89</v>
      </c>
      <c r="O11" s="1033">
        <v>45910</v>
      </c>
      <c r="P11" s="509" t="s">
        <v>3530</v>
      </c>
      <c r="Q11" s="507">
        <v>183514485</v>
      </c>
      <c r="R11" s="509" t="s">
        <v>3571</v>
      </c>
      <c r="S11" s="509" t="s">
        <v>3572</v>
      </c>
      <c r="T11" s="507">
        <v>4</v>
      </c>
      <c r="U11" s="507">
        <v>0</v>
      </c>
      <c r="V11" s="507">
        <v>0</v>
      </c>
      <c r="W11" s="1034">
        <v>0</v>
      </c>
      <c r="X11" s="507">
        <v>1185168460</v>
      </c>
    </row>
    <row r="12" spans="1:24">
      <c r="A12" s="298" t="s">
        <v>10</v>
      </c>
      <c r="B12" s="299" t="s">
        <v>88</v>
      </c>
      <c r="C12" s="308">
        <v>45981</v>
      </c>
      <c r="D12" s="299">
        <v>3</v>
      </c>
      <c r="E12" s="300"/>
      <c r="F12" s="299"/>
      <c r="G12" s="300"/>
      <c r="H12" s="299"/>
      <c r="I12" s="300"/>
      <c r="J12" s="300">
        <v>442.56</v>
      </c>
      <c r="K12" s="299"/>
      <c r="L12" s="299" t="s">
        <v>3284</v>
      </c>
      <c r="M12" s="301" t="s">
        <v>86</v>
      </c>
      <c r="N12" s="311" t="s">
        <v>97</v>
      </c>
      <c r="O12" s="312">
        <v>45877</v>
      </c>
      <c r="P12" s="301" t="s">
        <v>3285</v>
      </c>
      <c r="Q12" s="299">
        <v>660675143</v>
      </c>
      <c r="R12" s="301" t="s">
        <v>3286</v>
      </c>
      <c r="S12" s="301" t="s">
        <v>3287</v>
      </c>
      <c r="T12" s="299">
        <v>3</v>
      </c>
      <c r="U12" s="299">
        <v>0</v>
      </c>
      <c r="V12" s="299">
        <v>0</v>
      </c>
      <c r="W12" s="302">
        <v>0</v>
      </c>
      <c r="X12" s="299">
        <v>1166768543</v>
      </c>
    </row>
    <row r="13" spans="1:24">
      <c r="A13" s="298" t="s">
        <v>10</v>
      </c>
      <c r="B13" s="299" t="s">
        <v>88</v>
      </c>
      <c r="C13" s="308">
        <v>45976</v>
      </c>
      <c r="D13" s="299">
        <v>5</v>
      </c>
      <c r="E13" s="300"/>
      <c r="F13" s="299"/>
      <c r="G13" s="300"/>
      <c r="H13" s="299"/>
      <c r="I13" s="300"/>
      <c r="J13" s="300">
        <v>0</v>
      </c>
      <c r="K13" s="299"/>
      <c r="L13" s="299" t="s">
        <v>2311</v>
      </c>
      <c r="M13" s="301" t="s">
        <v>687</v>
      </c>
      <c r="N13" s="311" t="s">
        <v>97</v>
      </c>
      <c r="O13" s="312">
        <v>45704</v>
      </c>
      <c r="P13" s="301"/>
      <c r="Q13" s="299">
        <v>154251925</v>
      </c>
      <c r="R13" s="301"/>
      <c r="S13" s="301" t="s">
        <v>2312</v>
      </c>
      <c r="T13" s="299">
        <v>2</v>
      </c>
      <c r="U13" s="299">
        <v>0</v>
      </c>
      <c r="V13" s="299">
        <v>1</v>
      </c>
      <c r="W13" s="302">
        <v>0</v>
      </c>
      <c r="X13" s="299">
        <v>1064028429</v>
      </c>
    </row>
    <row r="14" spans="1:24">
      <c r="A14" s="298" t="s">
        <v>8</v>
      </c>
      <c r="B14" s="299" t="s">
        <v>88</v>
      </c>
      <c r="C14" s="308">
        <v>45975</v>
      </c>
      <c r="D14" s="299">
        <v>15</v>
      </c>
      <c r="E14" s="300"/>
      <c r="F14" s="299"/>
      <c r="G14" s="300"/>
      <c r="H14" s="299"/>
      <c r="I14" s="300"/>
      <c r="J14" s="300">
        <v>0</v>
      </c>
      <c r="K14" s="299"/>
      <c r="L14" s="299" t="s">
        <v>1442</v>
      </c>
      <c r="M14" s="301" t="s">
        <v>687</v>
      </c>
      <c r="N14" s="311" t="s">
        <v>89</v>
      </c>
      <c r="O14" s="312">
        <v>45656</v>
      </c>
      <c r="P14" s="301"/>
      <c r="Q14" s="299">
        <v>3530967</v>
      </c>
      <c r="R14" s="301"/>
      <c r="S14" s="301" t="s">
        <v>341</v>
      </c>
      <c r="T14" s="299">
        <v>3</v>
      </c>
      <c r="U14" s="299">
        <v>0</v>
      </c>
      <c r="V14" s="299">
        <v>0</v>
      </c>
      <c r="W14" s="302">
        <v>0</v>
      </c>
      <c r="X14" s="299">
        <v>1037792242</v>
      </c>
    </row>
    <row r="15" spans="1:24">
      <c r="A15" s="298" t="s">
        <v>10</v>
      </c>
      <c r="B15" s="299" t="s">
        <v>88</v>
      </c>
      <c r="C15" s="308">
        <v>45973</v>
      </c>
      <c r="D15" s="299">
        <v>4</v>
      </c>
      <c r="E15" s="300"/>
      <c r="F15" s="299"/>
      <c r="G15" s="300"/>
      <c r="H15" s="299"/>
      <c r="I15" s="300"/>
      <c r="J15" s="300">
        <v>554.08000000000004</v>
      </c>
      <c r="K15" s="299"/>
      <c r="L15" s="299" t="s">
        <v>3195</v>
      </c>
      <c r="M15" s="301" t="s">
        <v>86</v>
      </c>
      <c r="N15" s="311" t="s">
        <v>97</v>
      </c>
      <c r="O15" s="312">
        <v>45858</v>
      </c>
      <c r="P15" s="301" t="s">
        <v>3196</v>
      </c>
      <c r="Q15" s="299">
        <v>6298836</v>
      </c>
      <c r="R15" s="301" t="s">
        <v>3197</v>
      </c>
      <c r="S15" s="301" t="s">
        <v>3198</v>
      </c>
      <c r="T15" s="299">
        <v>2</v>
      </c>
      <c r="U15" s="299">
        <v>0</v>
      </c>
      <c r="V15" s="299">
        <v>0</v>
      </c>
      <c r="W15" s="302">
        <v>0</v>
      </c>
      <c r="X15" s="299">
        <v>1154449675</v>
      </c>
    </row>
    <row r="16" spans="1:24">
      <c r="A16" s="298" t="s">
        <v>8</v>
      </c>
      <c r="B16" s="299" t="s">
        <v>88</v>
      </c>
      <c r="C16" s="308">
        <v>45967</v>
      </c>
      <c r="D16" s="299">
        <v>4</v>
      </c>
      <c r="E16" s="300"/>
      <c r="F16" s="299"/>
      <c r="G16" s="300"/>
      <c r="H16" s="299"/>
      <c r="I16" s="300"/>
      <c r="J16" s="300">
        <v>800.48</v>
      </c>
      <c r="K16" s="299"/>
      <c r="L16" s="299" t="s">
        <v>3309</v>
      </c>
      <c r="M16" s="301" t="s">
        <v>86</v>
      </c>
      <c r="N16" s="311" t="s">
        <v>89</v>
      </c>
      <c r="O16" s="312">
        <v>45884</v>
      </c>
      <c r="P16" s="301" t="s">
        <v>3310</v>
      </c>
      <c r="Q16" s="299">
        <v>271778354</v>
      </c>
      <c r="R16" s="301" t="s">
        <v>3311</v>
      </c>
      <c r="S16" s="301" t="s">
        <v>267</v>
      </c>
      <c r="T16" s="299">
        <v>2</v>
      </c>
      <c r="U16" s="299">
        <v>2</v>
      </c>
      <c r="V16" s="299">
        <v>0</v>
      </c>
      <c r="W16" s="302">
        <v>0</v>
      </c>
      <c r="X16" s="299">
        <v>1170688713</v>
      </c>
    </row>
    <row r="17" spans="1:24">
      <c r="A17" s="298" t="s">
        <v>15</v>
      </c>
      <c r="B17" s="299" t="s">
        <v>88</v>
      </c>
      <c r="C17" s="308">
        <v>45961</v>
      </c>
      <c r="D17" s="299">
        <v>33</v>
      </c>
      <c r="E17" s="300"/>
      <c r="F17" s="299"/>
      <c r="G17" s="300"/>
      <c r="H17" s="299"/>
      <c r="I17" s="300"/>
      <c r="J17" s="300">
        <v>1944.45</v>
      </c>
      <c r="K17" s="299"/>
      <c r="L17" s="299" t="s">
        <v>1712</v>
      </c>
      <c r="M17" s="301" t="s">
        <v>86</v>
      </c>
      <c r="N17" s="311" t="s">
        <v>114</v>
      </c>
      <c r="O17" s="312">
        <v>45671</v>
      </c>
      <c r="P17" s="301" t="s">
        <v>1713</v>
      </c>
      <c r="Q17" s="299">
        <v>28888727</v>
      </c>
      <c r="R17" s="301" t="s">
        <v>1714</v>
      </c>
      <c r="S17" s="301" t="s">
        <v>554</v>
      </c>
      <c r="T17" s="299">
        <v>2</v>
      </c>
      <c r="U17" s="299">
        <v>0</v>
      </c>
      <c r="V17" s="299">
        <v>0</v>
      </c>
      <c r="W17" s="302">
        <v>0</v>
      </c>
      <c r="X17" s="299">
        <v>1046148802</v>
      </c>
    </row>
    <row r="18" spans="1:24">
      <c r="A18" s="298" t="s">
        <v>10</v>
      </c>
      <c r="B18" s="299" t="s">
        <v>88</v>
      </c>
      <c r="C18" s="308">
        <v>45948</v>
      </c>
      <c r="D18" s="299">
        <v>7</v>
      </c>
      <c r="E18" s="300"/>
      <c r="F18" s="299"/>
      <c r="G18" s="300"/>
      <c r="H18" s="299"/>
      <c r="I18" s="300"/>
      <c r="J18" s="300">
        <v>1174.6600000000001</v>
      </c>
      <c r="K18" s="299"/>
      <c r="L18" s="299" t="s">
        <v>3219</v>
      </c>
      <c r="M18" s="301" t="s">
        <v>86</v>
      </c>
      <c r="N18" s="311" t="s">
        <v>97</v>
      </c>
      <c r="O18" s="312">
        <v>45864</v>
      </c>
      <c r="P18" s="301" t="s">
        <v>3220</v>
      </c>
      <c r="Q18" s="299">
        <v>491260232</v>
      </c>
      <c r="R18" s="301" t="s">
        <v>3221</v>
      </c>
      <c r="S18" s="301" t="s">
        <v>366</v>
      </c>
      <c r="T18" s="299">
        <v>2</v>
      </c>
      <c r="U18" s="299">
        <v>1</v>
      </c>
      <c r="V18" s="299">
        <v>0</v>
      </c>
      <c r="W18" s="302">
        <v>0</v>
      </c>
      <c r="X18" s="299">
        <v>1158434871</v>
      </c>
    </row>
    <row r="19" spans="1:24">
      <c r="A19" s="298" t="s">
        <v>8</v>
      </c>
      <c r="B19" s="299" t="s">
        <v>88</v>
      </c>
      <c r="C19" s="308">
        <v>45945</v>
      </c>
      <c r="D19" s="299">
        <v>7</v>
      </c>
      <c r="E19" s="300"/>
      <c r="F19" s="299"/>
      <c r="G19" s="300"/>
      <c r="H19" s="299"/>
      <c r="I19" s="300"/>
      <c r="J19" s="300">
        <v>1598.83</v>
      </c>
      <c r="K19" s="299"/>
      <c r="L19" s="299" t="s">
        <v>3084</v>
      </c>
      <c r="M19" s="301" t="s">
        <v>86</v>
      </c>
      <c r="N19" s="311" t="s">
        <v>89</v>
      </c>
      <c r="O19" s="312">
        <v>45841</v>
      </c>
      <c r="P19" s="301" t="s">
        <v>3085</v>
      </c>
      <c r="Q19" s="299">
        <v>307335188</v>
      </c>
      <c r="R19" s="301" t="s">
        <v>3086</v>
      </c>
      <c r="S19" s="301" t="s">
        <v>122</v>
      </c>
      <c r="T19" s="299">
        <v>2</v>
      </c>
      <c r="U19" s="299">
        <v>0</v>
      </c>
      <c r="V19" s="299">
        <v>0</v>
      </c>
      <c r="W19" s="302">
        <v>0</v>
      </c>
      <c r="X19" s="299">
        <v>1143879356</v>
      </c>
    </row>
    <row r="20" spans="1:24">
      <c r="A20" s="298" t="s">
        <v>10</v>
      </c>
      <c r="B20" s="299" t="s">
        <v>88</v>
      </c>
      <c r="C20" s="308">
        <v>45943</v>
      </c>
      <c r="D20" s="299">
        <v>4</v>
      </c>
      <c r="E20" s="300"/>
      <c r="F20" s="299"/>
      <c r="G20" s="300"/>
      <c r="H20" s="299"/>
      <c r="I20" s="300"/>
      <c r="J20" s="300">
        <v>777.12</v>
      </c>
      <c r="K20" s="299"/>
      <c r="L20" s="299" t="s">
        <v>2892</v>
      </c>
      <c r="M20" s="301" t="s">
        <v>86</v>
      </c>
      <c r="N20" s="311" t="s">
        <v>97</v>
      </c>
      <c r="O20" s="312">
        <v>45788</v>
      </c>
      <c r="P20" s="301" t="s">
        <v>2893</v>
      </c>
      <c r="Q20" s="299">
        <v>501659229</v>
      </c>
      <c r="R20" s="301" t="s">
        <v>2894</v>
      </c>
      <c r="S20" s="301" t="s">
        <v>213</v>
      </c>
      <c r="T20" s="299">
        <v>2</v>
      </c>
      <c r="U20" s="299">
        <v>2</v>
      </c>
      <c r="V20" s="299">
        <v>0</v>
      </c>
      <c r="W20" s="302">
        <v>0</v>
      </c>
      <c r="X20" s="299">
        <v>1112158430</v>
      </c>
    </row>
    <row r="21" spans="1:24">
      <c r="A21" s="298" t="s">
        <v>10</v>
      </c>
      <c r="B21" s="299" t="s">
        <v>88</v>
      </c>
      <c r="C21" s="308">
        <v>45936</v>
      </c>
      <c r="D21" s="299">
        <v>7</v>
      </c>
      <c r="E21" s="300"/>
      <c r="F21" s="299"/>
      <c r="G21" s="300"/>
      <c r="H21" s="299"/>
      <c r="I21" s="300"/>
      <c r="J21" s="300">
        <v>1174.6600000000001</v>
      </c>
      <c r="K21" s="299"/>
      <c r="L21" s="299" t="s">
        <v>3325</v>
      </c>
      <c r="M21" s="301" t="s">
        <v>86</v>
      </c>
      <c r="N21" s="311" t="s">
        <v>97</v>
      </c>
      <c r="O21" s="312">
        <v>45887</v>
      </c>
      <c r="P21" s="301" t="s">
        <v>3326</v>
      </c>
      <c r="Q21" s="299">
        <v>172742</v>
      </c>
      <c r="R21" s="301" t="s">
        <v>3327</v>
      </c>
      <c r="S21" s="301" t="s">
        <v>2973</v>
      </c>
      <c r="T21" s="299">
        <v>2</v>
      </c>
      <c r="U21" s="299">
        <v>1</v>
      </c>
      <c r="V21" s="299">
        <v>0</v>
      </c>
      <c r="W21" s="302">
        <v>0</v>
      </c>
      <c r="X21" s="299">
        <v>1171970876</v>
      </c>
    </row>
    <row r="22" spans="1:24">
      <c r="A22" s="298" t="s">
        <v>10</v>
      </c>
      <c r="B22" s="299" t="s">
        <v>88</v>
      </c>
      <c r="C22" s="308">
        <v>45936</v>
      </c>
      <c r="D22" s="299">
        <v>4</v>
      </c>
      <c r="E22" s="300"/>
      <c r="F22" s="299"/>
      <c r="G22" s="300"/>
      <c r="H22" s="299"/>
      <c r="I22" s="300"/>
      <c r="J22" s="300">
        <v>0</v>
      </c>
      <c r="K22" s="299"/>
      <c r="L22" s="299" t="s">
        <v>3099</v>
      </c>
      <c r="M22" s="301" t="s">
        <v>687</v>
      </c>
      <c r="N22" s="311" t="s">
        <v>97</v>
      </c>
      <c r="O22" s="312">
        <v>45843</v>
      </c>
      <c r="P22" s="301"/>
      <c r="Q22" s="299">
        <v>668649068</v>
      </c>
      <c r="R22" s="301"/>
      <c r="S22" s="301" t="s">
        <v>316</v>
      </c>
      <c r="T22" s="299">
        <v>2</v>
      </c>
      <c r="U22" s="299">
        <v>2</v>
      </c>
      <c r="V22" s="299">
        <v>0</v>
      </c>
      <c r="W22" s="302">
        <v>0</v>
      </c>
      <c r="X22" s="299">
        <v>1144898815</v>
      </c>
    </row>
    <row r="23" spans="1:24">
      <c r="A23" s="298" t="s">
        <v>15</v>
      </c>
      <c r="B23" s="299" t="s">
        <v>88</v>
      </c>
      <c r="C23" s="308">
        <v>45931</v>
      </c>
      <c r="D23" s="299">
        <v>30</v>
      </c>
      <c r="E23" s="300"/>
      <c r="F23" s="299"/>
      <c r="G23" s="300"/>
      <c r="H23" s="299"/>
      <c r="I23" s="300"/>
      <c r="J23" s="300">
        <v>1658.94</v>
      </c>
      <c r="K23" s="299"/>
      <c r="L23" s="299" t="s">
        <v>1116</v>
      </c>
      <c r="M23" s="301" t="s">
        <v>86</v>
      </c>
      <c r="N23" s="311" t="s">
        <v>114</v>
      </c>
      <c r="O23" s="312">
        <v>45605</v>
      </c>
      <c r="P23" s="301" t="s">
        <v>1117</v>
      </c>
      <c r="Q23" s="299">
        <v>133708</v>
      </c>
      <c r="R23" s="301" t="s">
        <v>1118</v>
      </c>
      <c r="S23" s="301" t="s">
        <v>1119</v>
      </c>
      <c r="T23" s="299">
        <v>2</v>
      </c>
      <c r="U23" s="299">
        <v>0</v>
      </c>
      <c r="V23" s="299">
        <v>0</v>
      </c>
      <c r="W23" s="302">
        <v>0</v>
      </c>
      <c r="X23" s="299">
        <v>1016825531</v>
      </c>
    </row>
    <row r="24" spans="1:24">
      <c r="A24" s="298" t="s">
        <v>10</v>
      </c>
      <c r="B24" s="299" t="s">
        <v>88</v>
      </c>
      <c r="C24" s="308">
        <v>45929</v>
      </c>
      <c r="D24" s="299">
        <v>3</v>
      </c>
      <c r="E24" s="300"/>
      <c r="F24" s="299"/>
      <c r="G24" s="300"/>
      <c r="H24" s="299"/>
      <c r="I24" s="300"/>
      <c r="J24" s="300">
        <v>521.28</v>
      </c>
      <c r="K24" s="299"/>
      <c r="L24" s="299" t="s">
        <v>3265</v>
      </c>
      <c r="M24" s="301" t="s">
        <v>86</v>
      </c>
      <c r="N24" s="311" t="s">
        <v>97</v>
      </c>
      <c r="O24" s="312">
        <v>45874</v>
      </c>
      <c r="P24" s="301" t="s">
        <v>3266</v>
      </c>
      <c r="Q24" s="299">
        <v>58380614</v>
      </c>
      <c r="R24" s="301" t="s">
        <v>3267</v>
      </c>
      <c r="S24" s="301" t="s">
        <v>127</v>
      </c>
      <c r="T24" s="299">
        <v>1</v>
      </c>
      <c r="U24" s="299">
        <v>0</v>
      </c>
      <c r="V24" s="299">
        <v>0</v>
      </c>
      <c r="W24" s="302">
        <v>0</v>
      </c>
      <c r="X24" s="299">
        <v>1164602641</v>
      </c>
    </row>
    <row r="25" spans="1:24">
      <c r="A25" s="298" t="s">
        <v>10</v>
      </c>
      <c r="B25" s="299" t="s">
        <v>88</v>
      </c>
      <c r="C25" s="308">
        <v>45921</v>
      </c>
      <c r="D25" s="299">
        <v>6</v>
      </c>
      <c r="E25" s="300"/>
      <c r="F25" s="299"/>
      <c r="G25" s="300"/>
      <c r="H25" s="299"/>
      <c r="I25" s="300"/>
      <c r="J25" s="300">
        <v>1111.68</v>
      </c>
      <c r="K25" s="299"/>
      <c r="L25" s="299" t="s">
        <v>2970</v>
      </c>
      <c r="M25" s="301" t="s">
        <v>86</v>
      </c>
      <c r="N25" s="311" t="s">
        <v>97</v>
      </c>
      <c r="O25" s="312">
        <v>45816</v>
      </c>
      <c r="P25" s="301" t="s">
        <v>2971</v>
      </c>
      <c r="Q25" s="299">
        <v>56340674</v>
      </c>
      <c r="R25" s="301" t="s">
        <v>2972</v>
      </c>
      <c r="S25" s="301" t="s">
        <v>2973</v>
      </c>
      <c r="T25" s="299">
        <v>3</v>
      </c>
      <c r="U25" s="299">
        <v>0</v>
      </c>
      <c r="V25" s="299">
        <v>0</v>
      </c>
      <c r="W25" s="302">
        <v>0</v>
      </c>
      <c r="X25" s="299">
        <v>1128798894</v>
      </c>
    </row>
    <row r="26" spans="1:24">
      <c r="A26" s="298" t="s">
        <v>8</v>
      </c>
      <c r="B26" s="299" t="s">
        <v>88</v>
      </c>
      <c r="C26" s="308">
        <v>45919</v>
      </c>
      <c r="D26" s="299">
        <v>16</v>
      </c>
      <c r="E26" s="300"/>
      <c r="F26" s="299"/>
      <c r="G26" s="300"/>
      <c r="H26" s="299"/>
      <c r="I26" s="300"/>
      <c r="J26" s="300">
        <v>3671.14</v>
      </c>
      <c r="K26" s="299"/>
      <c r="L26" s="299" t="s">
        <v>2341</v>
      </c>
      <c r="M26" s="301" t="s">
        <v>86</v>
      </c>
      <c r="N26" s="311" t="s">
        <v>89</v>
      </c>
      <c r="O26" s="312">
        <v>45704</v>
      </c>
      <c r="P26" s="301" t="s">
        <v>2342</v>
      </c>
      <c r="Q26" s="299">
        <v>113909009</v>
      </c>
      <c r="R26" s="301" t="s">
        <v>2343</v>
      </c>
      <c r="S26" s="301" t="s">
        <v>2344</v>
      </c>
      <c r="T26" s="299">
        <v>2</v>
      </c>
      <c r="U26" s="299">
        <v>2</v>
      </c>
      <c r="V26" s="299">
        <v>0</v>
      </c>
      <c r="W26" s="302">
        <v>0</v>
      </c>
      <c r="X26" s="299">
        <v>1064426225</v>
      </c>
    </row>
    <row r="27" spans="1:24">
      <c r="A27" s="298" t="s">
        <v>10</v>
      </c>
      <c r="B27" s="299" t="s">
        <v>88</v>
      </c>
      <c r="C27" s="308">
        <v>45916</v>
      </c>
      <c r="D27" s="299">
        <v>5</v>
      </c>
      <c r="E27" s="300"/>
      <c r="F27" s="299"/>
      <c r="G27" s="300"/>
      <c r="H27" s="299"/>
      <c r="I27" s="300"/>
      <c r="J27" s="300">
        <v>875.52</v>
      </c>
      <c r="K27" s="299"/>
      <c r="L27" s="299" t="s">
        <v>2965</v>
      </c>
      <c r="M27" s="301" t="s">
        <v>86</v>
      </c>
      <c r="N27" s="311" t="s">
        <v>97</v>
      </c>
      <c r="O27" s="312">
        <v>45814</v>
      </c>
      <c r="P27" s="301" t="s">
        <v>2966</v>
      </c>
      <c r="Q27" s="299">
        <v>18268136</v>
      </c>
      <c r="R27" s="301" t="s">
        <v>2967</v>
      </c>
      <c r="S27" s="301" t="s">
        <v>486</v>
      </c>
      <c r="T27" s="299">
        <v>2</v>
      </c>
      <c r="U27" s="299">
        <v>0</v>
      </c>
      <c r="V27" s="299">
        <v>0</v>
      </c>
      <c r="W27" s="302">
        <v>0</v>
      </c>
      <c r="X27" s="299">
        <v>1127370080</v>
      </c>
    </row>
    <row r="28" spans="1:24">
      <c r="A28" s="298" t="s">
        <v>10</v>
      </c>
      <c r="B28" s="299" t="s">
        <v>88</v>
      </c>
      <c r="C28" s="308">
        <v>45916</v>
      </c>
      <c r="D28" s="299">
        <v>5</v>
      </c>
      <c r="E28" s="300"/>
      <c r="F28" s="299"/>
      <c r="G28" s="300"/>
      <c r="H28" s="299"/>
      <c r="I28" s="300"/>
      <c r="J28" s="300">
        <v>0</v>
      </c>
      <c r="K28" s="299"/>
      <c r="L28" s="299" t="s">
        <v>2968</v>
      </c>
      <c r="M28" s="301" t="s">
        <v>687</v>
      </c>
      <c r="N28" s="311" t="s">
        <v>97</v>
      </c>
      <c r="O28" s="312">
        <v>45814</v>
      </c>
      <c r="P28" s="301"/>
      <c r="Q28" s="299">
        <v>18268136</v>
      </c>
      <c r="R28" s="301"/>
      <c r="S28" s="301" t="s">
        <v>486</v>
      </c>
      <c r="T28" s="299">
        <v>2</v>
      </c>
      <c r="U28" s="299">
        <v>0</v>
      </c>
      <c r="V28" s="299">
        <v>0</v>
      </c>
      <c r="W28" s="302">
        <v>0</v>
      </c>
      <c r="X28" s="299">
        <v>1127368582</v>
      </c>
    </row>
    <row r="29" spans="1:24">
      <c r="A29" s="298" t="s">
        <v>10</v>
      </c>
      <c r="B29" s="299" t="s">
        <v>88</v>
      </c>
      <c r="C29" s="308">
        <v>45912</v>
      </c>
      <c r="D29" s="299">
        <v>4</v>
      </c>
      <c r="E29" s="300"/>
      <c r="F29" s="299"/>
      <c r="G29" s="300"/>
      <c r="H29" s="299"/>
      <c r="I29" s="300"/>
      <c r="J29" s="300">
        <v>698.4</v>
      </c>
      <c r="K29" s="299"/>
      <c r="L29" s="299" t="s">
        <v>3091</v>
      </c>
      <c r="M29" s="301" t="s">
        <v>690</v>
      </c>
      <c r="N29" s="311" t="s">
        <v>97</v>
      </c>
      <c r="O29" s="312">
        <v>45843</v>
      </c>
      <c r="P29" s="301" t="s">
        <v>3092</v>
      </c>
      <c r="Q29" s="299">
        <v>20569778</v>
      </c>
      <c r="R29" s="301" t="s">
        <v>3093</v>
      </c>
      <c r="S29" s="301" t="s">
        <v>3094</v>
      </c>
      <c r="T29" s="299">
        <v>2</v>
      </c>
      <c r="U29" s="299">
        <v>0</v>
      </c>
      <c r="V29" s="299">
        <v>0</v>
      </c>
      <c r="W29" s="302">
        <v>0</v>
      </c>
      <c r="X29" s="299">
        <v>1144802054</v>
      </c>
    </row>
    <row r="30" spans="1:24">
      <c r="A30" s="298" t="s">
        <v>8</v>
      </c>
      <c r="B30" s="299" t="s">
        <v>88</v>
      </c>
      <c r="C30" s="308">
        <v>45911</v>
      </c>
      <c r="D30" s="299">
        <v>3</v>
      </c>
      <c r="E30" s="300"/>
      <c r="F30" s="299"/>
      <c r="G30" s="300"/>
      <c r="H30" s="299"/>
      <c r="I30" s="300"/>
      <c r="J30" s="300">
        <v>754.56</v>
      </c>
      <c r="K30" s="299"/>
      <c r="L30" s="299" t="s">
        <v>3157</v>
      </c>
      <c r="M30" s="301" t="s">
        <v>690</v>
      </c>
      <c r="N30" s="311" t="s">
        <v>89</v>
      </c>
      <c r="O30" s="312">
        <v>45852</v>
      </c>
      <c r="P30" s="301" t="s">
        <v>3158</v>
      </c>
      <c r="Q30" s="299">
        <v>426700392</v>
      </c>
      <c r="R30" s="301" t="s">
        <v>3159</v>
      </c>
      <c r="S30" s="301" t="s">
        <v>773</v>
      </c>
      <c r="T30" s="299">
        <v>3</v>
      </c>
      <c r="U30" s="299">
        <v>0</v>
      </c>
      <c r="V30" s="299">
        <v>0</v>
      </c>
      <c r="W30" s="302">
        <v>0</v>
      </c>
      <c r="X30" s="299">
        <v>1151072988</v>
      </c>
    </row>
    <row r="31" spans="1:24">
      <c r="A31" s="298" t="s">
        <v>10</v>
      </c>
      <c r="B31" s="299" t="s">
        <v>88</v>
      </c>
      <c r="C31" s="308">
        <v>45908</v>
      </c>
      <c r="D31" s="299">
        <v>3</v>
      </c>
      <c r="E31" s="300"/>
      <c r="F31" s="299"/>
      <c r="G31" s="300"/>
      <c r="H31" s="299"/>
      <c r="I31" s="300"/>
      <c r="J31" s="300">
        <v>521.28</v>
      </c>
      <c r="K31" s="299"/>
      <c r="L31" s="299" t="s">
        <v>3116</v>
      </c>
      <c r="M31" s="301" t="s">
        <v>691</v>
      </c>
      <c r="N31" s="311" t="s">
        <v>97</v>
      </c>
      <c r="O31" s="312">
        <v>45848</v>
      </c>
      <c r="P31" s="301" t="s">
        <v>3117</v>
      </c>
      <c r="Q31" s="299">
        <v>60075608</v>
      </c>
      <c r="R31" s="301" t="s">
        <v>3118</v>
      </c>
      <c r="S31" s="301" t="s">
        <v>3119</v>
      </c>
      <c r="T31" s="299">
        <v>2</v>
      </c>
      <c r="U31" s="299">
        <v>0</v>
      </c>
      <c r="V31" s="299">
        <v>0</v>
      </c>
      <c r="W31" s="302">
        <v>0</v>
      </c>
      <c r="X31" s="299">
        <v>1148410819</v>
      </c>
    </row>
    <row r="32" spans="1:24">
      <c r="A32" s="298" t="s">
        <v>10</v>
      </c>
      <c r="B32" s="299" t="s">
        <v>88</v>
      </c>
      <c r="C32" s="308">
        <v>45905</v>
      </c>
      <c r="D32" s="299">
        <v>3</v>
      </c>
      <c r="E32" s="300"/>
      <c r="F32" s="299"/>
      <c r="G32" s="300"/>
      <c r="H32" s="299"/>
      <c r="I32" s="300"/>
      <c r="J32" s="300">
        <v>432.72</v>
      </c>
      <c r="K32" s="299"/>
      <c r="L32" s="299" t="s">
        <v>3247</v>
      </c>
      <c r="M32" s="301" t="s">
        <v>691</v>
      </c>
      <c r="N32" s="311" t="s">
        <v>97</v>
      </c>
      <c r="O32" s="312">
        <v>45869</v>
      </c>
      <c r="P32" s="301" t="s">
        <v>3248</v>
      </c>
      <c r="Q32" s="299">
        <v>353337913</v>
      </c>
      <c r="R32" s="301" t="s">
        <v>3249</v>
      </c>
      <c r="S32" s="301" t="s">
        <v>3250</v>
      </c>
      <c r="T32" s="299">
        <v>2</v>
      </c>
      <c r="U32" s="299">
        <v>0</v>
      </c>
      <c r="V32" s="299">
        <v>0</v>
      </c>
      <c r="W32" s="302">
        <v>0</v>
      </c>
      <c r="X32" s="299">
        <v>1161198677</v>
      </c>
    </row>
    <row r="33" spans="1:24">
      <c r="A33" s="298" t="s">
        <v>10</v>
      </c>
      <c r="B33" s="299" t="s">
        <v>88</v>
      </c>
      <c r="C33" s="308">
        <v>45905</v>
      </c>
      <c r="D33" s="299">
        <v>3</v>
      </c>
      <c r="E33" s="300"/>
      <c r="F33" s="299"/>
      <c r="G33" s="300"/>
      <c r="H33" s="299"/>
      <c r="I33" s="300"/>
      <c r="J33" s="300">
        <v>0</v>
      </c>
      <c r="K33" s="299"/>
      <c r="L33" s="299" t="s">
        <v>3111</v>
      </c>
      <c r="M33" s="301" t="s">
        <v>687</v>
      </c>
      <c r="N33" s="311" t="s">
        <v>97</v>
      </c>
      <c r="O33" s="312">
        <v>45847</v>
      </c>
      <c r="P33" s="301"/>
      <c r="Q33" s="299">
        <v>260143928</v>
      </c>
      <c r="R33" s="301"/>
      <c r="S33" s="301" t="s">
        <v>122</v>
      </c>
      <c r="T33" s="299">
        <v>3</v>
      </c>
      <c r="U33" s="299">
        <v>0</v>
      </c>
      <c r="V33" s="299">
        <v>0</v>
      </c>
      <c r="W33" s="302">
        <v>0</v>
      </c>
      <c r="X33" s="299">
        <v>1147411813</v>
      </c>
    </row>
    <row r="34" spans="1:24">
      <c r="A34" s="298" t="s">
        <v>15</v>
      </c>
      <c r="B34" s="299" t="s">
        <v>88</v>
      </c>
      <c r="C34" s="308">
        <v>45901</v>
      </c>
      <c r="D34" s="299">
        <v>394</v>
      </c>
      <c r="E34" s="300"/>
      <c r="F34" s="299"/>
      <c r="G34" s="300"/>
      <c r="H34" s="299"/>
      <c r="I34" s="300"/>
      <c r="J34" s="300">
        <v>0</v>
      </c>
      <c r="K34" s="299"/>
      <c r="L34" s="299" t="s">
        <v>1019</v>
      </c>
      <c r="M34" s="301" t="s">
        <v>687</v>
      </c>
      <c r="N34" s="311" t="s">
        <v>114</v>
      </c>
      <c r="O34" s="312">
        <v>45578</v>
      </c>
      <c r="P34" s="301"/>
      <c r="Q34" s="299">
        <v>438564240</v>
      </c>
      <c r="R34" s="301"/>
      <c r="S34" s="301" t="s">
        <v>108</v>
      </c>
      <c r="T34" s="299">
        <v>1</v>
      </c>
      <c r="U34" s="299">
        <v>0</v>
      </c>
      <c r="V34" s="299">
        <v>0</v>
      </c>
      <c r="W34" s="302">
        <v>0</v>
      </c>
      <c r="X34" s="299">
        <v>1004836086</v>
      </c>
    </row>
    <row r="35" spans="1:24">
      <c r="A35" s="298" t="s">
        <v>10</v>
      </c>
      <c r="B35" s="299" t="s">
        <v>88</v>
      </c>
      <c r="C35" s="308">
        <v>45900</v>
      </c>
      <c r="D35" s="299">
        <v>5</v>
      </c>
      <c r="E35" s="300"/>
      <c r="F35" s="299"/>
      <c r="G35" s="300"/>
      <c r="H35" s="299"/>
      <c r="I35" s="300"/>
      <c r="J35" s="300">
        <v>806.64</v>
      </c>
      <c r="K35" s="299"/>
      <c r="L35" s="299" t="s">
        <v>2974</v>
      </c>
      <c r="M35" s="301" t="s">
        <v>691</v>
      </c>
      <c r="N35" s="311" t="s">
        <v>97</v>
      </c>
      <c r="O35" s="312">
        <v>45817</v>
      </c>
      <c r="P35" s="301" t="s">
        <v>2975</v>
      </c>
      <c r="Q35" s="299">
        <v>54271717</v>
      </c>
      <c r="R35" s="301" t="s">
        <v>2976</v>
      </c>
      <c r="S35" s="301" t="s">
        <v>2977</v>
      </c>
      <c r="T35" s="299">
        <v>2</v>
      </c>
      <c r="U35" s="299">
        <v>0</v>
      </c>
      <c r="V35" s="299">
        <v>0</v>
      </c>
      <c r="W35" s="302">
        <v>0</v>
      </c>
      <c r="X35" s="299">
        <v>1129182024</v>
      </c>
    </row>
    <row r="36" spans="1:24">
      <c r="A36" s="298" t="s">
        <v>10</v>
      </c>
      <c r="B36" s="299" t="s">
        <v>88</v>
      </c>
      <c r="C36" s="308">
        <v>45898</v>
      </c>
      <c r="D36" s="299">
        <v>2</v>
      </c>
      <c r="E36" s="300"/>
      <c r="F36" s="299"/>
      <c r="G36" s="300"/>
      <c r="H36" s="299"/>
      <c r="I36" s="300"/>
      <c r="J36" s="300">
        <v>99.92</v>
      </c>
      <c r="K36" s="299"/>
      <c r="L36" s="299" t="s">
        <v>3354</v>
      </c>
      <c r="M36" s="301" t="s">
        <v>687</v>
      </c>
      <c r="N36" s="311" t="s">
        <v>97</v>
      </c>
      <c r="O36" s="312">
        <v>45890</v>
      </c>
      <c r="P36" s="301"/>
      <c r="Q36" s="299">
        <v>183152700</v>
      </c>
      <c r="R36" s="301"/>
      <c r="S36" s="301" t="s">
        <v>3287</v>
      </c>
      <c r="T36" s="299">
        <v>2</v>
      </c>
      <c r="U36" s="299">
        <v>0</v>
      </c>
      <c r="V36" s="299">
        <v>0</v>
      </c>
      <c r="W36" s="302">
        <v>0</v>
      </c>
      <c r="X36" s="299">
        <v>1174165134</v>
      </c>
    </row>
    <row r="37" spans="1:24">
      <c r="A37" s="298" t="s">
        <v>8</v>
      </c>
      <c r="B37" s="299" t="s">
        <v>88</v>
      </c>
      <c r="C37" s="308">
        <v>45897</v>
      </c>
      <c r="D37" s="299">
        <v>6</v>
      </c>
      <c r="E37" s="300"/>
      <c r="F37" s="299"/>
      <c r="G37" s="300"/>
      <c r="H37" s="299"/>
      <c r="I37" s="300"/>
      <c r="J37" s="300">
        <v>1364.64</v>
      </c>
      <c r="K37" s="299"/>
      <c r="L37" s="299" t="s">
        <v>2978</v>
      </c>
      <c r="M37" s="301" t="s">
        <v>691</v>
      </c>
      <c r="N37" s="311" t="s">
        <v>89</v>
      </c>
      <c r="O37" s="312">
        <v>45816</v>
      </c>
      <c r="P37" s="301" t="s">
        <v>2979</v>
      </c>
      <c r="Q37" s="299">
        <v>15246452</v>
      </c>
      <c r="R37" s="301" t="s">
        <v>2980</v>
      </c>
      <c r="S37" s="301" t="s">
        <v>122</v>
      </c>
      <c r="T37" s="299">
        <v>4</v>
      </c>
      <c r="U37" s="299">
        <v>0</v>
      </c>
      <c r="V37" s="299">
        <v>0</v>
      </c>
      <c r="W37" s="302">
        <v>0</v>
      </c>
      <c r="X37" s="299">
        <v>1128703158</v>
      </c>
    </row>
    <row r="38" spans="1:24">
      <c r="A38" s="298" t="s">
        <v>10</v>
      </c>
      <c r="B38" s="299" t="s">
        <v>88</v>
      </c>
      <c r="C38" s="308">
        <v>45892</v>
      </c>
      <c r="D38" s="299">
        <v>6</v>
      </c>
      <c r="E38" s="300"/>
      <c r="F38" s="299"/>
      <c r="G38" s="300"/>
      <c r="H38" s="299"/>
      <c r="I38" s="300"/>
      <c r="J38" s="300">
        <v>954.24</v>
      </c>
      <c r="K38" s="299"/>
      <c r="L38" s="299" t="s">
        <v>2918</v>
      </c>
      <c r="M38" s="301" t="s">
        <v>691</v>
      </c>
      <c r="N38" s="311" t="s">
        <v>97</v>
      </c>
      <c r="O38" s="312">
        <v>45797</v>
      </c>
      <c r="P38" s="301" t="s">
        <v>2919</v>
      </c>
      <c r="Q38" s="299">
        <v>87299703</v>
      </c>
      <c r="R38" s="301"/>
      <c r="S38" s="301" t="s">
        <v>2921</v>
      </c>
      <c r="T38" s="299">
        <v>2</v>
      </c>
      <c r="U38" s="299">
        <v>0</v>
      </c>
      <c r="V38" s="299">
        <v>0</v>
      </c>
      <c r="W38" s="302">
        <v>0</v>
      </c>
      <c r="X38" s="299">
        <v>1116899787</v>
      </c>
    </row>
    <row r="39" spans="1:24">
      <c r="A39" s="298" t="s">
        <v>8</v>
      </c>
      <c r="B39" s="299" t="s">
        <v>88</v>
      </c>
      <c r="C39" s="308">
        <v>45890</v>
      </c>
      <c r="D39" s="299">
        <v>6</v>
      </c>
      <c r="E39" s="300"/>
      <c r="F39" s="299"/>
      <c r="G39" s="300"/>
      <c r="H39" s="299"/>
      <c r="I39" s="300"/>
      <c r="J39" s="300">
        <v>1390.88</v>
      </c>
      <c r="K39" s="299"/>
      <c r="L39" s="299" t="s">
        <v>3142</v>
      </c>
      <c r="M39" s="301" t="s">
        <v>691</v>
      </c>
      <c r="N39" s="311" t="s">
        <v>89</v>
      </c>
      <c r="O39" s="312">
        <v>45852</v>
      </c>
      <c r="P39" s="301" t="s">
        <v>3143</v>
      </c>
      <c r="Q39" s="299">
        <v>582734</v>
      </c>
      <c r="R39" s="301"/>
      <c r="S39" s="301" t="s">
        <v>127</v>
      </c>
      <c r="T39" s="299">
        <v>2</v>
      </c>
      <c r="U39" s="299">
        <v>2</v>
      </c>
      <c r="V39" s="299">
        <v>0</v>
      </c>
      <c r="W39" s="302">
        <v>0</v>
      </c>
      <c r="X39" s="299">
        <v>1150596754</v>
      </c>
    </row>
    <row r="40" spans="1:24">
      <c r="A40" s="298" t="s">
        <v>10</v>
      </c>
      <c r="B40" s="299" t="s">
        <v>88</v>
      </c>
      <c r="C40" s="308">
        <v>45886</v>
      </c>
      <c r="D40" s="299">
        <v>4</v>
      </c>
      <c r="E40" s="300"/>
      <c r="F40" s="299"/>
      <c r="G40" s="300"/>
      <c r="H40" s="299"/>
      <c r="I40" s="300"/>
      <c r="J40" s="300">
        <v>632.79999999999995</v>
      </c>
      <c r="K40" s="299"/>
      <c r="L40" s="299" t="s">
        <v>2355</v>
      </c>
      <c r="M40" s="301" t="s">
        <v>691</v>
      </c>
      <c r="N40" s="311" t="s">
        <v>97</v>
      </c>
      <c r="O40" s="312">
        <v>45705</v>
      </c>
      <c r="P40" s="301" t="s">
        <v>886</v>
      </c>
      <c r="Q40" s="299">
        <v>206251893</v>
      </c>
      <c r="R40" s="301"/>
      <c r="S40" s="301" t="s">
        <v>888</v>
      </c>
      <c r="T40" s="299">
        <v>2</v>
      </c>
      <c r="U40" s="299">
        <v>0</v>
      </c>
      <c r="V40" s="299">
        <v>0</v>
      </c>
      <c r="W40" s="302">
        <v>0</v>
      </c>
      <c r="X40" s="299">
        <v>1064669490</v>
      </c>
    </row>
    <row r="41" spans="1:24">
      <c r="A41" s="298" t="s">
        <v>10</v>
      </c>
      <c r="B41" s="299" t="s">
        <v>88</v>
      </c>
      <c r="C41" s="308">
        <v>45884</v>
      </c>
      <c r="D41" s="299">
        <v>2</v>
      </c>
      <c r="E41" s="300"/>
      <c r="F41" s="299"/>
      <c r="G41" s="300"/>
      <c r="H41" s="299"/>
      <c r="I41" s="300"/>
      <c r="J41" s="300">
        <v>278.56</v>
      </c>
      <c r="K41" s="299"/>
      <c r="L41" s="299" t="s">
        <v>3242</v>
      </c>
      <c r="M41" s="301" t="s">
        <v>691</v>
      </c>
      <c r="N41" s="311" t="s">
        <v>97</v>
      </c>
      <c r="O41" s="312">
        <v>45868</v>
      </c>
      <c r="P41" s="301" t="s">
        <v>3243</v>
      </c>
      <c r="Q41" s="299">
        <v>706334098</v>
      </c>
      <c r="R41" s="301"/>
      <c r="S41" s="301" t="s">
        <v>36</v>
      </c>
      <c r="T41" s="299">
        <v>2</v>
      </c>
      <c r="U41" s="299">
        <v>2</v>
      </c>
      <c r="V41" s="299">
        <v>0</v>
      </c>
      <c r="W41" s="302">
        <v>0</v>
      </c>
      <c r="X41" s="299">
        <v>1160856908</v>
      </c>
    </row>
    <row r="42" spans="1:24">
      <c r="A42" s="298" t="s">
        <v>8</v>
      </c>
      <c r="B42" s="299" t="s">
        <v>88</v>
      </c>
      <c r="C42" s="308">
        <v>45882</v>
      </c>
      <c r="D42" s="299">
        <v>5</v>
      </c>
      <c r="E42" s="300"/>
      <c r="F42" s="299"/>
      <c r="G42" s="300"/>
      <c r="H42" s="299"/>
      <c r="I42" s="300"/>
      <c r="J42" s="300">
        <v>0</v>
      </c>
      <c r="K42" s="299"/>
      <c r="L42" s="299" t="s">
        <v>2272</v>
      </c>
      <c r="M42" s="301" t="s">
        <v>687</v>
      </c>
      <c r="N42" s="311" t="s">
        <v>89</v>
      </c>
      <c r="O42" s="312">
        <v>45695</v>
      </c>
      <c r="P42" s="301"/>
      <c r="Q42" s="299">
        <v>458296514</v>
      </c>
      <c r="R42" s="301"/>
      <c r="S42" s="301" t="s">
        <v>2273</v>
      </c>
      <c r="T42" s="299">
        <v>5</v>
      </c>
      <c r="U42" s="299">
        <v>0</v>
      </c>
      <c r="V42" s="299">
        <v>0</v>
      </c>
      <c r="W42" s="302">
        <v>0</v>
      </c>
      <c r="X42" s="299">
        <v>1059143872</v>
      </c>
    </row>
    <row r="43" spans="1:24">
      <c r="A43" s="298" t="s">
        <v>8</v>
      </c>
      <c r="B43" s="299" t="s">
        <v>88</v>
      </c>
      <c r="C43" s="308">
        <v>45882</v>
      </c>
      <c r="D43" s="299">
        <v>3</v>
      </c>
      <c r="E43" s="300"/>
      <c r="F43" s="299"/>
      <c r="G43" s="300"/>
      <c r="H43" s="299"/>
      <c r="I43" s="300"/>
      <c r="J43" s="300">
        <v>636.48</v>
      </c>
      <c r="K43" s="299"/>
      <c r="L43" s="299" t="s">
        <v>3138</v>
      </c>
      <c r="M43" s="301" t="s">
        <v>691</v>
      </c>
      <c r="N43" s="311" t="s">
        <v>89</v>
      </c>
      <c r="O43" s="312">
        <v>45851</v>
      </c>
      <c r="P43" s="301" t="s">
        <v>3139</v>
      </c>
      <c r="Q43" s="299">
        <v>93349530</v>
      </c>
      <c r="R43" s="301"/>
      <c r="S43" s="301" t="s">
        <v>393</v>
      </c>
      <c r="T43" s="299">
        <v>4</v>
      </c>
      <c r="U43" s="299">
        <v>0</v>
      </c>
      <c r="V43" s="299">
        <v>0</v>
      </c>
      <c r="W43" s="302">
        <v>0</v>
      </c>
      <c r="X43" s="299">
        <v>1150221562</v>
      </c>
    </row>
    <row r="44" spans="1:24">
      <c r="A44" s="298" t="s">
        <v>10</v>
      </c>
      <c r="B44" s="299" t="s">
        <v>88</v>
      </c>
      <c r="C44" s="308">
        <v>45882</v>
      </c>
      <c r="D44" s="299">
        <v>3</v>
      </c>
      <c r="E44" s="300"/>
      <c r="F44" s="299"/>
      <c r="G44" s="300"/>
      <c r="H44" s="299"/>
      <c r="I44" s="300"/>
      <c r="J44" s="300">
        <v>0</v>
      </c>
      <c r="K44" s="299"/>
      <c r="L44" s="299" t="s">
        <v>2961</v>
      </c>
      <c r="M44" s="301" t="s">
        <v>687</v>
      </c>
      <c r="N44" s="311" t="s">
        <v>97</v>
      </c>
      <c r="O44" s="312">
        <v>45813</v>
      </c>
      <c r="P44" s="301"/>
      <c r="Q44" s="299">
        <v>16955178</v>
      </c>
      <c r="R44" s="301"/>
      <c r="S44" s="301" t="s">
        <v>2962</v>
      </c>
      <c r="T44" s="299">
        <v>1</v>
      </c>
      <c r="U44" s="299">
        <v>2</v>
      </c>
      <c r="V44" s="299">
        <v>0</v>
      </c>
      <c r="W44" s="302">
        <v>0</v>
      </c>
      <c r="X44" s="299">
        <v>1126923071</v>
      </c>
    </row>
    <row r="45" spans="1:24">
      <c r="A45" s="298" t="s">
        <v>10</v>
      </c>
      <c r="B45" s="299" t="s">
        <v>88</v>
      </c>
      <c r="C45" s="308">
        <v>45881</v>
      </c>
      <c r="D45" s="299">
        <v>3</v>
      </c>
      <c r="E45" s="300"/>
      <c r="F45" s="299"/>
      <c r="G45" s="300"/>
      <c r="H45" s="299"/>
      <c r="I45" s="300"/>
      <c r="J45" s="300">
        <v>452.4</v>
      </c>
      <c r="K45" s="299"/>
      <c r="L45" s="299" t="s">
        <v>3145</v>
      </c>
      <c r="M45" s="301" t="s">
        <v>687</v>
      </c>
      <c r="N45" s="311" t="s">
        <v>97</v>
      </c>
      <c r="O45" s="312">
        <v>45852</v>
      </c>
      <c r="P45" s="301"/>
      <c r="Q45" s="299">
        <v>2547797</v>
      </c>
      <c r="R45" s="301"/>
      <c r="S45" s="301" t="s">
        <v>122</v>
      </c>
      <c r="T45" s="299">
        <v>2</v>
      </c>
      <c r="U45" s="299">
        <v>1</v>
      </c>
      <c r="V45" s="299">
        <v>0</v>
      </c>
      <c r="W45" s="302">
        <v>0</v>
      </c>
      <c r="X45" s="299">
        <v>1150611524</v>
      </c>
    </row>
    <row r="46" spans="1:24">
      <c r="A46" s="298" t="s">
        <v>13</v>
      </c>
      <c r="B46" s="299" t="s">
        <v>88</v>
      </c>
      <c r="C46" s="308">
        <v>45878</v>
      </c>
      <c r="D46" s="299">
        <v>7</v>
      </c>
      <c r="E46" s="300"/>
      <c r="F46" s="299"/>
      <c r="G46" s="300"/>
      <c r="H46" s="299"/>
      <c r="I46" s="300"/>
      <c r="J46" s="300">
        <v>2366.2399999999998</v>
      </c>
      <c r="K46" s="299"/>
      <c r="L46" s="299" t="s">
        <v>2697</v>
      </c>
      <c r="M46" s="301" t="s">
        <v>691</v>
      </c>
      <c r="N46" s="311" t="s">
        <v>143</v>
      </c>
      <c r="O46" s="312">
        <v>45732</v>
      </c>
      <c r="P46" s="301" t="s">
        <v>2824</v>
      </c>
      <c r="Q46" s="299">
        <v>4781117</v>
      </c>
      <c r="R46" s="301"/>
      <c r="S46" s="301" t="s">
        <v>2698</v>
      </c>
      <c r="T46" s="299">
        <v>5</v>
      </c>
      <c r="U46" s="299">
        <v>1</v>
      </c>
      <c r="V46" s="299">
        <v>0</v>
      </c>
      <c r="W46" s="302">
        <v>0</v>
      </c>
      <c r="X46" s="299">
        <v>1079969411</v>
      </c>
    </row>
    <row r="47" spans="1:24">
      <c r="A47" s="298" t="s">
        <v>15</v>
      </c>
      <c r="B47" s="299" t="s">
        <v>88</v>
      </c>
      <c r="C47" s="308">
        <v>45874</v>
      </c>
      <c r="D47" s="299">
        <v>56</v>
      </c>
      <c r="E47" s="300"/>
      <c r="F47" s="299"/>
      <c r="G47" s="300"/>
      <c r="H47" s="299"/>
      <c r="I47" s="300"/>
      <c r="J47" s="300">
        <v>3312.68</v>
      </c>
      <c r="K47" s="299"/>
      <c r="L47" s="299" t="s">
        <v>1688</v>
      </c>
      <c r="M47" s="301" t="s">
        <v>690</v>
      </c>
      <c r="N47" s="311" t="s">
        <v>114</v>
      </c>
      <c r="O47" s="312">
        <v>45670</v>
      </c>
      <c r="P47" s="301" t="s">
        <v>1689</v>
      </c>
      <c r="Q47" s="299">
        <v>182312755</v>
      </c>
      <c r="R47" s="301" t="s">
        <v>1690</v>
      </c>
      <c r="S47" s="301" t="s">
        <v>486</v>
      </c>
      <c r="T47" s="299">
        <v>2</v>
      </c>
      <c r="U47" s="299">
        <v>0</v>
      </c>
      <c r="V47" s="299">
        <v>0</v>
      </c>
      <c r="W47" s="302">
        <v>0</v>
      </c>
      <c r="X47" s="299">
        <v>1045672685</v>
      </c>
    </row>
    <row r="48" spans="1:24">
      <c r="A48" s="298" t="s">
        <v>10</v>
      </c>
      <c r="B48" s="299" t="s">
        <v>88</v>
      </c>
      <c r="C48" s="308">
        <v>45871</v>
      </c>
      <c r="D48" s="299">
        <v>7</v>
      </c>
      <c r="E48" s="300"/>
      <c r="F48" s="299"/>
      <c r="G48" s="300"/>
      <c r="H48" s="299"/>
      <c r="I48" s="300"/>
      <c r="J48" s="300">
        <v>1002.46</v>
      </c>
      <c r="K48" s="299"/>
      <c r="L48" s="299" t="s">
        <v>2864</v>
      </c>
      <c r="M48" s="301" t="s">
        <v>691</v>
      </c>
      <c r="N48" s="311" t="s">
        <v>97</v>
      </c>
      <c r="O48" s="312">
        <v>45778</v>
      </c>
      <c r="P48" s="301" t="s">
        <v>2865</v>
      </c>
      <c r="Q48" s="299">
        <v>542354220</v>
      </c>
      <c r="R48" s="301"/>
      <c r="S48" s="301" t="s">
        <v>2866</v>
      </c>
      <c r="T48" s="299">
        <v>2</v>
      </c>
      <c r="U48" s="299">
        <v>0</v>
      </c>
      <c r="V48" s="299">
        <v>0</v>
      </c>
      <c r="W48" s="302">
        <v>0</v>
      </c>
      <c r="X48" s="299">
        <v>1106122370</v>
      </c>
    </row>
    <row r="49" spans="1:24">
      <c r="A49" s="298" t="s">
        <v>10</v>
      </c>
      <c r="B49" s="299" t="s">
        <v>88</v>
      </c>
      <c r="C49" s="308">
        <v>45868</v>
      </c>
      <c r="D49" s="299">
        <v>3</v>
      </c>
      <c r="E49" s="300"/>
      <c r="F49" s="299"/>
      <c r="G49" s="300"/>
      <c r="H49" s="299"/>
      <c r="I49" s="300"/>
      <c r="J49" s="300">
        <v>0</v>
      </c>
      <c r="K49" s="299"/>
      <c r="L49" s="299" t="s">
        <v>1151</v>
      </c>
      <c r="M49" s="301" t="s">
        <v>687</v>
      </c>
      <c r="N49" s="311" t="s">
        <v>97</v>
      </c>
      <c r="O49" s="312">
        <v>45622</v>
      </c>
      <c r="P49" s="301"/>
      <c r="Q49" s="299">
        <v>103156100</v>
      </c>
      <c r="R49" s="301"/>
      <c r="S49" s="301" t="s">
        <v>1152</v>
      </c>
      <c r="T49" s="299">
        <v>2</v>
      </c>
      <c r="U49" s="299">
        <v>1</v>
      </c>
      <c r="V49" s="299">
        <v>0</v>
      </c>
      <c r="W49" s="302">
        <v>0</v>
      </c>
      <c r="X49" s="299">
        <v>1024414789</v>
      </c>
    </row>
    <row r="50" spans="1:24">
      <c r="A50" s="298" t="s">
        <v>10</v>
      </c>
      <c r="B50" s="299" t="s">
        <v>88</v>
      </c>
      <c r="C50" s="308">
        <v>45866</v>
      </c>
      <c r="D50" s="299">
        <v>4</v>
      </c>
      <c r="E50" s="300"/>
      <c r="F50" s="299"/>
      <c r="G50" s="300"/>
      <c r="H50" s="299"/>
      <c r="I50" s="300"/>
      <c r="J50" s="300">
        <v>711.52</v>
      </c>
      <c r="K50" s="299"/>
      <c r="L50" s="299" t="s">
        <v>2753</v>
      </c>
      <c r="M50" s="301" t="s">
        <v>691</v>
      </c>
      <c r="N50" s="311" t="s">
        <v>97</v>
      </c>
      <c r="O50" s="312">
        <v>45745</v>
      </c>
      <c r="P50" s="301" t="s">
        <v>2754</v>
      </c>
      <c r="Q50" s="299">
        <v>686964080</v>
      </c>
      <c r="R50" s="301"/>
      <c r="S50" s="301" t="s">
        <v>2755</v>
      </c>
      <c r="T50" s="299">
        <v>2</v>
      </c>
      <c r="U50" s="299">
        <v>2</v>
      </c>
      <c r="V50" s="299">
        <v>0</v>
      </c>
      <c r="W50" s="302">
        <v>0</v>
      </c>
      <c r="X50" s="299">
        <v>1087129165</v>
      </c>
    </row>
    <row r="51" spans="1:24">
      <c r="A51" s="298" t="s">
        <v>15</v>
      </c>
      <c r="B51" s="299" t="s">
        <v>88</v>
      </c>
      <c r="C51" s="308">
        <v>45865</v>
      </c>
      <c r="D51" s="299">
        <v>34</v>
      </c>
      <c r="E51" s="300"/>
      <c r="F51" s="299"/>
      <c r="G51" s="300"/>
      <c r="H51" s="299"/>
      <c r="I51" s="300"/>
      <c r="J51" s="300">
        <v>0</v>
      </c>
      <c r="K51" s="299"/>
      <c r="L51" s="299" t="s">
        <v>802</v>
      </c>
      <c r="M51" s="301" t="s">
        <v>687</v>
      </c>
      <c r="N51" s="311" t="s">
        <v>114</v>
      </c>
      <c r="O51" s="312">
        <v>45461</v>
      </c>
      <c r="P51" s="301"/>
      <c r="Q51" s="299">
        <v>136706933</v>
      </c>
      <c r="R51" s="301"/>
      <c r="S51" s="301" t="s">
        <v>803</v>
      </c>
      <c r="T51" s="299">
        <v>1</v>
      </c>
      <c r="U51" s="299">
        <v>1</v>
      </c>
      <c r="V51" s="299">
        <v>0</v>
      </c>
      <c r="W51" s="302">
        <v>0</v>
      </c>
      <c r="X51" s="299">
        <v>944541072</v>
      </c>
    </row>
    <row r="52" spans="1:24">
      <c r="A52" s="298" t="s">
        <v>13</v>
      </c>
      <c r="B52" s="299" t="s">
        <v>88</v>
      </c>
      <c r="C52" s="308">
        <v>45865</v>
      </c>
      <c r="D52" s="299">
        <v>7</v>
      </c>
      <c r="E52" s="300"/>
      <c r="F52" s="299"/>
      <c r="G52" s="300"/>
      <c r="H52" s="299"/>
      <c r="I52" s="300"/>
      <c r="J52" s="300">
        <v>2396.09</v>
      </c>
      <c r="K52" s="299"/>
      <c r="L52" s="299" t="s">
        <v>2875</v>
      </c>
      <c r="M52" s="301" t="s">
        <v>691</v>
      </c>
      <c r="N52" s="311" t="s">
        <v>143</v>
      </c>
      <c r="O52" s="312">
        <v>45779</v>
      </c>
      <c r="P52" s="301" t="s">
        <v>2876</v>
      </c>
      <c r="Q52" s="299">
        <v>306603090</v>
      </c>
      <c r="R52" s="301"/>
      <c r="S52" s="301" t="s">
        <v>354</v>
      </c>
      <c r="T52" s="299">
        <v>5</v>
      </c>
      <c r="U52" s="299">
        <v>0</v>
      </c>
      <c r="V52" s="299">
        <v>0</v>
      </c>
      <c r="W52" s="302">
        <v>0</v>
      </c>
      <c r="X52" s="299">
        <v>1106579862</v>
      </c>
    </row>
    <row r="53" spans="1:24">
      <c r="A53" s="298" t="s">
        <v>8</v>
      </c>
      <c r="B53" s="299" t="s">
        <v>88</v>
      </c>
      <c r="C53" s="308">
        <v>45865</v>
      </c>
      <c r="D53" s="299">
        <v>3</v>
      </c>
      <c r="E53" s="300"/>
      <c r="F53" s="299"/>
      <c r="G53" s="300"/>
      <c r="H53" s="299"/>
      <c r="I53" s="300"/>
      <c r="J53" s="300">
        <v>695.52</v>
      </c>
      <c r="K53" s="299"/>
      <c r="L53" s="299" t="s">
        <v>2756</v>
      </c>
      <c r="M53" s="301" t="s">
        <v>691</v>
      </c>
      <c r="N53" s="311" t="s">
        <v>89</v>
      </c>
      <c r="O53" s="312">
        <v>45745</v>
      </c>
      <c r="P53" s="301" t="s">
        <v>2757</v>
      </c>
      <c r="Q53" s="299">
        <v>57200618</v>
      </c>
      <c r="R53" s="301"/>
      <c r="S53" s="301" t="s">
        <v>2758</v>
      </c>
      <c r="T53" s="299">
        <v>2</v>
      </c>
      <c r="U53" s="299">
        <v>2</v>
      </c>
      <c r="V53" s="299">
        <v>0</v>
      </c>
      <c r="W53" s="302">
        <v>0</v>
      </c>
      <c r="X53" s="299">
        <v>1087150986</v>
      </c>
    </row>
    <row r="54" spans="1:24">
      <c r="A54" s="298" t="s">
        <v>8</v>
      </c>
      <c r="B54" s="299" t="s">
        <v>88</v>
      </c>
      <c r="C54" s="308">
        <v>45860</v>
      </c>
      <c r="D54" s="299">
        <v>5</v>
      </c>
      <c r="E54" s="300"/>
      <c r="F54" s="299"/>
      <c r="G54" s="300"/>
      <c r="H54" s="299"/>
      <c r="I54" s="300"/>
      <c r="J54" s="300">
        <v>971.04</v>
      </c>
      <c r="K54" s="299"/>
      <c r="L54" s="299" t="s">
        <v>3126</v>
      </c>
      <c r="M54" s="301" t="s">
        <v>691</v>
      </c>
      <c r="N54" s="311" t="s">
        <v>89</v>
      </c>
      <c r="O54" s="312">
        <v>45848</v>
      </c>
      <c r="P54" s="301" t="s">
        <v>3127</v>
      </c>
      <c r="Q54" s="299">
        <v>737327</v>
      </c>
      <c r="R54" s="301"/>
      <c r="S54" s="301" t="s">
        <v>122</v>
      </c>
      <c r="T54" s="299">
        <v>3</v>
      </c>
      <c r="U54" s="299">
        <v>0</v>
      </c>
      <c r="V54" s="299">
        <v>0</v>
      </c>
      <c r="W54" s="302">
        <v>0</v>
      </c>
      <c r="X54" s="299">
        <v>1148678236</v>
      </c>
    </row>
    <row r="55" spans="1:24">
      <c r="A55" s="298" t="s">
        <v>15</v>
      </c>
      <c r="B55" s="299" t="s">
        <v>88</v>
      </c>
      <c r="C55" s="308">
        <v>45858</v>
      </c>
      <c r="D55" s="299">
        <v>31</v>
      </c>
      <c r="E55" s="300"/>
      <c r="F55" s="299"/>
      <c r="G55" s="300"/>
      <c r="H55" s="299"/>
      <c r="I55" s="300"/>
      <c r="J55" s="300">
        <v>0</v>
      </c>
      <c r="K55" s="299"/>
      <c r="L55" s="299" t="s">
        <v>906</v>
      </c>
      <c r="M55" s="301" t="s">
        <v>687</v>
      </c>
      <c r="N55" s="311" t="s">
        <v>114</v>
      </c>
      <c r="O55" s="312">
        <v>45533</v>
      </c>
      <c r="P55" s="301"/>
      <c r="Q55" s="299">
        <v>506993433</v>
      </c>
      <c r="R55" s="301"/>
      <c r="S55" s="301" t="s">
        <v>907</v>
      </c>
      <c r="T55" s="299">
        <v>2</v>
      </c>
      <c r="U55" s="299">
        <v>0</v>
      </c>
      <c r="V55" s="299">
        <v>0</v>
      </c>
      <c r="W55" s="302">
        <v>0</v>
      </c>
      <c r="X55" s="299">
        <v>983048992</v>
      </c>
    </row>
    <row r="56" spans="1:24">
      <c r="A56" s="298" t="s">
        <v>10</v>
      </c>
      <c r="B56" s="299" t="s">
        <v>88</v>
      </c>
      <c r="C56" s="308">
        <v>45857</v>
      </c>
      <c r="D56" s="299">
        <v>7</v>
      </c>
      <c r="E56" s="300"/>
      <c r="F56" s="299"/>
      <c r="G56" s="300"/>
      <c r="H56" s="299"/>
      <c r="I56" s="300"/>
      <c r="J56" s="300">
        <v>1309.8</v>
      </c>
      <c r="K56" s="299"/>
      <c r="L56" s="299" t="s">
        <v>1068</v>
      </c>
      <c r="M56" s="301" t="s">
        <v>691</v>
      </c>
      <c r="N56" s="311" t="s">
        <v>97</v>
      </c>
      <c r="O56" s="312">
        <v>45586</v>
      </c>
      <c r="P56" s="301" t="s">
        <v>1069</v>
      </c>
      <c r="Q56" s="299">
        <v>33593424</v>
      </c>
      <c r="R56" s="301"/>
      <c r="S56" s="301" t="s">
        <v>1070</v>
      </c>
      <c r="T56" s="299">
        <v>1</v>
      </c>
      <c r="U56" s="299">
        <v>0</v>
      </c>
      <c r="V56" s="299">
        <v>0</v>
      </c>
      <c r="W56" s="302">
        <v>0</v>
      </c>
      <c r="X56" s="299">
        <v>1008476374</v>
      </c>
    </row>
    <row r="57" spans="1:24">
      <c r="A57" s="298" t="s">
        <v>10</v>
      </c>
      <c r="B57" s="299" t="s">
        <v>88</v>
      </c>
      <c r="C57" s="308">
        <v>45855</v>
      </c>
      <c r="D57" s="299">
        <v>2</v>
      </c>
      <c r="E57" s="300"/>
      <c r="F57" s="299"/>
      <c r="G57" s="300"/>
      <c r="H57" s="299"/>
      <c r="I57" s="300"/>
      <c r="J57" s="300">
        <v>239.2</v>
      </c>
      <c r="K57" s="299"/>
      <c r="L57" s="299" t="s">
        <v>3175</v>
      </c>
      <c r="M57" s="301" t="s">
        <v>691</v>
      </c>
      <c r="N57" s="311" t="s">
        <v>97</v>
      </c>
      <c r="O57" s="312">
        <v>45853</v>
      </c>
      <c r="P57" s="301" t="s">
        <v>3176</v>
      </c>
      <c r="Q57" s="299">
        <v>4321431</v>
      </c>
      <c r="R57" s="301"/>
      <c r="S57" s="301" t="s">
        <v>3177</v>
      </c>
      <c r="T57" s="299">
        <v>2</v>
      </c>
      <c r="U57" s="299">
        <v>2</v>
      </c>
      <c r="V57" s="299">
        <v>0</v>
      </c>
      <c r="W57" s="302">
        <v>0</v>
      </c>
      <c r="X57" s="299">
        <v>1151588853</v>
      </c>
    </row>
    <row r="58" spans="1:24">
      <c r="A58" s="298" t="s">
        <v>8</v>
      </c>
      <c r="B58" s="299" t="s">
        <v>88</v>
      </c>
      <c r="C58" s="308">
        <v>45853</v>
      </c>
      <c r="D58" s="299">
        <v>3</v>
      </c>
      <c r="E58" s="300"/>
      <c r="F58" s="299"/>
      <c r="G58" s="300"/>
      <c r="H58" s="299"/>
      <c r="I58" s="300"/>
      <c r="J58" s="300">
        <v>695.52</v>
      </c>
      <c r="K58" s="299"/>
      <c r="L58" s="299" t="s">
        <v>2774</v>
      </c>
      <c r="M58" s="301" t="s">
        <v>691</v>
      </c>
      <c r="N58" s="311" t="s">
        <v>89</v>
      </c>
      <c r="O58" s="312">
        <v>45749</v>
      </c>
      <c r="P58" s="301" t="s">
        <v>2775</v>
      </c>
      <c r="Q58" s="299">
        <v>24661817</v>
      </c>
      <c r="R58" s="301"/>
      <c r="S58" s="301" t="s">
        <v>2776</v>
      </c>
      <c r="T58" s="299">
        <v>4</v>
      </c>
      <c r="U58" s="299">
        <v>0</v>
      </c>
      <c r="V58" s="299">
        <v>0</v>
      </c>
      <c r="W58" s="302">
        <v>0</v>
      </c>
      <c r="X58" s="299">
        <v>1089766271</v>
      </c>
    </row>
    <row r="59" spans="1:24">
      <c r="A59" s="298" t="s">
        <v>15</v>
      </c>
      <c r="B59" s="299" t="s">
        <v>88</v>
      </c>
      <c r="C59" s="308">
        <v>45850</v>
      </c>
      <c r="D59" s="299">
        <v>32</v>
      </c>
      <c r="E59" s="300"/>
      <c r="F59" s="299"/>
      <c r="G59" s="300"/>
      <c r="H59" s="299"/>
      <c r="I59" s="300"/>
      <c r="J59" s="300">
        <v>0</v>
      </c>
      <c r="K59" s="299"/>
      <c r="L59" s="299" t="s">
        <v>1127</v>
      </c>
      <c r="M59" s="301" t="s">
        <v>687</v>
      </c>
      <c r="N59" s="311" t="s">
        <v>114</v>
      </c>
      <c r="O59" s="312">
        <v>45608</v>
      </c>
      <c r="P59" s="301"/>
      <c r="Q59" s="299">
        <v>249878929</v>
      </c>
      <c r="R59" s="301"/>
      <c r="S59" s="301" t="s">
        <v>1128</v>
      </c>
      <c r="T59" s="299">
        <v>3</v>
      </c>
      <c r="U59" s="299">
        <v>0</v>
      </c>
      <c r="V59" s="299">
        <v>0</v>
      </c>
      <c r="W59" s="302">
        <v>0</v>
      </c>
      <c r="X59" s="299">
        <v>1018338600</v>
      </c>
    </row>
    <row r="60" spans="1:24">
      <c r="A60" s="298" t="s">
        <v>8</v>
      </c>
      <c r="B60" s="299" t="s">
        <v>88</v>
      </c>
      <c r="C60" s="308">
        <v>45850</v>
      </c>
      <c r="D60" s="299">
        <v>3</v>
      </c>
      <c r="E60" s="300"/>
      <c r="F60" s="299"/>
      <c r="G60" s="300"/>
      <c r="H60" s="299"/>
      <c r="I60" s="300"/>
      <c r="J60" s="300">
        <v>695.52</v>
      </c>
      <c r="K60" s="299"/>
      <c r="L60" s="299" t="s">
        <v>2900</v>
      </c>
      <c r="M60" s="301" t="s">
        <v>691</v>
      </c>
      <c r="N60" s="311" t="s">
        <v>89</v>
      </c>
      <c r="O60" s="312">
        <v>45790</v>
      </c>
      <c r="P60" s="301" t="s">
        <v>2901</v>
      </c>
      <c r="Q60" s="299">
        <v>523407260</v>
      </c>
      <c r="R60" s="301"/>
      <c r="S60" s="301" t="s">
        <v>773</v>
      </c>
      <c r="T60" s="299">
        <v>4</v>
      </c>
      <c r="U60" s="299">
        <v>0</v>
      </c>
      <c r="V60" s="299">
        <v>0</v>
      </c>
      <c r="W60" s="302">
        <v>0</v>
      </c>
      <c r="X60" s="299">
        <v>1113170412</v>
      </c>
    </row>
    <row r="61" spans="1:24">
      <c r="A61" s="298" t="s">
        <v>8</v>
      </c>
      <c r="B61" s="299" t="s">
        <v>88</v>
      </c>
      <c r="C61" s="308">
        <v>45850</v>
      </c>
      <c r="D61" s="299">
        <v>3</v>
      </c>
      <c r="E61" s="300"/>
      <c r="F61" s="299"/>
      <c r="G61" s="300"/>
      <c r="H61" s="299"/>
      <c r="I61" s="300"/>
      <c r="J61" s="300">
        <v>0</v>
      </c>
      <c r="K61" s="299"/>
      <c r="L61" s="299" t="s">
        <v>2796</v>
      </c>
      <c r="M61" s="301" t="s">
        <v>687</v>
      </c>
      <c r="N61" s="311" t="s">
        <v>89</v>
      </c>
      <c r="O61" s="312">
        <v>45754</v>
      </c>
      <c r="P61" s="301"/>
      <c r="Q61" s="299">
        <v>475879</v>
      </c>
      <c r="R61" s="301"/>
      <c r="S61" s="301" t="s">
        <v>2797</v>
      </c>
      <c r="T61" s="299">
        <v>2</v>
      </c>
      <c r="U61" s="299">
        <v>2</v>
      </c>
      <c r="V61" s="299">
        <v>0</v>
      </c>
      <c r="W61" s="302">
        <v>0</v>
      </c>
      <c r="X61" s="299">
        <v>1092232252</v>
      </c>
    </row>
    <row r="62" spans="1:24">
      <c r="A62" s="298" t="s">
        <v>10</v>
      </c>
      <c r="B62" s="299" t="s">
        <v>88</v>
      </c>
      <c r="C62" s="308">
        <v>45847</v>
      </c>
      <c r="D62" s="299">
        <v>5</v>
      </c>
      <c r="E62" s="300"/>
      <c r="F62" s="299"/>
      <c r="G62" s="300"/>
      <c r="H62" s="299"/>
      <c r="I62" s="300"/>
      <c r="J62" s="300">
        <v>891.92</v>
      </c>
      <c r="K62" s="299"/>
      <c r="L62" s="299" t="s">
        <v>2375</v>
      </c>
      <c r="M62" s="301" t="s">
        <v>691</v>
      </c>
      <c r="N62" s="311" t="s">
        <v>97</v>
      </c>
      <c r="O62" s="312">
        <v>45708</v>
      </c>
      <c r="P62" s="301" t="s">
        <v>2376</v>
      </c>
      <c r="Q62" s="299">
        <v>97830183</v>
      </c>
      <c r="R62" s="301"/>
      <c r="S62" s="301" t="s">
        <v>801</v>
      </c>
      <c r="T62" s="299">
        <v>2</v>
      </c>
      <c r="U62" s="299">
        <v>2</v>
      </c>
      <c r="V62" s="299">
        <v>0</v>
      </c>
      <c r="W62" s="302">
        <v>0</v>
      </c>
      <c r="X62" s="299">
        <v>1066400186</v>
      </c>
    </row>
    <row r="63" spans="1:24">
      <c r="A63" s="298" t="s">
        <v>8</v>
      </c>
      <c r="B63" s="299" t="s">
        <v>88</v>
      </c>
      <c r="C63" s="308">
        <v>45846</v>
      </c>
      <c r="D63" s="299">
        <v>3</v>
      </c>
      <c r="E63" s="300"/>
      <c r="F63" s="299"/>
      <c r="G63" s="300"/>
      <c r="H63" s="299"/>
      <c r="I63" s="300"/>
      <c r="J63" s="300">
        <v>0</v>
      </c>
      <c r="K63" s="299"/>
      <c r="L63" s="299" t="s">
        <v>1137</v>
      </c>
      <c r="M63" s="301" t="s">
        <v>687</v>
      </c>
      <c r="N63" s="311" t="s">
        <v>89</v>
      </c>
      <c r="O63" s="312">
        <v>45614</v>
      </c>
      <c r="P63" s="301"/>
      <c r="Q63" s="299">
        <v>117850410</v>
      </c>
      <c r="R63" s="301"/>
      <c r="S63" s="301" t="s">
        <v>1138</v>
      </c>
      <c r="T63" s="299">
        <v>2</v>
      </c>
      <c r="U63" s="299">
        <v>2</v>
      </c>
      <c r="V63" s="299">
        <v>0</v>
      </c>
      <c r="W63" s="302">
        <v>0</v>
      </c>
      <c r="X63" s="299">
        <v>1020789008</v>
      </c>
    </row>
    <row r="64" spans="1:24">
      <c r="A64" s="298" t="s">
        <v>8</v>
      </c>
      <c r="B64" s="299" t="s">
        <v>88</v>
      </c>
      <c r="C64" s="308">
        <v>45845</v>
      </c>
      <c r="D64" s="299">
        <v>2</v>
      </c>
      <c r="E64" s="300"/>
      <c r="F64" s="299"/>
      <c r="G64" s="300"/>
      <c r="H64" s="299"/>
      <c r="I64" s="300"/>
      <c r="J64" s="300">
        <v>367.52</v>
      </c>
      <c r="K64" s="299"/>
      <c r="L64" s="299" t="s">
        <v>3054</v>
      </c>
      <c r="M64" s="301" t="s">
        <v>691</v>
      </c>
      <c r="N64" s="311" t="s">
        <v>89</v>
      </c>
      <c r="O64" s="312">
        <v>45831</v>
      </c>
      <c r="P64" s="301" t="s">
        <v>3055</v>
      </c>
      <c r="Q64" s="299">
        <v>140476710</v>
      </c>
      <c r="R64" s="301"/>
      <c r="S64" s="301" t="s">
        <v>486</v>
      </c>
      <c r="T64" s="299">
        <v>5</v>
      </c>
      <c r="U64" s="299">
        <v>0</v>
      </c>
      <c r="V64" s="299">
        <v>0</v>
      </c>
      <c r="W64" s="302">
        <v>0</v>
      </c>
      <c r="X64" s="299">
        <v>1137812308</v>
      </c>
    </row>
    <row r="65" spans="1:24">
      <c r="A65" s="298" t="s">
        <v>8</v>
      </c>
      <c r="B65" s="299" t="s">
        <v>88</v>
      </c>
      <c r="C65" s="308">
        <v>45842</v>
      </c>
      <c r="D65" s="299">
        <v>3</v>
      </c>
      <c r="E65" s="300"/>
      <c r="F65" s="299"/>
      <c r="G65" s="300"/>
      <c r="H65" s="299"/>
      <c r="I65" s="300"/>
      <c r="J65" s="300">
        <v>695.52</v>
      </c>
      <c r="K65" s="299"/>
      <c r="L65" s="299" t="s">
        <v>2825</v>
      </c>
      <c r="M65" s="301" t="s">
        <v>691</v>
      </c>
      <c r="N65" s="311" t="s">
        <v>89</v>
      </c>
      <c r="O65" s="312">
        <v>45767</v>
      </c>
      <c r="P65" s="301" t="s">
        <v>2826</v>
      </c>
      <c r="Q65" s="299">
        <v>88330341</v>
      </c>
      <c r="R65" s="301"/>
      <c r="S65" s="301" t="s">
        <v>2827</v>
      </c>
      <c r="T65" s="299">
        <v>3</v>
      </c>
      <c r="U65" s="299">
        <v>1</v>
      </c>
      <c r="V65" s="299">
        <v>0</v>
      </c>
      <c r="W65" s="302">
        <v>0</v>
      </c>
      <c r="X65" s="299">
        <v>1099661469</v>
      </c>
    </row>
    <row r="66" spans="1:24">
      <c r="A66" s="298" t="s">
        <v>10</v>
      </c>
      <c r="B66" s="299" t="s">
        <v>88</v>
      </c>
      <c r="C66" s="308">
        <v>45842</v>
      </c>
      <c r="D66" s="299">
        <v>2</v>
      </c>
      <c r="E66" s="300"/>
      <c r="F66" s="299"/>
      <c r="G66" s="300"/>
      <c r="H66" s="299"/>
      <c r="I66" s="300"/>
      <c r="J66" s="300">
        <v>311.36</v>
      </c>
      <c r="K66" s="299"/>
      <c r="L66" s="299" t="s">
        <v>2902</v>
      </c>
      <c r="M66" s="301" t="s">
        <v>691</v>
      </c>
      <c r="N66" s="311" t="s">
        <v>97</v>
      </c>
      <c r="O66" s="312">
        <v>45790</v>
      </c>
      <c r="P66" s="301" t="s">
        <v>2903</v>
      </c>
      <c r="Q66" s="299">
        <v>522848576</v>
      </c>
      <c r="R66" s="301"/>
      <c r="S66" s="301" t="s">
        <v>2904</v>
      </c>
      <c r="T66" s="299">
        <v>2</v>
      </c>
      <c r="U66" s="299">
        <v>0</v>
      </c>
      <c r="V66" s="299">
        <v>0</v>
      </c>
      <c r="W66" s="302">
        <v>0</v>
      </c>
      <c r="X66" s="299">
        <v>1113042910</v>
      </c>
    </row>
    <row r="67" spans="1:24">
      <c r="A67" s="298" t="s">
        <v>15</v>
      </c>
      <c r="B67" s="299" t="s">
        <v>88</v>
      </c>
      <c r="C67" s="308">
        <v>45841</v>
      </c>
      <c r="D67" s="299">
        <v>31</v>
      </c>
      <c r="E67" s="300"/>
      <c r="F67" s="299"/>
      <c r="G67" s="300"/>
      <c r="H67" s="299"/>
      <c r="I67" s="300"/>
      <c r="J67" s="300">
        <v>1829.51</v>
      </c>
      <c r="K67" s="299"/>
      <c r="L67" s="299" t="s">
        <v>2922</v>
      </c>
      <c r="M67" s="301" t="s">
        <v>691</v>
      </c>
      <c r="N67" s="311" t="s">
        <v>114</v>
      </c>
      <c r="O67" s="312">
        <v>45795</v>
      </c>
      <c r="P67" s="301" t="s">
        <v>2923</v>
      </c>
      <c r="Q67" s="299">
        <v>384651127</v>
      </c>
      <c r="R67" s="301"/>
      <c r="S67" s="301" t="s">
        <v>1065</v>
      </c>
      <c r="T67" s="299">
        <v>2</v>
      </c>
      <c r="U67" s="299">
        <v>0</v>
      </c>
      <c r="V67" s="299">
        <v>0</v>
      </c>
      <c r="W67" s="302">
        <v>0</v>
      </c>
      <c r="X67" s="299">
        <v>1115824336</v>
      </c>
    </row>
    <row r="68" spans="1:24">
      <c r="A68" s="298" t="s">
        <v>8</v>
      </c>
      <c r="B68" s="299" t="s">
        <v>88</v>
      </c>
      <c r="C68" s="308">
        <v>45840</v>
      </c>
      <c r="D68" s="299">
        <v>2</v>
      </c>
      <c r="E68" s="300"/>
      <c r="F68" s="299"/>
      <c r="G68" s="300"/>
      <c r="H68" s="299"/>
      <c r="I68" s="300"/>
      <c r="J68" s="300">
        <v>328.16</v>
      </c>
      <c r="K68" s="299"/>
      <c r="L68" s="299" t="s">
        <v>3036</v>
      </c>
      <c r="M68" s="301" t="s">
        <v>691</v>
      </c>
      <c r="N68" s="311" t="s">
        <v>89</v>
      </c>
      <c r="O68" s="312">
        <v>45826</v>
      </c>
      <c r="P68" s="301" t="s">
        <v>3037</v>
      </c>
      <c r="Q68" s="299">
        <v>52441364</v>
      </c>
      <c r="R68" s="301"/>
      <c r="S68" s="301" t="s">
        <v>3038</v>
      </c>
      <c r="T68" s="299">
        <v>3</v>
      </c>
      <c r="U68" s="299">
        <v>0</v>
      </c>
      <c r="V68" s="299">
        <v>0</v>
      </c>
      <c r="W68" s="302">
        <v>0</v>
      </c>
      <c r="X68" s="299">
        <v>1134798347</v>
      </c>
    </row>
    <row r="69" spans="1:24">
      <c r="A69" s="298" t="s">
        <v>15</v>
      </c>
      <c r="B69" s="299" t="s">
        <v>88</v>
      </c>
      <c r="C69" s="308">
        <v>45838</v>
      </c>
      <c r="D69" s="299">
        <v>30</v>
      </c>
      <c r="E69" s="300"/>
      <c r="F69" s="299"/>
      <c r="G69" s="300"/>
      <c r="H69" s="299"/>
      <c r="I69" s="300"/>
      <c r="J69" s="300">
        <v>0</v>
      </c>
      <c r="K69" s="299"/>
      <c r="L69" s="299" t="s">
        <v>1667</v>
      </c>
      <c r="M69" s="301" t="s">
        <v>687</v>
      </c>
      <c r="N69" s="311" t="s">
        <v>114</v>
      </c>
      <c r="O69" s="312">
        <v>45668</v>
      </c>
      <c r="P69" s="301"/>
      <c r="Q69" s="299">
        <v>8535914</v>
      </c>
      <c r="R69" s="301"/>
      <c r="S69" s="301" t="s">
        <v>486</v>
      </c>
      <c r="T69" s="299">
        <v>2</v>
      </c>
      <c r="U69" s="299">
        <v>1</v>
      </c>
      <c r="V69" s="299">
        <v>0</v>
      </c>
      <c r="W69" s="302">
        <v>0</v>
      </c>
      <c r="X69" s="299">
        <v>1044382060</v>
      </c>
    </row>
    <row r="70" spans="1:24">
      <c r="A70" s="298" t="s">
        <v>8</v>
      </c>
      <c r="B70" s="299" t="s">
        <v>88</v>
      </c>
      <c r="C70" s="308">
        <v>45837</v>
      </c>
      <c r="D70" s="299">
        <v>3</v>
      </c>
      <c r="E70" s="300"/>
      <c r="F70" s="299"/>
      <c r="G70" s="300"/>
      <c r="H70" s="299"/>
      <c r="I70" s="300"/>
      <c r="J70" s="300">
        <v>734.88</v>
      </c>
      <c r="K70" s="299"/>
      <c r="L70" s="299" t="s">
        <v>2161</v>
      </c>
      <c r="M70" s="301" t="s">
        <v>691</v>
      </c>
      <c r="N70" s="311" t="s">
        <v>89</v>
      </c>
      <c r="O70" s="312">
        <v>45686</v>
      </c>
      <c r="P70" s="301" t="s">
        <v>2162</v>
      </c>
      <c r="Q70" s="299">
        <v>23884136</v>
      </c>
      <c r="R70" s="301"/>
      <c r="S70" s="301" t="s">
        <v>2164</v>
      </c>
      <c r="T70" s="299">
        <v>2</v>
      </c>
      <c r="U70" s="299">
        <v>2</v>
      </c>
      <c r="V70" s="299">
        <v>0</v>
      </c>
      <c r="W70" s="302">
        <v>0</v>
      </c>
      <c r="X70" s="299">
        <v>1054077044</v>
      </c>
    </row>
    <row r="71" spans="1:24">
      <c r="A71" s="298" t="s">
        <v>10</v>
      </c>
      <c r="B71" s="299" t="s">
        <v>88</v>
      </c>
      <c r="C71" s="308">
        <v>45831</v>
      </c>
      <c r="D71" s="299">
        <v>6</v>
      </c>
      <c r="E71" s="300"/>
      <c r="F71" s="299"/>
      <c r="G71" s="300"/>
      <c r="H71" s="299"/>
      <c r="I71" s="300"/>
      <c r="J71" s="300">
        <v>1092</v>
      </c>
      <c r="K71" s="299"/>
      <c r="L71" s="299" t="s">
        <v>2277</v>
      </c>
      <c r="M71" s="301" t="s">
        <v>691</v>
      </c>
      <c r="N71" s="311" t="s">
        <v>97</v>
      </c>
      <c r="O71" s="312">
        <v>45696</v>
      </c>
      <c r="P71" s="301" t="s">
        <v>2278</v>
      </c>
      <c r="Q71" s="299">
        <v>674838872</v>
      </c>
      <c r="R71" s="301"/>
      <c r="S71" s="301" t="s">
        <v>36</v>
      </c>
      <c r="T71" s="299">
        <v>3</v>
      </c>
      <c r="U71" s="299">
        <v>0</v>
      </c>
      <c r="V71" s="299">
        <v>0</v>
      </c>
      <c r="W71" s="302">
        <v>0</v>
      </c>
      <c r="X71" s="299">
        <v>1059974992</v>
      </c>
    </row>
    <row r="72" spans="1:24">
      <c r="A72" s="298" t="s">
        <v>10</v>
      </c>
      <c r="B72" s="299" t="s">
        <v>88</v>
      </c>
      <c r="C72" s="308">
        <v>45829</v>
      </c>
      <c r="D72" s="299">
        <v>2</v>
      </c>
      <c r="E72" s="300"/>
      <c r="F72" s="299"/>
      <c r="G72" s="300"/>
      <c r="H72" s="299"/>
      <c r="I72" s="300"/>
      <c r="J72" s="300">
        <v>317.92</v>
      </c>
      <c r="K72" s="299"/>
      <c r="L72" s="299" t="s">
        <v>2944</v>
      </c>
      <c r="M72" s="301" t="s">
        <v>691</v>
      </c>
      <c r="N72" s="311" t="s">
        <v>97</v>
      </c>
      <c r="O72" s="312">
        <v>45806</v>
      </c>
      <c r="P72" s="301" t="s">
        <v>2945</v>
      </c>
      <c r="Q72" s="299">
        <v>203334748</v>
      </c>
      <c r="R72" s="301"/>
      <c r="S72" s="301" t="s">
        <v>551</v>
      </c>
      <c r="T72" s="299">
        <v>2</v>
      </c>
      <c r="U72" s="299">
        <v>0</v>
      </c>
      <c r="V72" s="299">
        <v>0</v>
      </c>
      <c r="W72" s="302">
        <v>0</v>
      </c>
      <c r="X72" s="299">
        <v>1122725818</v>
      </c>
    </row>
    <row r="73" spans="1:24">
      <c r="A73" s="298" t="s">
        <v>10</v>
      </c>
      <c r="B73" s="299" t="s">
        <v>88</v>
      </c>
      <c r="C73" s="308">
        <v>45829</v>
      </c>
      <c r="D73" s="299">
        <v>2</v>
      </c>
      <c r="E73" s="300"/>
      <c r="F73" s="299"/>
      <c r="G73" s="300"/>
      <c r="H73" s="299"/>
      <c r="I73" s="300"/>
      <c r="J73" s="300">
        <v>0</v>
      </c>
      <c r="K73" s="299"/>
      <c r="L73" s="299" t="s">
        <v>2946</v>
      </c>
      <c r="M73" s="301" t="s">
        <v>687</v>
      </c>
      <c r="N73" s="311" t="s">
        <v>97</v>
      </c>
      <c r="O73" s="312">
        <v>45806</v>
      </c>
      <c r="P73" s="301"/>
      <c r="Q73" s="299">
        <v>203334748</v>
      </c>
      <c r="R73" s="301"/>
      <c r="S73" s="301" t="s">
        <v>551</v>
      </c>
      <c r="T73" s="299">
        <v>2</v>
      </c>
      <c r="U73" s="299">
        <v>0</v>
      </c>
      <c r="V73" s="299">
        <v>0</v>
      </c>
      <c r="W73" s="302">
        <v>0</v>
      </c>
      <c r="X73" s="299">
        <v>1122715761</v>
      </c>
    </row>
    <row r="74" spans="1:24">
      <c r="A74" s="298" t="s">
        <v>10</v>
      </c>
      <c r="B74" s="299" t="s">
        <v>88</v>
      </c>
      <c r="C74" s="308">
        <v>45826</v>
      </c>
      <c r="D74" s="299">
        <v>6</v>
      </c>
      <c r="E74" s="300"/>
      <c r="F74" s="299"/>
      <c r="G74" s="300"/>
      <c r="H74" s="299"/>
      <c r="I74" s="300"/>
      <c r="J74" s="300">
        <v>0</v>
      </c>
      <c r="K74" s="299"/>
      <c r="L74" s="299" t="s">
        <v>1149</v>
      </c>
      <c r="M74" s="301" t="s">
        <v>687</v>
      </c>
      <c r="N74" s="311" t="s">
        <v>97</v>
      </c>
      <c r="O74" s="312">
        <v>45621</v>
      </c>
      <c r="P74" s="301"/>
      <c r="Q74" s="299">
        <v>53884797</v>
      </c>
      <c r="R74" s="301"/>
      <c r="S74" s="301" t="s">
        <v>1153</v>
      </c>
      <c r="T74" s="299">
        <v>2</v>
      </c>
      <c r="U74" s="299">
        <v>0</v>
      </c>
      <c r="V74" s="299">
        <v>1</v>
      </c>
      <c r="W74" s="302">
        <v>0</v>
      </c>
      <c r="X74" s="299">
        <v>1023696325</v>
      </c>
    </row>
    <row r="75" spans="1:24">
      <c r="A75" s="298" t="s">
        <v>10</v>
      </c>
      <c r="B75" s="299" t="s">
        <v>88</v>
      </c>
      <c r="C75" s="308">
        <v>45826</v>
      </c>
      <c r="D75" s="299">
        <v>3</v>
      </c>
      <c r="E75" s="300"/>
      <c r="F75" s="299"/>
      <c r="G75" s="300"/>
      <c r="H75" s="299"/>
      <c r="I75" s="300"/>
      <c r="J75" s="300">
        <v>511.44</v>
      </c>
      <c r="K75" s="299"/>
      <c r="L75" s="299" t="s">
        <v>2745</v>
      </c>
      <c r="M75" s="301" t="s">
        <v>691</v>
      </c>
      <c r="N75" s="311" t="s">
        <v>97</v>
      </c>
      <c r="O75" s="312">
        <v>45743</v>
      </c>
      <c r="P75" s="301" t="s">
        <v>2746</v>
      </c>
      <c r="Q75" s="299">
        <v>232298481</v>
      </c>
      <c r="R75" s="301"/>
      <c r="S75" s="301" t="s">
        <v>2747</v>
      </c>
      <c r="T75" s="299">
        <v>2</v>
      </c>
      <c r="U75" s="299">
        <v>0</v>
      </c>
      <c r="V75" s="299">
        <v>0</v>
      </c>
      <c r="W75" s="302">
        <v>0</v>
      </c>
      <c r="X75" s="299">
        <v>1086116089</v>
      </c>
    </row>
    <row r="76" spans="1:24">
      <c r="A76" s="298" t="s">
        <v>8</v>
      </c>
      <c r="B76" s="299" t="s">
        <v>88</v>
      </c>
      <c r="C76" s="308">
        <v>45822</v>
      </c>
      <c r="D76" s="299">
        <v>15</v>
      </c>
      <c r="E76" s="300"/>
      <c r="F76" s="299"/>
      <c r="G76" s="300"/>
      <c r="H76" s="299"/>
      <c r="I76" s="300"/>
      <c r="J76" s="300">
        <v>3849.55</v>
      </c>
      <c r="K76" s="299"/>
      <c r="L76" s="299" t="s">
        <v>825</v>
      </c>
      <c r="M76" s="301" t="s">
        <v>691</v>
      </c>
      <c r="N76" s="311" t="s">
        <v>89</v>
      </c>
      <c r="O76" s="312">
        <v>45471</v>
      </c>
      <c r="P76" s="301" t="s">
        <v>826</v>
      </c>
      <c r="Q76" s="299">
        <v>476668893</v>
      </c>
      <c r="R76" s="301"/>
      <c r="S76" s="301" t="s">
        <v>2103</v>
      </c>
      <c r="T76" s="299">
        <v>4</v>
      </c>
      <c r="U76" s="299">
        <v>0</v>
      </c>
      <c r="V76" s="299">
        <v>0</v>
      </c>
      <c r="W76" s="302">
        <v>0</v>
      </c>
      <c r="X76" s="299">
        <v>949521780</v>
      </c>
    </row>
    <row r="77" spans="1:24">
      <c r="A77" s="298" t="s">
        <v>10</v>
      </c>
      <c r="B77" s="299" t="s">
        <v>88</v>
      </c>
      <c r="C77" s="308">
        <v>45818</v>
      </c>
      <c r="D77" s="299">
        <v>3</v>
      </c>
      <c r="E77" s="300"/>
      <c r="F77" s="299"/>
      <c r="G77" s="300"/>
      <c r="H77" s="299"/>
      <c r="I77" s="300"/>
      <c r="J77" s="300">
        <v>540.96</v>
      </c>
      <c r="K77" s="299"/>
      <c r="L77" s="299" t="s">
        <v>2806</v>
      </c>
      <c r="M77" s="301" t="s">
        <v>691</v>
      </c>
      <c r="N77" s="311" t="s">
        <v>97</v>
      </c>
      <c r="O77" s="312">
        <v>45758</v>
      </c>
      <c r="P77" s="301" t="s">
        <v>2807</v>
      </c>
      <c r="Q77" s="299">
        <v>135450898</v>
      </c>
      <c r="R77" s="301"/>
      <c r="S77" s="301" t="s">
        <v>2808</v>
      </c>
      <c r="T77" s="299">
        <v>3</v>
      </c>
      <c r="U77" s="299">
        <v>0</v>
      </c>
      <c r="V77" s="299">
        <v>0</v>
      </c>
      <c r="W77" s="302">
        <v>0</v>
      </c>
      <c r="X77" s="299">
        <v>1094635141</v>
      </c>
    </row>
    <row r="78" spans="1:24">
      <c r="A78" s="303" t="s">
        <v>8</v>
      </c>
      <c r="B78" s="304" t="s">
        <v>88</v>
      </c>
      <c r="C78" s="309">
        <v>45818</v>
      </c>
      <c r="D78" s="304">
        <v>3</v>
      </c>
      <c r="E78" s="305"/>
      <c r="F78" s="304"/>
      <c r="G78" s="305"/>
      <c r="H78" s="304"/>
      <c r="I78" s="305"/>
      <c r="J78" s="305">
        <v>754.56</v>
      </c>
      <c r="K78" s="304"/>
      <c r="L78" s="304" t="s">
        <v>2491</v>
      </c>
      <c r="M78" s="306" t="s">
        <v>691</v>
      </c>
      <c r="N78" s="313" t="s">
        <v>89</v>
      </c>
      <c r="O78" s="314">
        <v>45726</v>
      </c>
      <c r="P78" s="306" t="s">
        <v>2492</v>
      </c>
      <c r="Q78" s="304">
        <v>420980647</v>
      </c>
      <c r="R78" s="306"/>
      <c r="S78" s="306" t="s">
        <v>122</v>
      </c>
      <c r="T78" s="304">
        <v>3</v>
      </c>
      <c r="U78" s="304">
        <v>0</v>
      </c>
      <c r="V78" s="304">
        <v>0</v>
      </c>
      <c r="W78" s="307">
        <v>0</v>
      </c>
      <c r="X78" s="304">
        <v>1076174697</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B1443DE1-CAFD-455E-A6F2-F893839999EE}">
          <x14:formula1>
            <xm:f>Paramètres!$A$13:$A$14</xm:f>
          </x14:formula1>
          <xm:sqref>B2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2B7C1-9335-49C6-AF61-1CB9D3964F9C}">
  <sheetPr codeName="Feuil13"/>
  <dimension ref="A1:NC102"/>
  <sheetViews>
    <sheetView showGridLines="0" topLeftCell="D1" zoomScale="70" zoomScaleNormal="70" workbookViewId="0">
      <pane ySplit="2" topLeftCell="A33" activePane="bottomLeft" state="frozen"/>
      <selection pane="bottomLeft" activeCell="A3" sqref="A3:Z102"/>
    </sheetView>
  </sheetViews>
  <sheetFormatPr baseColWidth="10" defaultColWidth="10.7109375" defaultRowHeight="32.4"/>
  <cols>
    <col min="1" max="1" width="11.78515625" customWidth="1"/>
    <col min="2" max="2" width="10.7109375" customWidth="1"/>
    <col min="3" max="3" width="12.42578125" style="426" customWidth="1"/>
    <col min="4" max="4" width="8.92578125" style="427" customWidth="1"/>
    <col min="5" max="7" width="10.7109375" style="428"/>
    <col min="8" max="8" width="11.7109375" style="428" customWidth="1"/>
    <col min="9" max="9" width="14.640625" style="428" customWidth="1"/>
    <col min="10" max="10" width="12.92578125" style="431" customWidth="1"/>
    <col min="11" max="11" width="6.640625" customWidth="1"/>
    <col min="12" max="12" width="15.0703125" style="575" customWidth="1"/>
    <col min="13" max="13" width="10.7109375" style="8" customWidth="1"/>
    <col min="14" max="14" width="39.7109375" customWidth="1"/>
    <col min="15" max="15" width="12.5703125" style="8" customWidth="1"/>
    <col min="16" max="16" width="11.7109375" customWidth="1"/>
    <col min="17" max="17" width="16.42578125" customWidth="1"/>
    <col min="18" max="18" width="10.7109375" style="8"/>
    <col min="20" max="20" width="7.42578125" style="429" customWidth="1"/>
    <col min="21" max="21" width="5.0703125" style="429" customWidth="1"/>
    <col min="22" max="22" width="6.0703125" style="429" customWidth="1"/>
    <col min="23" max="23" width="4.7109375" style="430" customWidth="1"/>
    <col min="24" max="24" width="11.2109375" customWidth="1"/>
  </cols>
  <sheetData>
    <row r="1" spans="1:367">
      <c r="A1" s="63"/>
      <c r="B1" s="63"/>
      <c r="C1" s="1053"/>
      <c r="D1" s="1054"/>
      <c r="E1" s="78"/>
      <c r="F1" s="78"/>
      <c r="G1" s="78"/>
      <c r="H1" s="78"/>
      <c r="I1" s="78"/>
      <c r="J1" s="672"/>
      <c r="K1" s="63"/>
      <c r="L1" s="1055"/>
      <c r="M1" s="71"/>
      <c r="N1" s="63"/>
      <c r="O1" s="71"/>
      <c r="P1" s="63"/>
      <c r="Q1" s="63"/>
      <c r="R1" s="71"/>
      <c r="S1" s="63"/>
      <c r="T1" s="1056"/>
      <c r="U1" s="1056"/>
      <c r="V1" s="1056"/>
      <c r="W1" s="1057"/>
      <c r="X1" s="63"/>
    </row>
    <row r="2" spans="1:367">
      <c r="A2" s="1061" t="s">
        <v>64</v>
      </c>
      <c r="B2" s="1062" t="s">
        <v>65</v>
      </c>
      <c r="C2" s="1063" t="s">
        <v>66</v>
      </c>
      <c r="D2" s="1064" t="s">
        <v>67</v>
      </c>
      <c r="E2" s="1058" t="s">
        <v>68</v>
      </c>
      <c r="F2" s="1058" t="s">
        <v>69</v>
      </c>
      <c r="G2" s="1058" t="s">
        <v>70</v>
      </c>
      <c r="H2" s="1058" t="s">
        <v>71</v>
      </c>
      <c r="I2" s="1058" t="s">
        <v>72</v>
      </c>
      <c r="J2" s="1065" t="s">
        <v>73</v>
      </c>
      <c r="K2" s="1058" t="s">
        <v>75</v>
      </c>
      <c r="L2" s="1066" t="s">
        <v>682</v>
      </c>
      <c r="M2" s="1058" t="s">
        <v>77</v>
      </c>
      <c r="N2" s="1059" t="s">
        <v>683</v>
      </c>
      <c r="O2" s="1058" t="s">
        <v>684</v>
      </c>
      <c r="P2" s="1059" t="s">
        <v>685</v>
      </c>
      <c r="Q2" s="1058" t="s">
        <v>78</v>
      </c>
      <c r="R2" s="1058" t="s">
        <v>79</v>
      </c>
      <c r="S2" s="1059" t="s">
        <v>80</v>
      </c>
      <c r="T2" s="1067" t="s">
        <v>686</v>
      </c>
      <c r="U2" s="1067" t="s">
        <v>82</v>
      </c>
      <c r="V2" s="1067" t="s">
        <v>83</v>
      </c>
      <c r="W2" s="1060" t="s">
        <v>84</v>
      </c>
      <c r="X2" s="199" t="s">
        <v>85</v>
      </c>
      <c r="Y2" s="1068" t="s">
        <v>3427</v>
      </c>
      <c r="Z2" s="1068" t="s">
        <v>3428</v>
      </c>
      <c r="AE2" s="480"/>
      <c r="AF2" s="479"/>
      <c r="BJ2" s="480"/>
      <c r="BK2" s="479"/>
      <c r="CN2" s="480"/>
      <c r="CO2" s="479"/>
      <c r="DS2" s="480"/>
      <c r="DT2" s="479"/>
      <c r="EX2" s="480"/>
      <c r="EY2" s="479"/>
      <c r="FZ2" s="480"/>
      <c r="GA2" s="479"/>
      <c r="HE2" s="480"/>
      <c r="HF2" s="479"/>
      <c r="II2" s="480"/>
      <c r="IJ2" s="479"/>
      <c r="JN2" s="480"/>
      <c r="JO2" s="479"/>
      <c r="KR2" s="480"/>
      <c r="KS2" s="479"/>
      <c r="LW2" s="480"/>
      <c r="NC2" s="480"/>
    </row>
    <row r="3" spans="1:367">
      <c r="A3" s="506" t="s">
        <v>8</v>
      </c>
      <c r="B3" s="507" t="s">
        <v>23</v>
      </c>
      <c r="C3" s="516">
        <v>46383.625</v>
      </c>
      <c r="D3" s="438">
        <v>5</v>
      </c>
      <c r="E3" s="446"/>
      <c r="F3" s="446"/>
      <c r="G3" s="446"/>
      <c r="H3" s="446"/>
      <c r="I3" s="446"/>
      <c r="J3" s="508"/>
      <c r="K3" s="507"/>
      <c r="L3" s="572"/>
      <c r="M3" s="509"/>
      <c r="N3" s="509" t="s">
        <v>3956</v>
      </c>
      <c r="O3" s="509" t="s">
        <v>1105</v>
      </c>
      <c r="P3" s="509"/>
      <c r="Q3" s="507"/>
      <c r="R3" s="509"/>
      <c r="S3" s="509"/>
      <c r="T3" s="510"/>
      <c r="U3" s="510"/>
      <c r="V3" s="510"/>
      <c r="W3" s="511"/>
      <c r="X3" s="507"/>
      <c r="Y3" s="520"/>
      <c r="Z3" s="520"/>
      <c r="AD3" s="481"/>
      <c r="AE3" s="480"/>
      <c r="AF3" s="479"/>
      <c r="AK3" s="481"/>
      <c r="AR3" s="481"/>
      <c r="AY3" s="481"/>
      <c r="BF3" s="481"/>
      <c r="BJ3" s="480"/>
      <c r="BK3" s="479"/>
      <c r="BM3" s="481"/>
      <c r="BT3" s="481"/>
      <c r="CA3" s="481"/>
      <c r="CH3" s="481"/>
      <c r="CN3" s="480"/>
      <c r="CO3" s="479"/>
      <c r="CV3" s="481"/>
      <c r="DC3" s="481"/>
      <c r="DJ3" s="481"/>
      <c r="DQ3" s="481"/>
      <c r="DS3" s="480"/>
      <c r="DT3" s="479"/>
      <c r="DX3" s="481"/>
      <c r="EE3" s="481"/>
      <c r="EL3" s="481"/>
      <c r="ES3" s="481"/>
      <c r="EX3" s="480"/>
      <c r="EY3" s="479"/>
      <c r="EZ3" s="481"/>
      <c r="FG3" s="481"/>
      <c r="FN3" s="481"/>
      <c r="FU3" s="481"/>
      <c r="FZ3" s="480"/>
      <c r="GA3" s="479"/>
      <c r="GB3" s="481"/>
      <c r="GI3" s="481"/>
      <c r="GP3" s="481"/>
      <c r="GW3" s="481"/>
      <c r="HD3" s="481"/>
      <c r="HE3" s="480"/>
      <c r="HF3" s="479"/>
      <c r="HK3" s="481"/>
      <c r="HR3" s="481"/>
      <c r="HY3" s="481"/>
      <c r="IF3" s="481"/>
      <c r="II3" s="480"/>
      <c r="IJ3" s="479"/>
      <c r="IM3" s="481"/>
      <c r="IT3" s="481"/>
      <c r="JA3" s="481"/>
      <c r="JH3" s="481"/>
      <c r="JN3" s="480"/>
      <c r="JO3" s="479"/>
      <c r="JV3" s="481"/>
      <c r="KC3" s="481"/>
      <c r="KJ3" s="481"/>
      <c r="KQ3" s="481"/>
      <c r="KR3" s="480"/>
      <c r="KS3" s="479"/>
      <c r="KX3" s="481"/>
      <c r="LE3" s="481"/>
      <c r="LL3" s="481"/>
      <c r="LS3" s="481"/>
      <c r="LW3" s="480"/>
      <c r="LZ3" s="481"/>
      <c r="MG3" s="481"/>
      <c r="MN3" s="481"/>
      <c r="MU3" s="481"/>
      <c r="NB3" s="481"/>
      <c r="NC3" s="480"/>
    </row>
    <row r="4" spans="1:367">
      <c r="A4" s="298" t="s">
        <v>10</v>
      </c>
      <c r="B4" s="299" t="s">
        <v>23</v>
      </c>
      <c r="C4" s="517">
        <v>46310.583333333336</v>
      </c>
      <c r="D4" s="425">
        <v>4</v>
      </c>
      <c r="E4" s="300"/>
      <c r="F4" s="300"/>
      <c r="G4" s="300"/>
      <c r="H4" s="300"/>
      <c r="I4" s="300"/>
      <c r="J4" s="392"/>
      <c r="K4" s="299"/>
      <c r="L4" s="573"/>
      <c r="M4" s="301"/>
      <c r="N4" s="301" t="s">
        <v>3953</v>
      </c>
      <c r="O4" s="301" t="s">
        <v>1105</v>
      </c>
      <c r="P4" s="301"/>
      <c r="Q4" s="299"/>
      <c r="R4" s="301"/>
      <c r="S4" s="301"/>
      <c r="T4" s="436"/>
      <c r="U4" s="436"/>
      <c r="V4" s="436"/>
      <c r="W4" s="437"/>
      <c r="X4" s="299"/>
      <c r="Y4" s="519"/>
      <c r="Z4" s="519"/>
      <c r="AD4" s="481"/>
      <c r="AE4" s="480"/>
      <c r="AF4" s="479"/>
      <c r="AK4" s="481"/>
      <c r="AR4" s="481"/>
      <c r="AY4" s="481"/>
      <c r="BF4" s="481"/>
      <c r="BJ4" s="480"/>
      <c r="BK4" s="479"/>
      <c r="BM4" s="481"/>
      <c r="BT4" s="481"/>
      <c r="CA4" s="481"/>
      <c r="CH4" s="481"/>
      <c r="CN4" s="480"/>
      <c r="CO4" s="479"/>
      <c r="CV4" s="481"/>
      <c r="DC4" s="481"/>
      <c r="DJ4" s="481"/>
      <c r="DQ4" s="481"/>
      <c r="DS4" s="480"/>
      <c r="DT4" s="479"/>
      <c r="DX4" s="481"/>
      <c r="EE4" s="481"/>
      <c r="EL4" s="481"/>
      <c r="ES4" s="481"/>
      <c r="EX4" s="480"/>
      <c r="EY4" s="479"/>
      <c r="EZ4" s="481"/>
      <c r="FG4" s="481"/>
      <c r="FN4" s="481"/>
      <c r="FU4" s="481"/>
      <c r="FZ4" s="480"/>
      <c r="GA4" s="479"/>
      <c r="GB4" s="481"/>
      <c r="GI4" s="481"/>
      <c r="GP4" s="481"/>
      <c r="GW4" s="481"/>
      <c r="HD4" s="481"/>
      <c r="HE4" s="480"/>
      <c r="HF4" s="479"/>
      <c r="HK4" s="481"/>
      <c r="HR4" s="481"/>
      <c r="HY4" s="481"/>
      <c r="IF4" s="481"/>
      <c r="II4" s="480"/>
      <c r="IJ4" s="479"/>
      <c r="IM4" s="481"/>
      <c r="IT4" s="481"/>
      <c r="JA4" s="481"/>
      <c r="JH4" s="481"/>
      <c r="JN4" s="480"/>
      <c r="JO4" s="479"/>
      <c r="JV4" s="481"/>
      <c r="KC4" s="481"/>
      <c r="KJ4" s="481"/>
      <c r="KQ4" s="481"/>
      <c r="KR4" s="480"/>
      <c r="KS4" s="479"/>
      <c r="KX4" s="481"/>
      <c r="LE4" s="481"/>
      <c r="LL4" s="481"/>
      <c r="LS4" s="481"/>
      <c r="LW4" s="480"/>
      <c r="LZ4" s="481"/>
      <c r="MG4" s="481"/>
      <c r="MN4" s="481"/>
      <c r="MU4" s="481"/>
      <c r="NB4" s="481"/>
      <c r="NC4" s="480"/>
    </row>
    <row r="5" spans="1:367">
      <c r="A5" s="298" t="s">
        <v>10</v>
      </c>
      <c r="B5" s="299" t="s">
        <v>88</v>
      </c>
      <c r="C5" s="517">
        <v>46286.583333333336</v>
      </c>
      <c r="D5" s="425">
        <v>8</v>
      </c>
      <c r="E5" s="300"/>
      <c r="F5" s="300"/>
      <c r="G5" s="300"/>
      <c r="H5" s="300"/>
      <c r="I5" s="300"/>
      <c r="J5" s="392"/>
      <c r="K5" s="299"/>
      <c r="L5" s="573"/>
      <c r="M5" s="301"/>
      <c r="N5" s="301" t="s">
        <v>3961</v>
      </c>
      <c r="O5" s="301" t="s">
        <v>1105</v>
      </c>
      <c r="P5" s="301"/>
      <c r="Q5" s="299"/>
      <c r="R5" s="301"/>
      <c r="S5" s="301"/>
      <c r="T5" s="436"/>
      <c r="U5" s="436"/>
      <c r="V5" s="436"/>
      <c r="W5" s="437"/>
      <c r="X5" s="299"/>
      <c r="Y5" s="519"/>
      <c r="Z5" s="519"/>
      <c r="AD5" s="481"/>
      <c r="AE5" s="480"/>
      <c r="AF5" s="479"/>
      <c r="AK5" s="481"/>
      <c r="AR5" s="481"/>
      <c r="AY5" s="481"/>
      <c r="BF5" s="481"/>
      <c r="BJ5" s="480"/>
      <c r="BK5" s="479"/>
      <c r="BM5" s="481"/>
      <c r="BT5" s="481"/>
      <c r="CA5" s="481"/>
      <c r="CH5" s="481"/>
      <c r="CN5" s="480"/>
      <c r="CO5" s="479"/>
      <c r="CV5" s="481"/>
      <c r="DC5" s="481"/>
      <c r="DJ5" s="481"/>
      <c r="DQ5" s="481"/>
      <c r="DS5" s="480"/>
      <c r="DT5" s="479"/>
      <c r="DX5" s="481"/>
      <c r="EE5" s="481"/>
      <c r="EL5" s="481"/>
      <c r="ES5" s="481"/>
      <c r="EX5" s="480"/>
      <c r="EY5" s="479"/>
      <c r="EZ5" s="481"/>
      <c r="FG5" s="481"/>
      <c r="FN5" s="481"/>
      <c r="FU5" s="481"/>
      <c r="FZ5" s="480"/>
      <c r="GA5" s="479"/>
      <c r="GB5" s="481"/>
      <c r="GI5" s="481"/>
      <c r="GP5" s="481"/>
      <c r="GW5" s="481"/>
      <c r="HD5" s="481"/>
      <c r="HE5" s="480"/>
      <c r="HF5" s="479"/>
      <c r="HK5" s="481"/>
      <c r="HR5" s="481"/>
      <c r="HY5" s="481"/>
      <c r="IF5" s="481"/>
      <c r="II5" s="480"/>
      <c r="IJ5" s="479"/>
      <c r="IM5" s="481"/>
      <c r="IT5" s="481"/>
      <c r="JA5" s="481"/>
      <c r="JH5" s="481"/>
      <c r="JN5" s="480"/>
      <c r="JO5" s="479"/>
      <c r="JV5" s="481"/>
      <c r="KC5" s="481"/>
      <c r="KJ5" s="481"/>
      <c r="KQ5" s="481"/>
      <c r="KR5" s="480"/>
      <c r="KS5" s="479"/>
      <c r="KX5" s="481"/>
      <c r="LE5" s="481"/>
      <c r="LL5" s="481"/>
      <c r="LS5" s="481"/>
      <c r="LW5" s="480"/>
      <c r="LZ5" s="481"/>
      <c r="MG5" s="481"/>
      <c r="MN5" s="481"/>
      <c r="MU5" s="481"/>
      <c r="NB5" s="481"/>
      <c r="NC5" s="480"/>
    </row>
    <row r="6" spans="1:367">
      <c r="A6" s="298" t="s">
        <v>8</v>
      </c>
      <c r="B6" s="299" t="s">
        <v>88</v>
      </c>
      <c r="C6" s="517">
        <v>46272.583333333336</v>
      </c>
      <c r="D6" s="425">
        <v>5</v>
      </c>
      <c r="E6" s="300"/>
      <c r="F6" s="300"/>
      <c r="G6" s="300"/>
      <c r="H6" s="300"/>
      <c r="I6" s="300"/>
      <c r="J6" s="392"/>
      <c r="K6" s="299"/>
      <c r="L6" s="573"/>
      <c r="M6" s="301"/>
      <c r="N6" s="301" t="s">
        <v>3703</v>
      </c>
      <c r="O6" s="301" t="s">
        <v>1105</v>
      </c>
      <c r="P6" s="301"/>
      <c r="Q6" s="299"/>
      <c r="R6" s="301"/>
      <c r="S6" s="301"/>
      <c r="T6" s="436"/>
      <c r="U6" s="436"/>
      <c r="V6" s="436"/>
      <c r="W6" s="437"/>
      <c r="X6" s="299"/>
      <c r="Y6" s="519"/>
      <c r="Z6" s="519"/>
      <c r="AD6" s="481"/>
      <c r="AE6" s="480"/>
      <c r="AF6" s="479"/>
      <c r="AK6" s="481"/>
      <c r="AR6" s="481"/>
      <c r="AY6" s="481"/>
      <c r="BF6" s="481"/>
      <c r="BJ6" s="480"/>
      <c r="BK6" s="479"/>
      <c r="BM6" s="481"/>
      <c r="BT6" s="481"/>
      <c r="CA6" s="481"/>
      <c r="CH6" s="481"/>
      <c r="CN6" s="480"/>
      <c r="CO6" s="479"/>
      <c r="CV6" s="481"/>
      <c r="DC6" s="481"/>
      <c r="DJ6" s="481"/>
      <c r="DQ6" s="481"/>
      <c r="DS6" s="480"/>
      <c r="DT6" s="479"/>
      <c r="DX6" s="481"/>
      <c r="EE6" s="481"/>
      <c r="EL6" s="481"/>
      <c r="ES6" s="481"/>
      <c r="EX6" s="480"/>
      <c r="EY6" s="479"/>
      <c r="EZ6" s="481"/>
      <c r="FG6" s="481"/>
      <c r="FN6" s="481"/>
      <c r="FU6" s="481"/>
      <c r="FZ6" s="480"/>
      <c r="GA6" s="479"/>
      <c r="GB6" s="481"/>
      <c r="GI6" s="481"/>
      <c r="GP6" s="481"/>
      <c r="GW6" s="481"/>
      <c r="HD6" s="481"/>
      <c r="HE6" s="480"/>
      <c r="HF6" s="479"/>
      <c r="HK6" s="481"/>
      <c r="HR6" s="481"/>
      <c r="HY6" s="481"/>
      <c r="IF6" s="481"/>
      <c r="II6" s="480"/>
      <c r="IJ6" s="479"/>
      <c r="IM6" s="481"/>
      <c r="IT6" s="481"/>
      <c r="JA6" s="481"/>
      <c r="JH6" s="481"/>
      <c r="JN6" s="480"/>
      <c r="JO6" s="479"/>
      <c r="JV6" s="481"/>
      <c r="KC6" s="481"/>
      <c r="KJ6" s="481"/>
      <c r="KQ6" s="481"/>
      <c r="KR6" s="480"/>
      <c r="KS6" s="479"/>
      <c r="KX6" s="481"/>
      <c r="LE6" s="481"/>
      <c r="LL6" s="481"/>
      <c r="LS6" s="481"/>
      <c r="LW6" s="480"/>
      <c r="LZ6" s="481"/>
      <c r="MG6" s="481"/>
      <c r="MN6" s="481"/>
      <c r="MU6" s="481"/>
      <c r="NB6" s="481"/>
      <c r="NC6" s="480"/>
    </row>
    <row r="7" spans="1:367">
      <c r="A7" s="298" t="s">
        <v>10</v>
      </c>
      <c r="B7" s="299" t="s">
        <v>88</v>
      </c>
      <c r="C7" s="517">
        <v>46256.583333333336</v>
      </c>
      <c r="D7" s="425">
        <v>3</v>
      </c>
      <c r="E7" s="300"/>
      <c r="F7" s="300"/>
      <c r="G7" s="300"/>
      <c r="H7" s="300"/>
      <c r="I7" s="300"/>
      <c r="J7" s="392"/>
      <c r="K7" s="299"/>
      <c r="L7" s="573"/>
      <c r="M7" s="301"/>
      <c r="N7" s="301" t="s">
        <v>3944</v>
      </c>
      <c r="O7" s="301" t="s">
        <v>1105</v>
      </c>
      <c r="P7" s="301"/>
      <c r="Q7" s="299"/>
      <c r="R7" s="301"/>
      <c r="S7" s="301"/>
      <c r="T7" s="436"/>
      <c r="U7" s="436"/>
      <c r="V7" s="436"/>
      <c r="W7" s="437"/>
      <c r="X7" s="299"/>
      <c r="Y7" s="519"/>
      <c r="Z7" s="519"/>
      <c r="AD7" s="481"/>
      <c r="AE7" s="480"/>
      <c r="AF7" s="479"/>
      <c r="AK7" s="481"/>
      <c r="AR7" s="481"/>
      <c r="AY7" s="481"/>
      <c r="BF7" s="481"/>
      <c r="BJ7" s="480"/>
      <c r="BK7" s="479"/>
      <c r="BM7" s="481"/>
      <c r="BT7" s="481"/>
      <c r="CA7" s="481"/>
      <c r="CH7" s="481"/>
      <c r="CN7" s="480"/>
      <c r="CO7" s="479"/>
      <c r="CV7" s="481"/>
      <c r="DC7" s="481"/>
      <c r="DJ7" s="481"/>
      <c r="DQ7" s="481"/>
      <c r="DS7" s="480"/>
      <c r="DT7" s="479"/>
      <c r="DX7" s="481"/>
      <c r="EE7" s="481"/>
      <c r="EL7" s="481"/>
      <c r="ES7" s="481"/>
      <c r="EX7" s="480"/>
      <c r="EY7" s="479"/>
      <c r="EZ7" s="481"/>
      <c r="FG7" s="481"/>
      <c r="FN7" s="481"/>
      <c r="FU7" s="481"/>
      <c r="FZ7" s="480"/>
      <c r="GA7" s="479"/>
      <c r="GB7" s="481"/>
      <c r="GI7" s="481"/>
      <c r="GP7" s="481"/>
      <c r="GW7" s="481"/>
      <c r="HD7" s="481"/>
      <c r="HE7" s="480"/>
      <c r="HF7" s="479"/>
      <c r="HK7" s="481"/>
      <c r="HR7" s="481"/>
      <c r="HY7" s="481"/>
      <c r="IF7" s="481"/>
      <c r="II7" s="480"/>
      <c r="IJ7" s="479"/>
      <c r="IM7" s="481"/>
      <c r="IT7" s="481"/>
      <c r="JA7" s="481"/>
      <c r="JH7" s="481"/>
      <c r="JN7" s="480"/>
      <c r="JO7" s="479"/>
      <c r="JV7" s="481"/>
      <c r="KC7" s="481"/>
      <c r="KJ7" s="481"/>
      <c r="KQ7" s="481"/>
      <c r="KR7" s="480"/>
      <c r="KS7" s="479"/>
      <c r="KX7" s="481"/>
      <c r="LE7" s="481"/>
      <c r="LL7" s="481"/>
      <c r="LS7" s="481"/>
      <c r="LW7" s="480"/>
      <c r="LZ7" s="481"/>
      <c r="MG7" s="481"/>
      <c r="MN7" s="481"/>
      <c r="MU7" s="481"/>
      <c r="NB7" s="481"/>
      <c r="NC7" s="480"/>
    </row>
    <row r="8" spans="1:367">
      <c r="A8" s="298" t="s">
        <v>8</v>
      </c>
      <c r="B8" s="299" t="s">
        <v>88</v>
      </c>
      <c r="C8" s="517">
        <v>46246.583333333336</v>
      </c>
      <c r="D8" s="425">
        <v>3</v>
      </c>
      <c r="E8" s="300"/>
      <c r="F8" s="300"/>
      <c r="G8" s="300"/>
      <c r="H8" s="300"/>
      <c r="I8" s="300"/>
      <c r="J8" s="392"/>
      <c r="K8" s="299"/>
      <c r="L8" s="573"/>
      <c r="M8" s="301"/>
      <c r="N8" s="301" t="s">
        <v>3945</v>
      </c>
      <c r="O8" s="301" t="s">
        <v>1105</v>
      </c>
      <c r="P8" s="301"/>
      <c r="Q8" s="299"/>
      <c r="R8" s="301"/>
      <c r="S8" s="301"/>
      <c r="T8" s="436"/>
      <c r="U8" s="436"/>
      <c r="V8" s="436"/>
      <c r="W8" s="437"/>
      <c r="X8" s="299"/>
      <c r="Y8" s="519"/>
      <c r="Z8" s="519"/>
      <c r="AD8" s="481"/>
      <c r="AE8" s="480"/>
      <c r="AF8" s="479"/>
      <c r="AK8" s="481"/>
      <c r="AR8" s="481"/>
      <c r="AY8" s="481"/>
      <c r="BF8" s="481"/>
      <c r="BJ8" s="480"/>
      <c r="BK8" s="479"/>
      <c r="BM8" s="481"/>
      <c r="BT8" s="481"/>
      <c r="CA8" s="481"/>
      <c r="CH8" s="481"/>
      <c r="CN8" s="480"/>
      <c r="CO8" s="479"/>
      <c r="CV8" s="481"/>
      <c r="DC8" s="481"/>
      <c r="DJ8" s="481"/>
      <c r="DQ8" s="481"/>
      <c r="DS8" s="480"/>
      <c r="DT8" s="479"/>
      <c r="DX8" s="481"/>
      <c r="EE8" s="481"/>
      <c r="EL8" s="481"/>
      <c r="ES8" s="481"/>
      <c r="EX8" s="480"/>
      <c r="EY8" s="479"/>
      <c r="EZ8" s="481"/>
      <c r="FG8" s="481"/>
      <c r="FN8" s="481"/>
      <c r="FU8" s="481"/>
      <c r="FZ8" s="480"/>
      <c r="GA8" s="479"/>
      <c r="GB8" s="481"/>
      <c r="GI8" s="481"/>
      <c r="GP8" s="481"/>
      <c r="GW8" s="481"/>
      <c r="HD8" s="481"/>
      <c r="HE8" s="480"/>
      <c r="HF8" s="479"/>
      <c r="HK8" s="481"/>
      <c r="HR8" s="481"/>
      <c r="HY8" s="481"/>
      <c r="IF8" s="481"/>
      <c r="II8" s="480"/>
      <c r="IJ8" s="479"/>
      <c r="IM8" s="481"/>
      <c r="IT8" s="481"/>
      <c r="JA8" s="481"/>
      <c r="JH8" s="481"/>
      <c r="JN8" s="480"/>
      <c r="JO8" s="479"/>
      <c r="JV8" s="481"/>
      <c r="KC8" s="481"/>
      <c r="KJ8" s="481"/>
      <c r="KQ8" s="481"/>
      <c r="KR8" s="480"/>
      <c r="KS8" s="479"/>
      <c r="KX8" s="481"/>
      <c r="LE8" s="481"/>
      <c r="LL8" s="481"/>
      <c r="LS8" s="481"/>
      <c r="LW8" s="480"/>
      <c r="LZ8" s="481"/>
      <c r="MG8" s="481"/>
      <c r="MN8" s="481"/>
      <c r="MU8" s="481"/>
      <c r="NB8" s="481"/>
      <c r="NC8" s="480"/>
    </row>
    <row r="9" spans="1:367">
      <c r="A9" s="298" t="s">
        <v>15</v>
      </c>
      <c r="B9" s="299" t="s">
        <v>88</v>
      </c>
      <c r="C9" s="517">
        <v>46232.645833333336</v>
      </c>
      <c r="D9" s="425">
        <v>52</v>
      </c>
      <c r="E9" s="300"/>
      <c r="F9" s="300"/>
      <c r="G9" s="300"/>
      <c r="H9" s="300"/>
      <c r="I9" s="300"/>
      <c r="J9" s="392"/>
      <c r="K9" s="299"/>
      <c r="L9" s="573"/>
      <c r="M9" s="301"/>
      <c r="N9" s="301" t="s">
        <v>3712</v>
      </c>
      <c r="O9" s="301" t="s">
        <v>1105</v>
      </c>
      <c r="P9" s="301"/>
      <c r="Q9" s="299"/>
      <c r="R9" s="301"/>
      <c r="S9" s="301"/>
      <c r="T9" s="436"/>
      <c r="U9" s="436"/>
      <c r="V9" s="436"/>
      <c r="W9" s="437"/>
      <c r="X9" s="299"/>
      <c r="Y9" s="519"/>
      <c r="Z9" s="519"/>
    </row>
    <row r="10" spans="1:367">
      <c r="A10" s="298" t="s">
        <v>10</v>
      </c>
      <c r="B10" s="299" t="s">
        <v>23</v>
      </c>
      <c r="C10" s="517">
        <v>46228.583333333336</v>
      </c>
      <c r="D10" s="425">
        <v>3</v>
      </c>
      <c r="E10" s="300"/>
      <c r="F10" s="300"/>
      <c r="G10" s="300"/>
      <c r="H10" s="300"/>
      <c r="I10" s="300"/>
      <c r="J10" s="392"/>
      <c r="K10" s="299"/>
      <c r="L10" s="573"/>
      <c r="M10" s="301"/>
      <c r="N10" s="301" t="s">
        <v>3045</v>
      </c>
      <c r="O10" s="301" t="s">
        <v>1105</v>
      </c>
      <c r="P10" s="301"/>
      <c r="Q10" s="299"/>
      <c r="R10" s="301"/>
      <c r="S10" s="301"/>
      <c r="T10" s="436"/>
      <c r="U10" s="436"/>
      <c r="V10" s="436"/>
      <c r="W10" s="437"/>
      <c r="X10" s="299"/>
      <c r="Y10" s="519"/>
      <c r="Z10" s="519"/>
    </row>
    <row r="11" spans="1:367">
      <c r="A11" s="298" t="s">
        <v>8</v>
      </c>
      <c r="B11" s="299" t="s">
        <v>88</v>
      </c>
      <c r="C11" s="517">
        <v>46223.583333333336</v>
      </c>
      <c r="D11" s="425">
        <v>5</v>
      </c>
      <c r="E11" s="300"/>
      <c r="F11" s="300"/>
      <c r="G11" s="300"/>
      <c r="H11" s="300"/>
      <c r="I11" s="300"/>
      <c r="J11" s="392"/>
      <c r="K11" s="299"/>
      <c r="L11" s="573"/>
      <c r="M11" s="301"/>
      <c r="N11" s="301" t="s">
        <v>3633</v>
      </c>
      <c r="O11" s="301" t="s">
        <v>1105</v>
      </c>
      <c r="P11" s="301"/>
      <c r="Q11" s="299"/>
      <c r="R11" s="301"/>
      <c r="S11" s="301"/>
      <c r="T11" s="436"/>
      <c r="U11" s="436"/>
      <c r="V11" s="436"/>
      <c r="W11" s="437"/>
      <c r="X11" s="299"/>
      <c r="Y11" s="519"/>
      <c r="Z11" s="519"/>
    </row>
    <row r="12" spans="1:367">
      <c r="A12" s="298" t="s">
        <v>10</v>
      </c>
      <c r="B12" s="299" t="s">
        <v>88</v>
      </c>
      <c r="C12" s="517">
        <v>46223.583333333336</v>
      </c>
      <c r="D12" s="425">
        <v>3</v>
      </c>
      <c r="E12" s="300"/>
      <c r="F12" s="300"/>
      <c r="G12" s="300"/>
      <c r="H12" s="300"/>
      <c r="I12" s="300"/>
      <c r="J12" s="392"/>
      <c r="K12" s="299"/>
      <c r="L12" s="573"/>
      <c r="M12" s="301"/>
      <c r="N12" s="301" t="s">
        <v>4012</v>
      </c>
      <c r="O12" s="301" t="s">
        <v>1105</v>
      </c>
      <c r="P12" s="301"/>
      <c r="Q12" s="299"/>
      <c r="R12" s="301"/>
      <c r="S12" s="301"/>
      <c r="T12" s="436"/>
      <c r="U12" s="436"/>
      <c r="V12" s="436"/>
      <c r="W12" s="437"/>
      <c r="X12" s="299"/>
      <c r="Y12" s="519"/>
      <c r="Z12" s="519"/>
    </row>
    <row r="13" spans="1:367">
      <c r="A13" s="298" t="s">
        <v>8</v>
      </c>
      <c r="B13" s="299" t="s">
        <v>23</v>
      </c>
      <c r="C13" s="517">
        <v>46213.583333333336</v>
      </c>
      <c r="D13" s="425">
        <v>5</v>
      </c>
      <c r="E13" s="300"/>
      <c r="F13" s="300"/>
      <c r="G13" s="300"/>
      <c r="H13" s="300"/>
      <c r="I13" s="300"/>
      <c r="J13" s="392"/>
      <c r="K13" s="299"/>
      <c r="L13" s="573"/>
      <c r="M13" s="301"/>
      <c r="N13" s="301" t="s">
        <v>3707</v>
      </c>
      <c r="O13" s="301" t="s">
        <v>1105</v>
      </c>
      <c r="P13" s="301"/>
      <c r="Q13" s="299"/>
      <c r="R13" s="301"/>
      <c r="S13" s="301"/>
      <c r="T13" s="436"/>
      <c r="U13" s="436"/>
      <c r="V13" s="436"/>
      <c r="W13" s="437"/>
      <c r="X13" s="299"/>
      <c r="Y13" s="519"/>
      <c r="Z13" s="519"/>
    </row>
    <row r="14" spans="1:367">
      <c r="A14" s="298" t="s">
        <v>10</v>
      </c>
      <c r="B14" s="299" t="s">
        <v>23</v>
      </c>
      <c r="C14" s="517">
        <v>46212.583333333336</v>
      </c>
      <c r="D14" s="425">
        <v>4</v>
      </c>
      <c r="E14" s="300"/>
      <c r="F14" s="300"/>
      <c r="G14" s="300"/>
      <c r="H14" s="300"/>
      <c r="I14" s="300"/>
      <c r="J14" s="392"/>
      <c r="K14" s="299"/>
      <c r="L14" s="573"/>
      <c r="M14" s="301"/>
      <c r="N14" s="301" t="s">
        <v>3261</v>
      </c>
      <c r="O14" s="301" t="s">
        <v>1105</v>
      </c>
      <c r="P14" s="301"/>
      <c r="Q14" s="299"/>
      <c r="R14" s="301"/>
      <c r="S14" s="301"/>
      <c r="T14" s="436"/>
      <c r="U14" s="436"/>
      <c r="V14" s="436"/>
      <c r="W14" s="437"/>
      <c r="X14" s="299"/>
      <c r="Y14" s="519"/>
      <c r="Z14" s="519"/>
    </row>
    <row r="15" spans="1:367">
      <c r="A15" s="298" t="s">
        <v>8</v>
      </c>
      <c r="B15" s="299" t="s">
        <v>23</v>
      </c>
      <c r="C15" s="517">
        <v>46209.583333333336</v>
      </c>
      <c r="D15" s="425">
        <v>4</v>
      </c>
      <c r="E15" s="300"/>
      <c r="F15" s="300"/>
      <c r="G15" s="300"/>
      <c r="H15" s="300"/>
      <c r="I15" s="300"/>
      <c r="J15" s="392"/>
      <c r="K15" s="299"/>
      <c r="L15" s="573"/>
      <c r="M15" s="301"/>
      <c r="N15" s="301" t="s">
        <v>3921</v>
      </c>
      <c r="O15" s="301" t="s">
        <v>1105</v>
      </c>
      <c r="P15" s="301"/>
      <c r="Q15" s="299"/>
      <c r="R15" s="301"/>
      <c r="S15" s="301"/>
      <c r="T15" s="436"/>
      <c r="U15" s="436"/>
      <c r="V15" s="436"/>
      <c r="W15" s="437"/>
      <c r="X15" s="299"/>
      <c r="Y15" s="519"/>
      <c r="Z15" s="519"/>
    </row>
    <row r="16" spans="1:367">
      <c r="A16" s="298" t="s">
        <v>10</v>
      </c>
      <c r="B16" s="299" t="s">
        <v>23</v>
      </c>
      <c r="C16" s="517">
        <v>46206.583333333336</v>
      </c>
      <c r="D16" s="425">
        <v>5</v>
      </c>
      <c r="E16" s="300"/>
      <c r="F16" s="300"/>
      <c r="G16" s="300"/>
      <c r="H16" s="300"/>
      <c r="I16" s="300"/>
      <c r="J16" s="392"/>
      <c r="K16" s="299"/>
      <c r="L16" s="573"/>
      <c r="M16" s="301"/>
      <c r="N16" s="301" t="s">
        <v>3918</v>
      </c>
      <c r="O16" s="301" t="s">
        <v>1105</v>
      </c>
      <c r="P16" s="301"/>
      <c r="Q16" s="299"/>
      <c r="R16" s="301"/>
      <c r="S16" s="301"/>
      <c r="T16" s="436"/>
      <c r="U16" s="436"/>
      <c r="V16" s="436"/>
      <c r="W16" s="437"/>
      <c r="X16" s="299"/>
      <c r="Y16" s="519"/>
      <c r="Z16" s="519"/>
    </row>
    <row r="17" spans="1:26">
      <c r="A17" s="298" t="s">
        <v>8</v>
      </c>
      <c r="B17" s="299" t="s">
        <v>23</v>
      </c>
      <c r="C17" s="517">
        <v>46205.583333333336</v>
      </c>
      <c r="D17" s="425">
        <v>3</v>
      </c>
      <c r="E17" s="300"/>
      <c r="F17" s="300"/>
      <c r="G17" s="300"/>
      <c r="H17" s="300"/>
      <c r="I17" s="300"/>
      <c r="J17" s="392"/>
      <c r="K17" s="299"/>
      <c r="L17" s="573"/>
      <c r="M17" s="301"/>
      <c r="N17" s="301" t="s">
        <v>3275</v>
      </c>
      <c r="O17" s="301" t="s">
        <v>1105</v>
      </c>
      <c r="P17" s="301"/>
      <c r="Q17" s="299"/>
      <c r="R17" s="301"/>
      <c r="S17" s="301"/>
      <c r="T17" s="436"/>
      <c r="U17" s="436"/>
      <c r="V17" s="436"/>
      <c r="W17" s="437"/>
      <c r="X17" s="299"/>
      <c r="Y17" s="519"/>
      <c r="Z17" s="519"/>
    </row>
    <row r="18" spans="1:26">
      <c r="A18" s="298" t="s">
        <v>15</v>
      </c>
      <c r="B18" s="299" t="s">
        <v>88</v>
      </c>
      <c r="C18" s="517">
        <v>46202.583333333336</v>
      </c>
      <c r="D18" s="425">
        <v>30</v>
      </c>
      <c r="E18" s="300"/>
      <c r="F18" s="300"/>
      <c r="G18" s="300"/>
      <c r="H18" s="300"/>
      <c r="I18" s="300"/>
      <c r="J18" s="392"/>
      <c r="K18" s="299"/>
      <c r="L18" s="573"/>
      <c r="M18" s="301"/>
      <c r="N18" s="301" t="s">
        <v>3678</v>
      </c>
      <c r="O18" s="301" t="s">
        <v>1105</v>
      </c>
      <c r="P18" s="301"/>
      <c r="Q18" s="299"/>
      <c r="R18" s="301"/>
      <c r="S18" s="301"/>
      <c r="T18" s="436"/>
      <c r="U18" s="436"/>
      <c r="V18" s="436"/>
      <c r="W18" s="437"/>
      <c r="X18" s="299"/>
      <c r="Y18" s="519"/>
      <c r="Z18" s="519"/>
    </row>
    <row r="19" spans="1:26">
      <c r="A19" s="298" t="s">
        <v>8</v>
      </c>
      <c r="B19" s="299" t="s">
        <v>23</v>
      </c>
      <c r="C19" s="517">
        <v>46202.583333333336</v>
      </c>
      <c r="D19" s="425">
        <v>3</v>
      </c>
      <c r="E19" s="300"/>
      <c r="F19" s="300"/>
      <c r="G19" s="300"/>
      <c r="H19" s="300"/>
      <c r="I19" s="300"/>
      <c r="J19" s="392"/>
      <c r="K19" s="299"/>
      <c r="L19" s="573"/>
      <c r="M19" s="301"/>
      <c r="N19" s="301" t="s">
        <v>3276</v>
      </c>
      <c r="O19" s="301" t="s">
        <v>1105</v>
      </c>
      <c r="P19" s="301"/>
      <c r="Q19" s="299"/>
      <c r="R19" s="301"/>
      <c r="S19" s="301"/>
      <c r="T19" s="436"/>
      <c r="U19" s="436"/>
      <c r="V19" s="436"/>
      <c r="W19" s="437"/>
      <c r="X19" s="299"/>
      <c r="Y19" s="519"/>
      <c r="Z19" s="519"/>
    </row>
    <row r="20" spans="1:26">
      <c r="A20" s="298" t="s">
        <v>8</v>
      </c>
      <c r="B20" s="299" t="s">
        <v>88</v>
      </c>
      <c r="C20" s="517">
        <v>46191.583333333336</v>
      </c>
      <c r="D20" s="425">
        <v>6</v>
      </c>
      <c r="E20" s="300"/>
      <c r="F20" s="300"/>
      <c r="G20" s="300"/>
      <c r="H20" s="300"/>
      <c r="I20" s="300"/>
      <c r="J20" s="392"/>
      <c r="K20" s="299"/>
      <c r="L20" s="573"/>
      <c r="M20" s="301"/>
      <c r="N20" s="301" t="s">
        <v>3729</v>
      </c>
      <c r="O20" s="301" t="s">
        <v>1105</v>
      </c>
      <c r="P20" s="301"/>
      <c r="Q20" s="299"/>
      <c r="R20" s="301"/>
      <c r="S20" s="301"/>
      <c r="T20" s="436"/>
      <c r="U20" s="436"/>
      <c r="V20" s="436"/>
      <c r="W20" s="437"/>
      <c r="X20" s="299"/>
      <c r="Y20" s="519"/>
      <c r="Z20" s="519"/>
    </row>
    <row r="21" spans="1:26">
      <c r="A21" s="298" t="s">
        <v>10</v>
      </c>
      <c r="B21" s="299" t="s">
        <v>88</v>
      </c>
      <c r="C21" s="517">
        <v>46188.583333333336</v>
      </c>
      <c r="D21" s="425">
        <v>4</v>
      </c>
      <c r="E21" s="300"/>
      <c r="F21" s="300"/>
      <c r="G21" s="300"/>
      <c r="H21" s="300"/>
      <c r="I21" s="300"/>
      <c r="J21" s="392"/>
      <c r="K21" s="299"/>
      <c r="L21" s="573"/>
      <c r="M21" s="301"/>
      <c r="N21" s="301" t="s">
        <v>3290</v>
      </c>
      <c r="O21" s="301" t="s">
        <v>1105</v>
      </c>
      <c r="P21" s="301"/>
      <c r="Q21" s="299"/>
      <c r="R21" s="301"/>
      <c r="S21" s="301"/>
      <c r="T21" s="436"/>
      <c r="U21" s="436"/>
      <c r="V21" s="436"/>
      <c r="W21" s="437"/>
      <c r="X21" s="299"/>
      <c r="Y21" s="519"/>
      <c r="Z21" s="519"/>
    </row>
    <row r="22" spans="1:26">
      <c r="A22" s="298" t="s">
        <v>8</v>
      </c>
      <c r="B22" s="299" t="s">
        <v>88</v>
      </c>
      <c r="C22" s="517">
        <v>46184.583333333336</v>
      </c>
      <c r="D22" s="425">
        <v>3</v>
      </c>
      <c r="E22" s="300"/>
      <c r="F22" s="300"/>
      <c r="G22" s="300"/>
      <c r="H22" s="300"/>
      <c r="I22" s="300"/>
      <c r="J22" s="392"/>
      <c r="K22" s="299"/>
      <c r="L22" s="573"/>
      <c r="M22" s="301"/>
      <c r="N22" s="301" t="s">
        <v>3713</v>
      </c>
      <c r="O22" s="301" t="s">
        <v>1105</v>
      </c>
      <c r="P22" s="301"/>
      <c r="Q22" s="299"/>
      <c r="R22" s="301"/>
      <c r="S22" s="301"/>
      <c r="T22" s="436"/>
      <c r="U22" s="436"/>
      <c r="V22" s="436"/>
      <c r="W22" s="437"/>
      <c r="X22" s="299"/>
      <c r="Y22" s="519"/>
      <c r="Z22" s="519"/>
    </row>
    <row r="23" spans="1:26">
      <c r="A23" s="298" t="s">
        <v>10</v>
      </c>
      <c r="B23" s="299" t="s">
        <v>88</v>
      </c>
      <c r="C23" s="517">
        <v>46179.583333333336</v>
      </c>
      <c r="D23" s="425">
        <v>6</v>
      </c>
      <c r="E23" s="300"/>
      <c r="F23" s="300"/>
      <c r="G23" s="300"/>
      <c r="H23" s="300"/>
      <c r="I23" s="300"/>
      <c r="J23" s="392"/>
      <c r="K23" s="299"/>
      <c r="L23" s="573"/>
      <c r="M23" s="301"/>
      <c r="N23" s="301" t="s">
        <v>4002</v>
      </c>
      <c r="O23" s="301" t="s">
        <v>1105</v>
      </c>
      <c r="P23" s="301"/>
      <c r="Q23" s="299"/>
      <c r="R23" s="301"/>
      <c r="S23" s="301"/>
      <c r="T23" s="436"/>
      <c r="U23" s="436"/>
      <c r="V23" s="436"/>
      <c r="W23" s="437"/>
      <c r="X23" s="299"/>
      <c r="Y23" s="519"/>
      <c r="Z23" s="519"/>
    </row>
    <row r="24" spans="1:26">
      <c r="A24" s="298" t="s">
        <v>8</v>
      </c>
      <c r="B24" s="299" t="s">
        <v>23</v>
      </c>
      <c r="C24" s="517">
        <v>46178.583333333336</v>
      </c>
      <c r="D24" s="425">
        <v>5</v>
      </c>
      <c r="E24" s="300"/>
      <c r="F24" s="300"/>
      <c r="G24" s="300"/>
      <c r="H24" s="300"/>
      <c r="I24" s="300"/>
      <c r="J24" s="392"/>
      <c r="K24" s="299"/>
      <c r="L24" s="573"/>
      <c r="M24" s="301"/>
      <c r="N24" s="301" t="s">
        <v>3234</v>
      </c>
      <c r="O24" s="301" t="s">
        <v>1105</v>
      </c>
      <c r="P24" s="301"/>
      <c r="Q24" s="299"/>
      <c r="R24" s="301"/>
      <c r="S24" s="301"/>
      <c r="T24" s="436"/>
      <c r="U24" s="436"/>
      <c r="V24" s="436"/>
      <c r="W24" s="437"/>
      <c r="X24" s="299"/>
      <c r="Y24" s="519"/>
      <c r="Z24" s="519"/>
    </row>
    <row r="25" spans="1:26">
      <c r="A25" s="298" t="s">
        <v>8</v>
      </c>
      <c r="B25" s="299" t="s">
        <v>88</v>
      </c>
      <c r="C25" s="517">
        <v>46175.583333333336</v>
      </c>
      <c r="D25" s="425">
        <v>3</v>
      </c>
      <c r="E25" s="300"/>
      <c r="F25" s="300"/>
      <c r="G25" s="300"/>
      <c r="H25" s="300"/>
      <c r="I25" s="300"/>
      <c r="J25" s="392"/>
      <c r="K25" s="299"/>
      <c r="L25" s="573"/>
      <c r="M25" s="301"/>
      <c r="N25" s="301" t="s">
        <v>3938</v>
      </c>
      <c r="O25" s="301" t="s">
        <v>1105</v>
      </c>
      <c r="P25" s="301"/>
      <c r="Q25" s="299"/>
      <c r="R25" s="301"/>
      <c r="S25" s="301"/>
      <c r="T25" s="436"/>
      <c r="U25" s="436"/>
      <c r="V25" s="436"/>
      <c r="W25" s="437"/>
      <c r="X25" s="299"/>
      <c r="Y25" s="519"/>
      <c r="Z25" s="519"/>
    </row>
    <row r="26" spans="1:26">
      <c r="A26" s="298" t="s">
        <v>8</v>
      </c>
      <c r="B26" s="299" t="s">
        <v>88</v>
      </c>
      <c r="C26" s="517">
        <v>46170.708333333336</v>
      </c>
      <c r="D26" s="425">
        <v>4</v>
      </c>
      <c r="E26" s="300"/>
      <c r="F26" s="300"/>
      <c r="G26" s="300"/>
      <c r="H26" s="300"/>
      <c r="I26" s="300"/>
      <c r="J26" s="392"/>
      <c r="K26" s="299"/>
      <c r="L26" s="573"/>
      <c r="M26" s="301"/>
      <c r="N26" s="301" t="s">
        <v>3914</v>
      </c>
      <c r="O26" s="301" t="s">
        <v>1105</v>
      </c>
      <c r="P26" s="301"/>
      <c r="Q26" s="299"/>
      <c r="R26" s="301"/>
      <c r="S26" s="301"/>
      <c r="T26" s="436"/>
      <c r="U26" s="436"/>
      <c r="V26" s="436"/>
      <c r="W26" s="437"/>
      <c r="X26" s="299"/>
      <c r="Y26" s="519"/>
      <c r="Z26" s="519"/>
    </row>
    <row r="27" spans="1:26">
      <c r="A27" s="298" t="s">
        <v>10</v>
      </c>
      <c r="B27" s="299" t="s">
        <v>88</v>
      </c>
      <c r="C27" s="517">
        <v>46169.583333333336</v>
      </c>
      <c r="D27" s="425">
        <v>5</v>
      </c>
      <c r="E27" s="300"/>
      <c r="F27" s="300"/>
      <c r="G27" s="300"/>
      <c r="H27" s="300"/>
      <c r="I27" s="300"/>
      <c r="J27" s="392"/>
      <c r="K27" s="299"/>
      <c r="L27" s="573"/>
      <c r="M27" s="301"/>
      <c r="N27" s="301" t="s">
        <v>3939</v>
      </c>
      <c r="O27" s="301" t="s">
        <v>1105</v>
      </c>
      <c r="P27" s="301"/>
      <c r="Q27" s="299"/>
      <c r="R27" s="301"/>
      <c r="S27" s="301"/>
      <c r="T27" s="436"/>
      <c r="U27" s="436"/>
      <c r="V27" s="436"/>
      <c r="W27" s="437"/>
      <c r="X27" s="299"/>
      <c r="Y27" s="519"/>
      <c r="Z27" s="519"/>
    </row>
    <row r="28" spans="1:26">
      <c r="A28" s="298" t="s">
        <v>8</v>
      </c>
      <c r="B28" s="299" t="s">
        <v>23</v>
      </c>
      <c r="C28" s="517">
        <v>46166.583333333336</v>
      </c>
      <c r="D28" s="425">
        <v>4</v>
      </c>
      <c r="E28" s="300"/>
      <c r="F28" s="300"/>
      <c r="G28" s="300"/>
      <c r="H28" s="300"/>
      <c r="I28" s="300"/>
      <c r="J28" s="392"/>
      <c r="K28" s="299"/>
      <c r="L28" s="573"/>
      <c r="M28" s="301"/>
      <c r="N28" s="301" t="s">
        <v>3722</v>
      </c>
      <c r="O28" s="301" t="s">
        <v>1105</v>
      </c>
      <c r="P28" s="301"/>
      <c r="Q28" s="299"/>
      <c r="R28" s="301"/>
      <c r="S28" s="301"/>
      <c r="T28" s="436"/>
      <c r="U28" s="436"/>
      <c r="V28" s="436"/>
      <c r="W28" s="437"/>
      <c r="X28" s="299"/>
      <c r="Y28" s="519"/>
      <c r="Z28" s="519"/>
    </row>
    <row r="29" spans="1:26">
      <c r="A29" s="298" t="s">
        <v>8</v>
      </c>
      <c r="B29" s="299" t="s">
        <v>23</v>
      </c>
      <c r="C29" s="517">
        <v>46160.583333333336</v>
      </c>
      <c r="D29" s="425">
        <v>3</v>
      </c>
      <c r="E29" s="300"/>
      <c r="F29" s="300"/>
      <c r="G29" s="300"/>
      <c r="H29" s="300"/>
      <c r="I29" s="300"/>
      <c r="J29" s="392"/>
      <c r="K29" s="299"/>
      <c r="L29" s="573"/>
      <c r="M29" s="301"/>
      <c r="N29" s="301" t="s">
        <v>3765</v>
      </c>
      <c r="O29" s="301" t="s">
        <v>1105</v>
      </c>
      <c r="P29" s="301"/>
      <c r="Q29" s="299"/>
      <c r="R29" s="301"/>
      <c r="S29" s="301"/>
      <c r="T29" s="436"/>
      <c r="U29" s="436"/>
      <c r="V29" s="436"/>
      <c r="W29" s="437"/>
      <c r="X29" s="299"/>
      <c r="Y29" s="519"/>
      <c r="Z29" s="519"/>
    </row>
    <row r="30" spans="1:26">
      <c r="A30" s="298" t="s">
        <v>10</v>
      </c>
      <c r="B30" s="299" t="s">
        <v>23</v>
      </c>
      <c r="C30" s="517">
        <v>46157.583333333336</v>
      </c>
      <c r="D30" s="425">
        <v>3</v>
      </c>
      <c r="E30" s="300"/>
      <c r="F30" s="300"/>
      <c r="G30" s="300"/>
      <c r="H30" s="300"/>
      <c r="I30" s="300"/>
      <c r="J30" s="392"/>
      <c r="K30" s="299"/>
      <c r="L30" s="573"/>
      <c r="M30" s="301"/>
      <c r="N30" s="301" t="s">
        <v>3930</v>
      </c>
      <c r="O30" s="301" t="s">
        <v>1105</v>
      </c>
      <c r="P30" s="301"/>
      <c r="Q30" s="299"/>
      <c r="R30" s="301"/>
      <c r="S30" s="301"/>
      <c r="T30" s="436"/>
      <c r="U30" s="436"/>
      <c r="V30" s="436"/>
      <c r="W30" s="437"/>
      <c r="X30" s="299"/>
      <c r="Y30" s="519"/>
      <c r="Z30" s="519"/>
    </row>
    <row r="31" spans="1:26">
      <c r="A31" s="298" t="s">
        <v>8</v>
      </c>
      <c r="B31" s="299" t="s">
        <v>88</v>
      </c>
      <c r="C31" s="517">
        <v>46153.583333333336</v>
      </c>
      <c r="D31" s="425">
        <v>6</v>
      </c>
      <c r="E31" s="300"/>
      <c r="F31" s="300"/>
      <c r="G31" s="300"/>
      <c r="H31" s="300"/>
      <c r="I31" s="300"/>
      <c r="J31" s="392"/>
      <c r="K31" s="299"/>
      <c r="L31" s="573"/>
      <c r="M31" s="301"/>
      <c r="N31" s="301" t="s">
        <v>3892</v>
      </c>
      <c r="O31" s="301" t="s">
        <v>1105</v>
      </c>
      <c r="P31" s="301"/>
      <c r="Q31" s="299"/>
      <c r="R31" s="301"/>
      <c r="S31" s="301"/>
      <c r="T31" s="436"/>
      <c r="U31" s="436"/>
      <c r="V31" s="436"/>
      <c r="W31" s="437"/>
      <c r="X31" s="299"/>
      <c r="Y31" s="519"/>
      <c r="Z31" s="519"/>
    </row>
    <row r="32" spans="1:26">
      <c r="A32" s="298" t="s">
        <v>10</v>
      </c>
      <c r="B32" s="299" t="s">
        <v>88</v>
      </c>
      <c r="C32" s="517">
        <v>46150.583333333336</v>
      </c>
      <c r="D32" s="425">
        <v>6</v>
      </c>
      <c r="E32" s="300"/>
      <c r="F32" s="300"/>
      <c r="G32" s="300"/>
      <c r="H32" s="300"/>
      <c r="I32" s="300"/>
      <c r="J32" s="392"/>
      <c r="K32" s="299"/>
      <c r="L32" s="573"/>
      <c r="M32" s="301"/>
      <c r="N32" s="301" t="s">
        <v>3936</v>
      </c>
      <c r="O32" s="301" t="s">
        <v>1105</v>
      </c>
      <c r="P32" s="301"/>
      <c r="Q32" s="299"/>
      <c r="R32" s="301"/>
      <c r="S32" s="301"/>
      <c r="T32" s="436"/>
      <c r="U32" s="436"/>
      <c r="V32" s="436"/>
      <c r="W32" s="437"/>
      <c r="X32" s="299"/>
      <c r="Y32" s="519"/>
      <c r="Z32" s="519"/>
    </row>
    <row r="33" spans="1:26">
      <c r="A33" s="298" t="s">
        <v>8</v>
      </c>
      <c r="B33" s="299" t="s">
        <v>23</v>
      </c>
      <c r="C33" s="517">
        <v>46144.583333333336</v>
      </c>
      <c r="D33" s="425">
        <v>4</v>
      </c>
      <c r="E33" s="300"/>
      <c r="F33" s="300"/>
      <c r="G33" s="300"/>
      <c r="H33" s="300"/>
      <c r="I33" s="300"/>
      <c r="J33" s="392"/>
      <c r="K33" s="299"/>
      <c r="L33" s="573"/>
      <c r="M33" s="301"/>
      <c r="N33" s="301" t="s">
        <v>3167</v>
      </c>
      <c r="O33" s="301" t="s">
        <v>1105</v>
      </c>
      <c r="P33" s="301"/>
      <c r="Q33" s="299"/>
      <c r="R33" s="301"/>
      <c r="S33" s="301"/>
      <c r="T33" s="436"/>
      <c r="U33" s="436"/>
      <c r="V33" s="436"/>
      <c r="W33" s="437"/>
      <c r="X33" s="299"/>
      <c r="Y33" s="519"/>
      <c r="Z33" s="519"/>
    </row>
    <row r="34" spans="1:26">
      <c r="A34" s="298" t="s">
        <v>10</v>
      </c>
      <c r="B34" s="299" t="s">
        <v>88</v>
      </c>
      <c r="C34" s="517">
        <v>46142.583333333336</v>
      </c>
      <c r="D34" s="425">
        <v>3</v>
      </c>
      <c r="E34" s="300"/>
      <c r="F34" s="300"/>
      <c r="G34" s="300"/>
      <c r="H34" s="300"/>
      <c r="I34" s="300"/>
      <c r="J34" s="392"/>
      <c r="K34" s="299"/>
      <c r="L34" s="573"/>
      <c r="M34" s="301"/>
      <c r="N34" s="301" t="s">
        <v>3983</v>
      </c>
      <c r="O34" s="301" t="s">
        <v>1105</v>
      </c>
      <c r="P34" s="301"/>
      <c r="Q34" s="299"/>
      <c r="R34" s="301"/>
      <c r="S34" s="301"/>
      <c r="T34" s="436"/>
      <c r="U34" s="436"/>
      <c r="V34" s="436"/>
      <c r="W34" s="437"/>
      <c r="X34" s="299"/>
      <c r="Y34" s="519"/>
      <c r="Z34" s="519"/>
    </row>
    <row r="35" spans="1:26">
      <c r="A35" s="298" t="s">
        <v>8</v>
      </c>
      <c r="B35" s="299" t="s">
        <v>88</v>
      </c>
      <c r="C35" s="517">
        <v>46141.583333333336</v>
      </c>
      <c r="D35" s="425">
        <v>3</v>
      </c>
      <c r="E35" s="300"/>
      <c r="F35" s="300"/>
      <c r="G35" s="300"/>
      <c r="H35" s="300"/>
      <c r="I35" s="300"/>
      <c r="J35" s="392"/>
      <c r="K35" s="299"/>
      <c r="L35" s="573"/>
      <c r="M35" s="301"/>
      <c r="N35" s="301" t="s">
        <v>3977</v>
      </c>
      <c r="O35" s="301" t="s">
        <v>1105</v>
      </c>
      <c r="P35" s="301"/>
      <c r="Q35" s="299"/>
      <c r="R35" s="301"/>
      <c r="S35" s="301"/>
      <c r="T35" s="436"/>
      <c r="U35" s="436"/>
      <c r="V35" s="436"/>
      <c r="W35" s="437"/>
      <c r="X35" s="299"/>
      <c r="Y35" s="519"/>
      <c r="Z35" s="519"/>
    </row>
    <row r="36" spans="1:26">
      <c r="A36" s="298" t="s">
        <v>10</v>
      </c>
      <c r="B36" s="299" t="s">
        <v>88</v>
      </c>
      <c r="C36" s="517">
        <v>46136.583333333336</v>
      </c>
      <c r="D36" s="425">
        <v>5</v>
      </c>
      <c r="E36" s="300"/>
      <c r="F36" s="300"/>
      <c r="G36" s="300"/>
      <c r="H36" s="300"/>
      <c r="I36" s="300"/>
      <c r="J36" s="392"/>
      <c r="K36" s="299"/>
      <c r="L36" s="573"/>
      <c r="M36" s="301"/>
      <c r="N36" s="301" t="s">
        <v>3964</v>
      </c>
      <c r="O36" s="301" t="s">
        <v>1105</v>
      </c>
      <c r="P36" s="301"/>
      <c r="Q36" s="299"/>
      <c r="R36" s="301"/>
      <c r="S36" s="301"/>
      <c r="T36" s="436"/>
      <c r="U36" s="436"/>
      <c r="V36" s="436"/>
      <c r="W36" s="437"/>
      <c r="X36" s="299"/>
      <c r="Y36" s="519"/>
      <c r="Z36" s="519"/>
    </row>
    <row r="37" spans="1:26">
      <c r="A37" s="298" t="s">
        <v>8</v>
      </c>
      <c r="B37" s="299" t="s">
        <v>88</v>
      </c>
      <c r="C37" s="517">
        <v>46134.583333333336</v>
      </c>
      <c r="D37" s="425">
        <v>4</v>
      </c>
      <c r="E37" s="300"/>
      <c r="F37" s="300"/>
      <c r="G37" s="300"/>
      <c r="H37" s="300"/>
      <c r="I37" s="300"/>
      <c r="J37" s="392"/>
      <c r="K37" s="299"/>
      <c r="L37" s="573"/>
      <c r="M37" s="301"/>
      <c r="N37" s="301" t="s">
        <v>3911</v>
      </c>
      <c r="O37" s="301" t="s">
        <v>1105</v>
      </c>
      <c r="P37" s="301"/>
      <c r="Q37" s="299"/>
      <c r="R37" s="301"/>
      <c r="S37" s="301"/>
      <c r="T37" s="436"/>
      <c r="U37" s="436"/>
      <c r="V37" s="436"/>
      <c r="W37" s="437"/>
      <c r="X37" s="299"/>
      <c r="Y37" s="519"/>
      <c r="Z37" s="519"/>
    </row>
    <row r="38" spans="1:26">
      <c r="A38" s="298" t="s">
        <v>10</v>
      </c>
      <c r="B38" s="299" t="s">
        <v>88</v>
      </c>
      <c r="C38" s="517">
        <v>46128.583333333336</v>
      </c>
      <c r="D38" s="425">
        <v>5</v>
      </c>
      <c r="E38" s="300"/>
      <c r="F38" s="300"/>
      <c r="G38" s="300"/>
      <c r="H38" s="300"/>
      <c r="I38" s="300"/>
      <c r="J38" s="392"/>
      <c r="K38" s="299"/>
      <c r="L38" s="573"/>
      <c r="M38" s="301"/>
      <c r="N38" s="301" t="s">
        <v>3965</v>
      </c>
      <c r="O38" s="301" t="s">
        <v>1105</v>
      </c>
      <c r="P38" s="301"/>
      <c r="Q38" s="299"/>
      <c r="R38" s="301"/>
      <c r="S38" s="301"/>
      <c r="T38" s="436"/>
      <c r="U38" s="436"/>
      <c r="V38" s="436"/>
      <c r="W38" s="437"/>
      <c r="X38" s="299"/>
      <c r="Y38" s="519"/>
      <c r="Z38" s="519"/>
    </row>
    <row r="39" spans="1:26">
      <c r="A39" s="298" t="s">
        <v>8</v>
      </c>
      <c r="B39" s="299" t="s">
        <v>23</v>
      </c>
      <c r="C39" s="517">
        <v>46128.583333333336</v>
      </c>
      <c r="D39" s="425">
        <v>3</v>
      </c>
      <c r="E39" s="300"/>
      <c r="F39" s="300"/>
      <c r="G39" s="300"/>
      <c r="H39" s="300"/>
      <c r="I39" s="300"/>
      <c r="J39" s="392"/>
      <c r="K39" s="299"/>
      <c r="L39" s="573"/>
      <c r="M39" s="301"/>
      <c r="N39" s="301" t="s">
        <v>3890</v>
      </c>
      <c r="O39" s="301" t="s">
        <v>1105</v>
      </c>
      <c r="P39" s="301"/>
      <c r="Q39" s="299"/>
      <c r="R39" s="301"/>
      <c r="S39" s="301"/>
      <c r="T39" s="436"/>
      <c r="U39" s="436"/>
      <c r="V39" s="436"/>
      <c r="W39" s="437"/>
      <c r="X39" s="299"/>
      <c r="Y39" s="519"/>
      <c r="Z39" s="519"/>
    </row>
    <row r="40" spans="1:26">
      <c r="A40" s="298" t="s">
        <v>8</v>
      </c>
      <c r="B40" s="299" t="s">
        <v>88</v>
      </c>
      <c r="C40" s="517">
        <v>46125.583333333336</v>
      </c>
      <c r="D40" s="425">
        <v>3</v>
      </c>
      <c r="E40" s="300"/>
      <c r="F40" s="300"/>
      <c r="G40" s="300"/>
      <c r="H40" s="300"/>
      <c r="I40" s="300"/>
      <c r="J40" s="392"/>
      <c r="K40" s="299"/>
      <c r="L40" s="573"/>
      <c r="M40" s="301"/>
      <c r="N40" s="301" t="s">
        <v>3906</v>
      </c>
      <c r="O40" s="301" t="s">
        <v>1105</v>
      </c>
      <c r="P40" s="301"/>
      <c r="Q40" s="299"/>
      <c r="R40" s="301"/>
      <c r="S40" s="301"/>
      <c r="T40" s="436"/>
      <c r="U40" s="436"/>
      <c r="V40" s="436"/>
      <c r="W40" s="437"/>
      <c r="X40" s="299"/>
      <c r="Y40" s="519"/>
      <c r="Z40" s="519"/>
    </row>
    <row r="41" spans="1:26">
      <c r="A41" s="298" t="s">
        <v>8</v>
      </c>
      <c r="B41" s="299" t="s">
        <v>23</v>
      </c>
      <c r="C41" s="517">
        <v>46122.583333333336</v>
      </c>
      <c r="D41" s="425">
        <v>3</v>
      </c>
      <c r="E41" s="300"/>
      <c r="F41" s="300"/>
      <c r="G41" s="300"/>
      <c r="H41" s="300"/>
      <c r="I41" s="300"/>
      <c r="J41" s="392"/>
      <c r="K41" s="299"/>
      <c r="L41" s="573"/>
      <c r="M41" s="301"/>
      <c r="N41" s="541" t="s">
        <v>3711</v>
      </c>
      <c r="O41" s="301" t="s">
        <v>1105</v>
      </c>
      <c r="P41" s="301"/>
      <c r="Q41" s="299"/>
      <c r="R41" s="301"/>
      <c r="S41" s="301"/>
      <c r="T41" s="436"/>
      <c r="U41" s="436"/>
      <c r="V41" s="436"/>
      <c r="W41" s="437"/>
      <c r="X41" s="299"/>
      <c r="Y41" s="519"/>
      <c r="Z41" s="519"/>
    </row>
    <row r="42" spans="1:26">
      <c r="A42" s="298" t="s">
        <v>10</v>
      </c>
      <c r="B42" s="299" t="s">
        <v>88</v>
      </c>
      <c r="C42" s="517">
        <v>46119.583333333336</v>
      </c>
      <c r="D42" s="425">
        <v>3</v>
      </c>
      <c r="E42" s="300"/>
      <c r="F42" s="300"/>
      <c r="G42" s="300"/>
      <c r="H42" s="300"/>
      <c r="I42" s="300"/>
      <c r="J42" s="392"/>
      <c r="K42" s="299"/>
      <c r="L42" s="573"/>
      <c r="M42" s="301"/>
      <c r="N42" s="301" t="s">
        <v>3932</v>
      </c>
      <c r="O42" s="301" t="s">
        <v>1105</v>
      </c>
      <c r="P42" s="301"/>
      <c r="Q42" s="299"/>
      <c r="R42" s="301"/>
      <c r="S42" s="301"/>
      <c r="T42" s="436"/>
      <c r="U42" s="436"/>
      <c r="V42" s="436"/>
      <c r="W42" s="437"/>
      <c r="X42" s="299"/>
      <c r="Y42" s="519"/>
      <c r="Z42" s="519"/>
    </row>
    <row r="43" spans="1:26">
      <c r="A43" s="298" t="s">
        <v>8</v>
      </c>
      <c r="B43" s="299" t="s">
        <v>23</v>
      </c>
      <c r="C43" s="517">
        <v>46117.583333333336</v>
      </c>
      <c r="D43" s="425">
        <v>5</v>
      </c>
      <c r="E43" s="300"/>
      <c r="F43" s="300"/>
      <c r="G43" s="300"/>
      <c r="H43" s="300"/>
      <c r="I43" s="300"/>
      <c r="J43" s="392"/>
      <c r="K43" s="299"/>
      <c r="L43" s="573"/>
      <c r="M43" s="301"/>
      <c r="N43" s="301" t="s">
        <v>3926</v>
      </c>
      <c r="O43" s="301" t="s">
        <v>1105</v>
      </c>
      <c r="P43" s="301"/>
      <c r="Q43" s="299"/>
      <c r="R43" s="301"/>
      <c r="S43" s="301"/>
      <c r="T43" s="436"/>
      <c r="U43" s="436"/>
      <c r="V43" s="436"/>
      <c r="W43" s="437"/>
      <c r="X43" s="299"/>
      <c r="Y43" s="519"/>
      <c r="Z43" s="519"/>
    </row>
    <row r="44" spans="1:26">
      <c r="A44" s="298" t="s">
        <v>10</v>
      </c>
      <c r="B44" s="299" t="s">
        <v>88</v>
      </c>
      <c r="C44" s="517">
        <v>46113.583333333336</v>
      </c>
      <c r="D44" s="425">
        <v>4</v>
      </c>
      <c r="E44" s="300"/>
      <c r="F44" s="300"/>
      <c r="G44" s="300"/>
      <c r="H44" s="300"/>
      <c r="I44" s="300"/>
      <c r="J44" s="392"/>
      <c r="K44" s="299"/>
      <c r="L44" s="573"/>
      <c r="M44" s="301"/>
      <c r="N44" s="301" t="s">
        <v>3988</v>
      </c>
      <c r="O44" s="301" t="s">
        <v>1105</v>
      </c>
      <c r="P44" s="301"/>
      <c r="Q44" s="299"/>
      <c r="R44" s="301"/>
      <c r="S44" s="301"/>
      <c r="T44" s="436"/>
      <c r="U44" s="436"/>
      <c r="V44" s="436"/>
      <c r="W44" s="437"/>
      <c r="X44" s="299"/>
      <c r="Y44" s="519"/>
      <c r="Z44" s="519"/>
    </row>
    <row r="45" spans="1:26">
      <c r="A45" s="298" t="s">
        <v>10</v>
      </c>
      <c r="B45" s="299" t="s">
        <v>23</v>
      </c>
      <c r="C45" s="517">
        <v>46109.625</v>
      </c>
      <c r="D45" s="425">
        <v>2</v>
      </c>
      <c r="E45" s="300"/>
      <c r="F45" s="300"/>
      <c r="G45" s="300"/>
      <c r="H45" s="300"/>
      <c r="I45" s="300"/>
      <c r="J45" s="392"/>
      <c r="K45" s="299"/>
      <c r="L45" s="573"/>
      <c r="M45" s="301"/>
      <c r="N45" s="301" t="s">
        <v>3724</v>
      </c>
      <c r="O45" s="301" t="s">
        <v>1105</v>
      </c>
      <c r="P45" s="301"/>
      <c r="Q45" s="299"/>
      <c r="R45" s="301"/>
      <c r="S45" s="301"/>
      <c r="T45" s="436"/>
      <c r="U45" s="436"/>
      <c r="V45" s="436"/>
      <c r="W45" s="437"/>
      <c r="X45" s="299"/>
      <c r="Y45" s="519"/>
      <c r="Z45" s="519"/>
    </row>
    <row r="46" spans="1:26">
      <c r="A46" s="298" t="s">
        <v>8</v>
      </c>
      <c r="B46" s="299" t="s">
        <v>88</v>
      </c>
      <c r="C46" s="517">
        <v>46107.625</v>
      </c>
      <c r="D46" s="425">
        <v>8</v>
      </c>
      <c r="E46" s="300"/>
      <c r="F46" s="300"/>
      <c r="G46" s="300"/>
      <c r="H46" s="300"/>
      <c r="I46" s="300"/>
      <c r="J46" s="392"/>
      <c r="K46" s="299"/>
      <c r="L46" s="573"/>
      <c r="M46" s="301"/>
      <c r="N46" s="301" t="s">
        <v>3130</v>
      </c>
      <c r="O46" s="301" t="s">
        <v>1105</v>
      </c>
      <c r="P46" s="301"/>
      <c r="Q46" s="299"/>
      <c r="R46" s="301"/>
      <c r="S46" s="301"/>
      <c r="T46" s="436"/>
      <c r="U46" s="436"/>
      <c r="V46" s="436"/>
      <c r="W46" s="437"/>
      <c r="X46" s="299"/>
      <c r="Y46" s="519"/>
      <c r="Z46" s="519"/>
    </row>
    <row r="47" spans="1:26">
      <c r="A47" s="298" t="s">
        <v>10</v>
      </c>
      <c r="B47" s="299" t="s">
        <v>23</v>
      </c>
      <c r="C47" s="517">
        <v>46102.625</v>
      </c>
      <c r="D47" s="425">
        <v>2</v>
      </c>
      <c r="E47" s="300"/>
      <c r="F47" s="300"/>
      <c r="G47" s="300"/>
      <c r="H47" s="300"/>
      <c r="I47" s="300"/>
      <c r="J47" s="392"/>
      <c r="K47" s="299"/>
      <c r="L47" s="573"/>
      <c r="M47" s="301"/>
      <c r="N47" s="301" t="s">
        <v>3968</v>
      </c>
      <c r="O47" s="301" t="s">
        <v>1105</v>
      </c>
      <c r="P47" s="301"/>
      <c r="Q47" s="299"/>
      <c r="R47" s="301"/>
      <c r="S47" s="301"/>
      <c r="T47" s="436"/>
      <c r="U47" s="436"/>
      <c r="V47" s="436"/>
      <c r="W47" s="437"/>
      <c r="X47" s="299"/>
      <c r="Y47" s="519"/>
      <c r="Z47" s="519"/>
    </row>
    <row r="48" spans="1:26">
      <c r="A48" s="298" t="s">
        <v>10</v>
      </c>
      <c r="B48" s="299" t="s">
        <v>88</v>
      </c>
      <c r="C48" s="517">
        <v>46099.625</v>
      </c>
      <c r="D48" s="425">
        <v>3</v>
      </c>
      <c r="E48" s="300"/>
      <c r="F48" s="300"/>
      <c r="G48" s="300"/>
      <c r="H48" s="300"/>
      <c r="I48" s="300"/>
      <c r="J48" s="392"/>
      <c r="K48" s="299"/>
      <c r="L48" s="573"/>
      <c r="M48" s="301"/>
      <c r="N48" s="301" t="s">
        <v>3738</v>
      </c>
      <c r="O48" s="301" t="s">
        <v>1105</v>
      </c>
      <c r="P48" s="301"/>
      <c r="Q48" s="299"/>
      <c r="R48" s="301"/>
      <c r="S48" s="301"/>
      <c r="T48" s="436"/>
      <c r="U48" s="436"/>
      <c r="V48" s="436"/>
      <c r="W48" s="437"/>
      <c r="X48" s="299"/>
      <c r="Y48" s="519"/>
      <c r="Z48" s="519"/>
    </row>
    <row r="49" spans="1:26">
      <c r="A49" s="298" t="s">
        <v>8</v>
      </c>
      <c r="B49" s="299" t="s">
        <v>88</v>
      </c>
      <c r="C49" s="517">
        <v>46098.625</v>
      </c>
      <c r="D49" s="425">
        <v>7</v>
      </c>
      <c r="E49" s="300"/>
      <c r="F49" s="300"/>
      <c r="G49" s="300"/>
      <c r="H49" s="300"/>
      <c r="I49" s="300"/>
      <c r="J49" s="392"/>
      <c r="K49" s="299"/>
      <c r="L49" s="573"/>
      <c r="M49" s="301"/>
      <c r="N49" s="301" t="s">
        <v>3922</v>
      </c>
      <c r="O49" s="301" t="s">
        <v>1105</v>
      </c>
      <c r="P49" s="301"/>
      <c r="Q49" s="299"/>
      <c r="R49" s="301"/>
      <c r="S49" s="301"/>
      <c r="T49" s="436"/>
      <c r="U49" s="436"/>
      <c r="V49" s="436"/>
      <c r="W49" s="437"/>
      <c r="X49" s="299"/>
      <c r="Y49" s="519"/>
      <c r="Z49" s="519"/>
    </row>
    <row r="50" spans="1:26">
      <c r="A50" s="298" t="s">
        <v>10</v>
      </c>
      <c r="B50" s="299" t="s">
        <v>23</v>
      </c>
      <c r="C50" s="517">
        <v>46096.625</v>
      </c>
      <c r="D50" s="425">
        <v>2</v>
      </c>
      <c r="E50" s="300"/>
      <c r="F50" s="300"/>
      <c r="G50" s="300"/>
      <c r="H50" s="300"/>
      <c r="I50" s="300"/>
      <c r="J50" s="392"/>
      <c r="K50" s="299"/>
      <c r="L50" s="573"/>
      <c r="M50" s="301"/>
      <c r="N50" s="301" t="s">
        <v>3991</v>
      </c>
      <c r="O50" s="301" t="s">
        <v>1105</v>
      </c>
      <c r="P50" s="301"/>
      <c r="Q50" s="299"/>
      <c r="R50" s="301"/>
      <c r="S50" s="301"/>
      <c r="T50" s="436"/>
      <c r="U50" s="436"/>
      <c r="V50" s="436"/>
      <c r="W50" s="437"/>
      <c r="X50" s="299"/>
      <c r="Y50" s="519"/>
      <c r="Z50" s="519"/>
    </row>
    <row r="51" spans="1:26">
      <c r="A51" s="298" t="s">
        <v>8</v>
      </c>
      <c r="B51" s="299" t="s">
        <v>88</v>
      </c>
      <c r="C51" s="517">
        <v>46095.625</v>
      </c>
      <c r="D51" s="425">
        <v>3</v>
      </c>
      <c r="E51" s="300"/>
      <c r="F51" s="300"/>
      <c r="G51" s="300"/>
      <c r="H51" s="300"/>
      <c r="I51" s="300"/>
      <c r="J51" s="392"/>
      <c r="K51" s="299"/>
      <c r="L51" s="573"/>
      <c r="M51" s="301"/>
      <c r="N51" s="301" t="s">
        <v>4010</v>
      </c>
      <c r="O51" s="301" t="s">
        <v>1105</v>
      </c>
      <c r="P51" s="301"/>
      <c r="Q51" s="299"/>
      <c r="R51" s="301"/>
      <c r="S51" s="301"/>
      <c r="T51" s="436"/>
      <c r="U51" s="436"/>
      <c r="V51" s="436"/>
      <c r="W51" s="437"/>
      <c r="X51" s="299"/>
      <c r="Y51" s="519"/>
      <c r="Z51" s="519"/>
    </row>
    <row r="52" spans="1:26">
      <c r="A52" s="298" t="s">
        <v>10</v>
      </c>
      <c r="B52" s="299" t="s">
        <v>88</v>
      </c>
      <c r="C52" s="517">
        <v>46091.625</v>
      </c>
      <c r="D52" s="425">
        <v>5</v>
      </c>
      <c r="E52" s="300"/>
      <c r="F52" s="300"/>
      <c r="G52" s="300"/>
      <c r="H52" s="300"/>
      <c r="I52" s="300"/>
      <c r="J52" s="392"/>
      <c r="K52" s="299"/>
      <c r="L52" s="573"/>
      <c r="M52" s="301"/>
      <c r="N52" s="301" t="s">
        <v>3981</v>
      </c>
      <c r="O52" s="301" t="s">
        <v>1105</v>
      </c>
      <c r="P52" s="301"/>
      <c r="Q52" s="299"/>
      <c r="R52" s="301"/>
      <c r="S52" s="301"/>
      <c r="T52" s="436"/>
      <c r="U52" s="436"/>
      <c r="V52" s="436"/>
      <c r="W52" s="437"/>
      <c r="X52" s="299"/>
      <c r="Y52" s="519"/>
      <c r="Z52" s="519"/>
    </row>
    <row r="53" spans="1:26">
      <c r="A53" s="298" t="s">
        <v>8</v>
      </c>
      <c r="B53" s="299" t="s">
        <v>88</v>
      </c>
      <c r="C53" s="517">
        <v>46089.625</v>
      </c>
      <c r="D53" s="425">
        <v>6</v>
      </c>
      <c r="E53" s="300"/>
      <c r="F53" s="300"/>
      <c r="G53" s="300"/>
      <c r="H53" s="300"/>
      <c r="I53" s="300"/>
      <c r="J53" s="392"/>
      <c r="K53" s="299"/>
      <c r="L53" s="573"/>
      <c r="M53" s="301"/>
      <c r="N53" s="301" t="s">
        <v>3710</v>
      </c>
      <c r="O53" s="301" t="s">
        <v>1105</v>
      </c>
      <c r="P53" s="301"/>
      <c r="Q53" s="299"/>
      <c r="R53" s="301"/>
      <c r="S53" s="301"/>
      <c r="T53" s="436"/>
      <c r="U53" s="436"/>
      <c r="V53" s="436"/>
      <c r="W53" s="437"/>
      <c r="X53" s="299"/>
      <c r="Y53" s="519"/>
      <c r="Z53" s="519"/>
    </row>
    <row r="54" spans="1:26">
      <c r="A54" s="298" t="s">
        <v>8</v>
      </c>
      <c r="B54" s="299" t="s">
        <v>88</v>
      </c>
      <c r="C54" s="517">
        <v>46085.625</v>
      </c>
      <c r="D54" s="425">
        <v>4</v>
      </c>
      <c r="E54" s="300"/>
      <c r="F54" s="300"/>
      <c r="G54" s="300"/>
      <c r="H54" s="300"/>
      <c r="I54" s="300"/>
      <c r="J54" s="392"/>
      <c r="K54" s="299"/>
      <c r="L54" s="573"/>
      <c r="M54" s="301"/>
      <c r="N54" s="301" t="s">
        <v>4037</v>
      </c>
      <c r="O54" s="301" t="s">
        <v>1105</v>
      </c>
      <c r="P54" s="301"/>
      <c r="Q54" s="299"/>
      <c r="R54" s="301"/>
      <c r="S54" s="301"/>
      <c r="T54" s="436"/>
      <c r="U54" s="436"/>
      <c r="V54" s="436"/>
      <c r="W54" s="437"/>
      <c r="X54" s="299"/>
      <c r="Y54" s="519"/>
      <c r="Z54" s="519"/>
    </row>
    <row r="55" spans="1:26">
      <c r="A55" s="298" t="s">
        <v>10</v>
      </c>
      <c r="B55" s="299" t="s">
        <v>88</v>
      </c>
      <c r="C55" s="517">
        <v>46081.625</v>
      </c>
      <c r="D55" s="425">
        <v>10</v>
      </c>
      <c r="E55" s="300"/>
      <c r="F55" s="300"/>
      <c r="G55" s="300"/>
      <c r="H55" s="300"/>
      <c r="I55" s="300"/>
      <c r="J55" s="392"/>
      <c r="K55" s="299"/>
      <c r="L55" s="573"/>
      <c r="M55" s="301"/>
      <c r="N55" s="301" t="s">
        <v>3719</v>
      </c>
      <c r="O55" s="301" t="s">
        <v>1105</v>
      </c>
      <c r="P55" s="301"/>
      <c r="Q55" s="299"/>
      <c r="R55" s="301"/>
      <c r="S55" s="301"/>
      <c r="T55" s="436"/>
      <c r="U55" s="436"/>
      <c r="V55" s="436"/>
      <c r="W55" s="437"/>
      <c r="X55" s="299"/>
      <c r="Y55" s="519"/>
      <c r="Z55" s="519"/>
    </row>
    <row r="56" spans="1:26">
      <c r="A56" s="298" t="s">
        <v>10</v>
      </c>
      <c r="B56" s="299" t="s">
        <v>88</v>
      </c>
      <c r="C56" s="517">
        <v>46079.625</v>
      </c>
      <c r="D56" s="425">
        <v>2</v>
      </c>
      <c r="E56" s="300"/>
      <c r="F56" s="300"/>
      <c r="G56" s="300"/>
      <c r="H56" s="300"/>
      <c r="I56" s="300"/>
      <c r="J56" s="392"/>
      <c r="K56" s="299"/>
      <c r="L56" s="573"/>
      <c r="M56" s="301"/>
      <c r="N56" s="301" t="s">
        <v>3934</v>
      </c>
      <c r="O56" s="301" t="s">
        <v>1105</v>
      </c>
      <c r="P56" s="301"/>
      <c r="Q56" s="299"/>
      <c r="R56" s="301"/>
      <c r="S56" s="301"/>
      <c r="T56" s="436"/>
      <c r="U56" s="436"/>
      <c r="V56" s="436"/>
      <c r="W56" s="437"/>
      <c r="X56" s="299"/>
      <c r="Y56" s="519"/>
      <c r="Z56" s="519"/>
    </row>
    <row r="57" spans="1:26">
      <c r="A57" s="298" t="s">
        <v>10</v>
      </c>
      <c r="B57" s="299" t="s">
        <v>23</v>
      </c>
      <c r="C57" s="517">
        <v>46076.625</v>
      </c>
      <c r="D57" s="425">
        <v>3</v>
      </c>
      <c r="E57" s="300"/>
      <c r="F57" s="300"/>
      <c r="G57" s="300"/>
      <c r="H57" s="300"/>
      <c r="I57" s="300"/>
      <c r="J57" s="392"/>
      <c r="K57" s="299"/>
      <c r="L57" s="573"/>
      <c r="M57" s="301"/>
      <c r="N57" s="301" t="s">
        <v>3731</v>
      </c>
      <c r="O57" s="301" t="s">
        <v>1105</v>
      </c>
      <c r="P57" s="301"/>
      <c r="Q57" s="299"/>
      <c r="R57" s="301"/>
      <c r="S57" s="301"/>
      <c r="T57" s="436"/>
      <c r="U57" s="436"/>
      <c r="V57" s="436"/>
      <c r="W57" s="437"/>
      <c r="X57" s="299"/>
      <c r="Y57" s="519"/>
      <c r="Z57" s="519"/>
    </row>
    <row r="58" spans="1:26">
      <c r="A58" s="298" t="s">
        <v>8</v>
      </c>
      <c r="B58" s="299" t="s">
        <v>23</v>
      </c>
      <c r="C58" s="517">
        <v>46075.625</v>
      </c>
      <c r="D58" s="425">
        <v>6</v>
      </c>
      <c r="E58" s="300"/>
      <c r="F58" s="300"/>
      <c r="G58" s="300"/>
      <c r="H58" s="300"/>
      <c r="I58" s="300"/>
      <c r="J58" s="392"/>
      <c r="K58" s="299"/>
      <c r="L58" s="573"/>
      <c r="M58" s="301"/>
      <c r="N58" s="301" t="s">
        <v>3674</v>
      </c>
      <c r="O58" s="301" t="s">
        <v>1105</v>
      </c>
      <c r="P58" s="301"/>
      <c r="Q58" s="299"/>
      <c r="R58" s="301"/>
      <c r="S58" s="301"/>
      <c r="T58" s="436"/>
      <c r="U58" s="436"/>
      <c r="V58" s="436"/>
      <c r="W58" s="437"/>
      <c r="X58" s="299"/>
      <c r="Y58" s="519"/>
      <c r="Z58" s="519"/>
    </row>
    <row r="59" spans="1:26">
      <c r="A59" s="298" t="s">
        <v>10</v>
      </c>
      <c r="B59" s="299" t="s">
        <v>23</v>
      </c>
      <c r="C59" s="517">
        <v>46072.625</v>
      </c>
      <c r="D59" s="425">
        <v>3</v>
      </c>
      <c r="E59" s="300"/>
      <c r="F59" s="300"/>
      <c r="G59" s="300"/>
      <c r="H59" s="300"/>
      <c r="I59" s="300"/>
      <c r="J59" s="392"/>
      <c r="K59" s="299"/>
      <c r="L59" s="573"/>
      <c r="M59" s="301"/>
      <c r="N59" s="301" t="s">
        <v>3688</v>
      </c>
      <c r="O59" s="301" t="s">
        <v>1105</v>
      </c>
      <c r="P59" s="301"/>
      <c r="Q59" s="299"/>
      <c r="R59" s="301"/>
      <c r="S59" s="301"/>
      <c r="T59" s="436"/>
      <c r="U59" s="436"/>
      <c r="V59" s="436"/>
      <c r="W59" s="437"/>
      <c r="X59" s="299"/>
      <c r="Y59" s="519"/>
      <c r="Z59" s="519"/>
    </row>
    <row r="60" spans="1:26">
      <c r="A60" s="298" t="s">
        <v>8</v>
      </c>
      <c r="B60" s="299" t="s">
        <v>88</v>
      </c>
      <c r="C60" s="517">
        <v>46070.625</v>
      </c>
      <c r="D60" s="425">
        <v>5</v>
      </c>
      <c r="E60" s="300"/>
      <c r="F60" s="300"/>
      <c r="G60" s="300"/>
      <c r="H60" s="300"/>
      <c r="I60" s="300"/>
      <c r="J60" s="392">
        <v>796.7</v>
      </c>
      <c r="K60" s="299"/>
      <c r="L60" s="573" t="s">
        <v>276</v>
      </c>
      <c r="M60" s="301"/>
      <c r="N60" s="301" t="s">
        <v>3651</v>
      </c>
      <c r="O60" s="301" t="s">
        <v>1105</v>
      </c>
      <c r="P60" s="301"/>
      <c r="Q60" s="299"/>
      <c r="R60" s="301"/>
      <c r="S60" s="301"/>
      <c r="T60" s="436"/>
      <c r="U60" s="436"/>
      <c r="V60" s="436"/>
      <c r="W60" s="437"/>
      <c r="X60" s="299"/>
      <c r="Y60" s="519"/>
      <c r="Z60" s="519"/>
    </row>
    <row r="61" spans="1:26">
      <c r="A61" s="298" t="s">
        <v>10</v>
      </c>
      <c r="B61" s="299" t="s">
        <v>88</v>
      </c>
      <c r="C61" s="517">
        <v>46067.625</v>
      </c>
      <c r="D61" s="425">
        <v>4</v>
      </c>
      <c r="E61" s="300"/>
      <c r="F61" s="300"/>
      <c r="G61" s="300"/>
      <c r="H61" s="300"/>
      <c r="I61" s="300"/>
      <c r="J61" s="392">
        <v>559.39</v>
      </c>
      <c r="K61" s="299"/>
      <c r="L61" s="573" t="s">
        <v>276</v>
      </c>
      <c r="M61" s="301"/>
      <c r="N61" s="301" t="s">
        <v>3596</v>
      </c>
      <c r="O61" s="301" t="s">
        <v>1105</v>
      </c>
      <c r="P61" s="301"/>
      <c r="Q61" s="299"/>
      <c r="R61" s="301"/>
      <c r="S61" s="301"/>
      <c r="T61" s="436"/>
      <c r="U61" s="436"/>
      <c r="V61" s="436"/>
      <c r="W61" s="437"/>
      <c r="X61" s="299"/>
      <c r="Y61" s="519"/>
      <c r="Z61" s="519"/>
    </row>
    <row r="62" spans="1:26">
      <c r="A62" s="298" t="s">
        <v>8</v>
      </c>
      <c r="B62" s="299" t="s">
        <v>88</v>
      </c>
      <c r="C62" s="517">
        <v>46066.625</v>
      </c>
      <c r="D62" s="425">
        <v>3</v>
      </c>
      <c r="E62" s="300"/>
      <c r="F62" s="300"/>
      <c r="G62" s="300"/>
      <c r="H62" s="300"/>
      <c r="I62" s="300"/>
      <c r="J62" s="392">
        <v>471.75</v>
      </c>
      <c r="K62" s="299"/>
      <c r="L62" s="573" t="s">
        <v>276</v>
      </c>
      <c r="M62" s="301"/>
      <c r="N62" s="301" t="s">
        <v>3666</v>
      </c>
      <c r="O62" s="301" t="s">
        <v>1105</v>
      </c>
      <c r="P62" s="301"/>
      <c r="Q62" s="299"/>
      <c r="R62" s="301"/>
      <c r="S62" s="301"/>
      <c r="T62" s="436"/>
      <c r="U62" s="436"/>
      <c r="V62" s="436"/>
      <c r="W62" s="437"/>
      <c r="X62" s="299"/>
      <c r="Y62" s="519"/>
      <c r="Z62" s="519"/>
    </row>
    <row r="63" spans="1:26">
      <c r="A63" s="298" t="s">
        <v>10</v>
      </c>
      <c r="B63" s="299" t="s">
        <v>23</v>
      </c>
      <c r="C63" s="517">
        <v>46065.625</v>
      </c>
      <c r="D63" s="425">
        <v>2</v>
      </c>
      <c r="E63" s="300"/>
      <c r="F63" s="300"/>
      <c r="G63" s="300"/>
      <c r="H63" s="300"/>
      <c r="I63" s="300"/>
      <c r="J63" s="392"/>
      <c r="K63" s="299"/>
      <c r="L63" s="573"/>
      <c r="M63" s="301"/>
      <c r="N63" s="301" t="s">
        <v>3950</v>
      </c>
      <c r="O63" s="301" t="s">
        <v>1105</v>
      </c>
      <c r="P63" s="301"/>
      <c r="Q63" s="299"/>
      <c r="R63" s="301"/>
      <c r="S63" s="301"/>
      <c r="T63" s="436"/>
      <c r="U63" s="436"/>
      <c r="V63" s="436"/>
      <c r="W63" s="437"/>
      <c r="X63" s="299"/>
      <c r="Y63" s="519"/>
      <c r="Z63" s="519"/>
    </row>
    <row r="64" spans="1:26">
      <c r="A64" s="298" t="s">
        <v>8</v>
      </c>
      <c r="B64" s="299" t="s">
        <v>88</v>
      </c>
      <c r="C64" s="517">
        <v>46064.625</v>
      </c>
      <c r="D64" s="425">
        <v>2</v>
      </c>
      <c r="E64" s="300"/>
      <c r="F64" s="300"/>
      <c r="G64" s="300"/>
      <c r="H64" s="300"/>
      <c r="I64" s="300"/>
      <c r="J64" s="392">
        <v>221.04</v>
      </c>
      <c r="K64" s="299"/>
      <c r="L64" s="573" t="s">
        <v>276</v>
      </c>
      <c r="M64" s="301"/>
      <c r="N64" s="301" t="s">
        <v>3908</v>
      </c>
      <c r="O64" s="301" t="s">
        <v>1105</v>
      </c>
      <c r="P64" s="301"/>
      <c r="Q64" s="299"/>
      <c r="R64" s="301"/>
      <c r="S64" s="301"/>
      <c r="T64" s="436"/>
      <c r="U64" s="436"/>
      <c r="V64" s="436"/>
      <c r="W64" s="437"/>
      <c r="X64" s="299"/>
      <c r="Y64" s="519"/>
      <c r="Z64" s="519"/>
    </row>
    <row r="65" spans="1:26">
      <c r="A65" s="298" t="s">
        <v>10</v>
      </c>
      <c r="B65" s="299" t="s">
        <v>88</v>
      </c>
      <c r="C65" s="517">
        <v>46061.625</v>
      </c>
      <c r="D65" s="425">
        <v>4</v>
      </c>
      <c r="E65" s="300"/>
      <c r="F65" s="300"/>
      <c r="G65" s="300"/>
      <c r="H65" s="300"/>
      <c r="I65" s="300"/>
      <c r="J65" s="392">
        <v>461.7</v>
      </c>
      <c r="K65" s="299"/>
      <c r="L65" s="573" t="s">
        <v>276</v>
      </c>
      <c r="M65" s="301"/>
      <c r="N65" s="301" t="s">
        <v>3657</v>
      </c>
      <c r="O65" s="301" t="s">
        <v>1105</v>
      </c>
      <c r="P65" s="301"/>
      <c r="Q65" s="299"/>
      <c r="R65" s="301"/>
      <c r="S65" s="301"/>
      <c r="T65" s="436"/>
      <c r="U65" s="436"/>
      <c r="V65" s="436"/>
      <c r="W65" s="437"/>
      <c r="X65" s="299"/>
      <c r="Y65" s="519"/>
      <c r="Z65" s="519"/>
    </row>
    <row r="66" spans="1:26">
      <c r="A66" s="298" t="s">
        <v>10</v>
      </c>
      <c r="B66" s="299" t="s">
        <v>23</v>
      </c>
      <c r="C66" s="517">
        <v>46059.625</v>
      </c>
      <c r="D66" s="425">
        <v>2</v>
      </c>
      <c r="E66" s="300"/>
      <c r="F66" s="300"/>
      <c r="G66" s="300"/>
      <c r="H66" s="300"/>
      <c r="I66" s="300"/>
      <c r="J66" s="392"/>
      <c r="K66" s="299"/>
      <c r="L66" s="573"/>
      <c r="M66" s="301"/>
      <c r="N66" s="301" t="s">
        <v>3705</v>
      </c>
      <c r="O66" s="301" t="s">
        <v>1105</v>
      </c>
      <c r="P66" s="301"/>
      <c r="Q66" s="299"/>
      <c r="R66" s="301"/>
      <c r="S66" s="301"/>
      <c r="T66" s="436"/>
      <c r="U66" s="436"/>
      <c r="V66" s="436"/>
      <c r="W66" s="437"/>
      <c r="X66" s="299"/>
      <c r="Y66" s="519"/>
      <c r="Z66" s="519"/>
    </row>
    <row r="67" spans="1:26">
      <c r="A67" s="298" t="s">
        <v>8</v>
      </c>
      <c r="B67" s="299" t="s">
        <v>88</v>
      </c>
      <c r="C67" s="517">
        <v>46058.625</v>
      </c>
      <c r="D67" s="425">
        <v>6</v>
      </c>
      <c r="E67" s="300"/>
      <c r="F67" s="300"/>
      <c r="G67" s="300"/>
      <c r="H67" s="300"/>
      <c r="I67" s="300"/>
      <c r="J67" s="392">
        <v>945.82</v>
      </c>
      <c r="K67" s="299"/>
      <c r="L67" s="573" t="s">
        <v>276</v>
      </c>
      <c r="M67" s="301"/>
      <c r="N67" s="301" t="s">
        <v>3659</v>
      </c>
      <c r="O67" s="301" t="s">
        <v>1105</v>
      </c>
      <c r="P67" s="301"/>
      <c r="Q67" s="299"/>
      <c r="R67" s="301"/>
      <c r="S67" s="301"/>
      <c r="T67" s="436"/>
      <c r="U67" s="436"/>
      <c r="V67" s="436"/>
      <c r="W67" s="437"/>
      <c r="X67" s="299"/>
      <c r="Y67" s="519"/>
      <c r="Z67" s="519"/>
    </row>
    <row r="68" spans="1:26">
      <c r="A68" s="298" t="s">
        <v>10</v>
      </c>
      <c r="B68" s="299" t="s">
        <v>23</v>
      </c>
      <c r="C68" s="517">
        <v>46056.625</v>
      </c>
      <c r="D68" s="425">
        <v>3</v>
      </c>
      <c r="E68" s="300"/>
      <c r="F68" s="300"/>
      <c r="G68" s="300"/>
      <c r="H68" s="300"/>
      <c r="I68" s="300"/>
      <c r="J68" s="392"/>
      <c r="K68" s="299"/>
      <c r="L68" s="573"/>
      <c r="M68" s="301"/>
      <c r="N68" s="301" t="s">
        <v>3894</v>
      </c>
      <c r="O68" s="301" t="s">
        <v>1105</v>
      </c>
      <c r="P68" s="301"/>
      <c r="Q68" s="299"/>
      <c r="R68" s="301"/>
      <c r="S68" s="301"/>
      <c r="T68" s="436"/>
      <c r="U68" s="436"/>
      <c r="V68" s="436"/>
      <c r="W68" s="437"/>
      <c r="X68" s="299"/>
      <c r="Y68" s="519"/>
      <c r="Z68" s="519"/>
    </row>
    <row r="69" spans="1:26">
      <c r="A69" s="298" t="s">
        <v>8</v>
      </c>
      <c r="B69" s="299" t="s">
        <v>88</v>
      </c>
      <c r="C69" s="517">
        <v>46053.625</v>
      </c>
      <c r="D69" s="425">
        <v>4</v>
      </c>
      <c r="E69" s="300"/>
      <c r="F69" s="300"/>
      <c r="G69" s="300"/>
      <c r="H69" s="300"/>
      <c r="I69" s="300"/>
      <c r="J69" s="392">
        <v>608.49</v>
      </c>
      <c r="K69" s="299"/>
      <c r="L69" s="573" t="s">
        <v>276</v>
      </c>
      <c r="M69" s="301"/>
      <c r="N69" s="301" t="s">
        <v>3642</v>
      </c>
      <c r="O69" s="301" t="s">
        <v>1105</v>
      </c>
      <c r="P69" s="301"/>
      <c r="Q69" s="299"/>
      <c r="R69" s="301"/>
      <c r="S69" s="301"/>
      <c r="T69" s="436"/>
      <c r="U69" s="436"/>
      <c r="V69" s="436"/>
      <c r="W69" s="437"/>
      <c r="X69" s="299"/>
      <c r="Y69" s="519"/>
      <c r="Z69" s="519"/>
    </row>
    <row r="70" spans="1:26">
      <c r="A70" s="298" t="s">
        <v>10</v>
      </c>
      <c r="B70" s="299" t="s">
        <v>88</v>
      </c>
      <c r="C70" s="517">
        <v>46050.625</v>
      </c>
      <c r="D70" s="425">
        <v>6</v>
      </c>
      <c r="E70" s="300"/>
      <c r="F70" s="300"/>
      <c r="G70" s="300"/>
      <c r="H70" s="300"/>
      <c r="I70" s="300"/>
      <c r="J70" s="392">
        <v>708.51</v>
      </c>
      <c r="K70" s="299"/>
      <c r="L70" s="573" t="s">
        <v>276</v>
      </c>
      <c r="M70" s="301"/>
      <c r="N70" s="301" t="s">
        <v>3670</v>
      </c>
      <c r="O70" s="301" t="s">
        <v>1105</v>
      </c>
      <c r="P70" s="301"/>
      <c r="Q70" s="299"/>
      <c r="R70" s="301"/>
      <c r="S70" s="301"/>
      <c r="T70" s="436"/>
      <c r="U70" s="436"/>
      <c r="V70" s="436"/>
      <c r="W70" s="437"/>
      <c r="X70" s="299"/>
      <c r="Y70" s="519"/>
      <c r="Z70" s="519"/>
    </row>
    <row r="71" spans="1:26">
      <c r="A71" s="298" t="s">
        <v>8</v>
      </c>
      <c r="B71" s="299" t="s">
        <v>88</v>
      </c>
      <c r="C71" s="517">
        <v>46049.625</v>
      </c>
      <c r="D71" s="425">
        <v>3</v>
      </c>
      <c r="E71" s="300"/>
      <c r="F71" s="300"/>
      <c r="G71" s="300"/>
      <c r="H71" s="300"/>
      <c r="I71" s="300"/>
      <c r="J71" s="392">
        <v>458.07</v>
      </c>
      <c r="K71" s="299"/>
      <c r="L71" s="573" t="s">
        <v>276</v>
      </c>
      <c r="M71" s="301"/>
      <c r="N71" s="301" t="s">
        <v>3675</v>
      </c>
      <c r="O71" s="301" t="s">
        <v>1105</v>
      </c>
      <c r="P71" s="301"/>
      <c r="Q71" s="299"/>
      <c r="R71" s="301"/>
      <c r="S71" s="301"/>
      <c r="T71" s="436"/>
      <c r="U71" s="436"/>
      <c r="V71" s="436"/>
      <c r="W71" s="437"/>
      <c r="X71" s="299"/>
      <c r="Y71" s="519"/>
      <c r="Z71" s="519"/>
    </row>
    <row r="72" spans="1:26">
      <c r="A72" s="298" t="s">
        <v>8</v>
      </c>
      <c r="B72" s="299" t="s">
        <v>23</v>
      </c>
      <c r="C72" s="517">
        <v>46042.625</v>
      </c>
      <c r="D72" s="425">
        <v>5</v>
      </c>
      <c r="E72" s="300"/>
      <c r="F72" s="300"/>
      <c r="G72" s="300"/>
      <c r="H72" s="300"/>
      <c r="I72" s="300"/>
      <c r="J72" s="392"/>
      <c r="K72" s="299"/>
      <c r="L72" s="573"/>
      <c r="M72" s="301"/>
      <c r="N72" s="301" t="s">
        <v>3649</v>
      </c>
      <c r="O72" s="301" t="s">
        <v>1105</v>
      </c>
      <c r="P72" s="301"/>
      <c r="Q72" s="299"/>
      <c r="R72" s="301"/>
      <c r="S72" s="301"/>
      <c r="T72" s="436"/>
      <c r="U72" s="436"/>
      <c r="V72" s="436"/>
      <c r="W72" s="437"/>
      <c r="X72" s="299"/>
      <c r="Y72" s="519"/>
      <c r="Z72" s="519"/>
    </row>
    <row r="73" spans="1:26">
      <c r="A73" s="298" t="s">
        <v>8</v>
      </c>
      <c r="B73" s="299" t="s">
        <v>88</v>
      </c>
      <c r="C73" s="517">
        <v>46036.625</v>
      </c>
      <c r="D73" s="425">
        <v>3</v>
      </c>
      <c r="E73" s="300"/>
      <c r="F73" s="300"/>
      <c r="G73" s="300"/>
      <c r="H73" s="300"/>
      <c r="I73" s="300"/>
      <c r="J73" s="392">
        <v>509.52</v>
      </c>
      <c r="K73" s="299"/>
      <c r="L73" s="573" t="s">
        <v>276</v>
      </c>
      <c r="M73" s="301"/>
      <c r="N73" s="301" t="s">
        <v>3699</v>
      </c>
      <c r="O73" s="301" t="s">
        <v>1105</v>
      </c>
      <c r="P73" s="301"/>
      <c r="Q73" s="299"/>
      <c r="R73" s="301"/>
      <c r="S73" s="301"/>
      <c r="T73" s="436"/>
      <c r="U73" s="436"/>
      <c r="V73" s="436"/>
      <c r="W73" s="437"/>
      <c r="X73" s="299"/>
      <c r="Y73" s="519"/>
      <c r="Z73" s="519"/>
    </row>
    <row r="74" spans="1:26">
      <c r="A74" s="298" t="s">
        <v>15</v>
      </c>
      <c r="B74" s="299" t="s">
        <v>88</v>
      </c>
      <c r="C74" s="517">
        <v>46030.625</v>
      </c>
      <c r="D74" s="425">
        <v>142</v>
      </c>
      <c r="E74" s="300"/>
      <c r="F74" s="300"/>
      <c r="G74" s="300"/>
      <c r="H74" s="300"/>
      <c r="I74" s="300"/>
      <c r="J74" s="392">
        <v>1953.43</v>
      </c>
      <c r="K74" s="299"/>
      <c r="L74" s="573" t="s">
        <v>276</v>
      </c>
      <c r="M74" s="301"/>
      <c r="N74" s="301" t="s">
        <v>3684</v>
      </c>
      <c r="O74" s="301" t="s">
        <v>1105</v>
      </c>
      <c r="P74" s="301"/>
      <c r="Q74" s="299"/>
      <c r="R74" s="301"/>
      <c r="S74" s="301"/>
      <c r="T74" s="436"/>
      <c r="U74" s="436"/>
      <c r="V74" s="436"/>
      <c r="W74" s="437"/>
      <c r="X74" s="299"/>
      <c r="Y74" s="519"/>
      <c r="Z74" s="519"/>
    </row>
    <row r="75" spans="1:26">
      <c r="A75" s="298" t="s">
        <v>10</v>
      </c>
      <c r="B75" s="299" t="s">
        <v>88</v>
      </c>
      <c r="C75" s="517">
        <v>46030.625</v>
      </c>
      <c r="D75" s="425">
        <v>17</v>
      </c>
      <c r="E75" s="300"/>
      <c r="F75" s="300"/>
      <c r="G75" s="300"/>
      <c r="H75" s="300"/>
      <c r="I75" s="300"/>
      <c r="J75" s="392">
        <v>1725.07</v>
      </c>
      <c r="K75" s="299"/>
      <c r="L75" s="573" t="s">
        <v>276</v>
      </c>
      <c r="M75" s="301"/>
      <c r="N75" s="301" t="s">
        <v>3672</v>
      </c>
      <c r="O75" s="301" t="s">
        <v>1105</v>
      </c>
      <c r="P75" s="301"/>
      <c r="Q75" s="299"/>
      <c r="R75" s="301"/>
      <c r="S75" s="301"/>
      <c r="T75" s="436"/>
      <c r="U75" s="436"/>
      <c r="V75" s="436"/>
      <c r="W75" s="437"/>
      <c r="X75" s="299"/>
      <c r="Y75" s="519"/>
      <c r="Z75" s="519"/>
    </row>
    <row r="76" spans="1:26">
      <c r="A76" s="298" t="s">
        <v>8</v>
      </c>
      <c r="B76" s="299" t="s">
        <v>23</v>
      </c>
      <c r="C76" s="517">
        <v>46030.625</v>
      </c>
      <c r="D76" s="425">
        <v>3</v>
      </c>
      <c r="E76" s="300"/>
      <c r="F76" s="300"/>
      <c r="G76" s="300"/>
      <c r="H76" s="300"/>
      <c r="I76" s="300"/>
      <c r="J76" s="392"/>
      <c r="K76" s="299"/>
      <c r="L76" s="573"/>
      <c r="M76" s="301"/>
      <c r="N76" s="301" t="s">
        <v>3653</v>
      </c>
      <c r="O76" s="301" t="s">
        <v>1105</v>
      </c>
      <c r="P76" s="301"/>
      <c r="Q76" s="299"/>
      <c r="R76" s="301"/>
      <c r="S76" s="301"/>
      <c r="T76" s="436"/>
      <c r="U76" s="436"/>
      <c r="V76" s="436"/>
      <c r="W76" s="437"/>
      <c r="X76" s="299"/>
      <c r="Y76" s="519"/>
      <c r="Z76" s="519"/>
    </row>
    <row r="77" spans="1:26">
      <c r="A77" s="298" t="s">
        <v>10</v>
      </c>
      <c r="B77" s="299" t="s">
        <v>88</v>
      </c>
      <c r="C77" s="517">
        <v>46026.625</v>
      </c>
      <c r="D77" s="425">
        <v>4</v>
      </c>
      <c r="E77" s="300"/>
      <c r="F77" s="300"/>
      <c r="G77" s="300"/>
      <c r="H77" s="300"/>
      <c r="I77" s="300"/>
      <c r="J77" s="392">
        <v>372.3</v>
      </c>
      <c r="K77" s="299"/>
      <c r="L77" s="573" t="s">
        <v>276</v>
      </c>
      <c r="M77" s="301"/>
      <c r="N77" s="301" t="s">
        <v>3701</v>
      </c>
      <c r="O77" s="301" t="s">
        <v>1105</v>
      </c>
      <c r="P77" s="301"/>
      <c r="Q77" s="299"/>
      <c r="R77" s="301"/>
      <c r="S77" s="301"/>
      <c r="T77" s="436"/>
      <c r="U77" s="436"/>
      <c r="V77" s="436"/>
      <c r="W77" s="437"/>
      <c r="X77" s="299"/>
      <c r="Y77" s="519"/>
      <c r="Z77" s="519"/>
    </row>
    <row r="78" spans="1:26">
      <c r="A78" s="298" t="s">
        <v>8</v>
      </c>
      <c r="B78" s="299" t="s">
        <v>23</v>
      </c>
      <c r="C78" s="517">
        <v>46024.625</v>
      </c>
      <c r="D78" s="425">
        <v>4</v>
      </c>
      <c r="E78" s="300"/>
      <c r="F78" s="300"/>
      <c r="G78" s="300"/>
      <c r="H78" s="300"/>
      <c r="I78" s="300"/>
      <c r="J78" s="392"/>
      <c r="K78" s="299"/>
      <c r="L78" s="573"/>
      <c r="M78" s="301"/>
      <c r="N78" s="301" t="s">
        <v>3384</v>
      </c>
      <c r="O78" s="301" t="s">
        <v>1105</v>
      </c>
      <c r="P78" s="301"/>
      <c r="Q78" s="299"/>
      <c r="R78" s="301"/>
      <c r="S78" s="301"/>
      <c r="T78" s="436"/>
      <c r="U78" s="436"/>
      <c r="V78" s="436"/>
      <c r="W78" s="437"/>
      <c r="X78" s="299"/>
      <c r="Y78" s="519"/>
      <c r="Z78" s="519"/>
    </row>
    <row r="79" spans="1:26">
      <c r="A79" s="298" t="s">
        <v>10</v>
      </c>
      <c r="B79" s="299" t="s">
        <v>23</v>
      </c>
      <c r="C79" s="517">
        <v>46023.625</v>
      </c>
      <c r="D79" s="425">
        <v>3</v>
      </c>
      <c r="E79" s="300"/>
      <c r="F79" s="300"/>
      <c r="G79" s="300"/>
      <c r="H79" s="300"/>
      <c r="I79" s="300"/>
      <c r="J79" s="392"/>
      <c r="K79" s="299"/>
      <c r="L79" s="573"/>
      <c r="M79" s="301"/>
      <c r="N79" s="301" t="s">
        <v>3324</v>
      </c>
      <c r="O79" s="301" t="s">
        <v>1105</v>
      </c>
      <c r="P79" s="301"/>
      <c r="Q79" s="299"/>
      <c r="R79" s="301"/>
      <c r="S79" s="301"/>
      <c r="T79" s="436"/>
      <c r="U79" s="436"/>
      <c r="V79" s="436"/>
      <c r="W79" s="437"/>
      <c r="X79" s="299"/>
      <c r="Y79" s="519"/>
      <c r="Z79" s="519"/>
    </row>
    <row r="80" spans="1:26">
      <c r="A80" s="298" t="s">
        <v>10</v>
      </c>
      <c r="B80" s="299" t="s">
        <v>23</v>
      </c>
      <c r="C80" s="517">
        <v>46019.625</v>
      </c>
      <c r="D80" s="425">
        <v>3</v>
      </c>
      <c r="E80" s="300"/>
      <c r="F80" s="300"/>
      <c r="G80" s="300"/>
      <c r="H80" s="300"/>
      <c r="I80" s="300"/>
      <c r="J80" s="392"/>
      <c r="K80" s="299"/>
      <c r="L80" s="573"/>
      <c r="M80" s="301"/>
      <c r="N80" s="301" t="s">
        <v>2994</v>
      </c>
      <c r="O80" s="301" t="s">
        <v>1105</v>
      </c>
      <c r="P80" s="301"/>
      <c r="Q80" s="299"/>
      <c r="R80" s="301"/>
      <c r="S80" s="301"/>
      <c r="T80" s="436"/>
      <c r="U80" s="436"/>
      <c r="V80" s="436"/>
      <c r="W80" s="437"/>
      <c r="X80" s="299"/>
      <c r="Y80" s="519"/>
      <c r="Z80" s="519"/>
    </row>
    <row r="81" spans="1:26">
      <c r="A81" s="298" t="s">
        <v>8</v>
      </c>
      <c r="B81" s="299" t="s">
        <v>23</v>
      </c>
      <c r="C81" s="517">
        <v>46015.625</v>
      </c>
      <c r="D81" s="425">
        <v>9</v>
      </c>
      <c r="E81" s="300"/>
      <c r="F81" s="300"/>
      <c r="G81" s="300"/>
      <c r="H81" s="300"/>
      <c r="I81" s="300"/>
      <c r="J81" s="392"/>
      <c r="K81" s="299"/>
      <c r="L81" s="573"/>
      <c r="M81" s="301"/>
      <c r="N81" s="301" t="s">
        <v>2995</v>
      </c>
      <c r="O81" s="301" t="s">
        <v>1105</v>
      </c>
      <c r="P81" s="301"/>
      <c r="Q81" s="299"/>
      <c r="R81" s="301"/>
      <c r="S81" s="301"/>
      <c r="T81" s="436"/>
      <c r="U81" s="436"/>
      <c r="V81" s="436"/>
      <c r="W81" s="437"/>
      <c r="X81" s="299"/>
      <c r="Y81" s="519"/>
      <c r="Z81" s="519"/>
    </row>
    <row r="82" spans="1:26">
      <c r="A82" s="298" t="s">
        <v>8</v>
      </c>
      <c r="B82" s="299" t="s">
        <v>88</v>
      </c>
      <c r="C82" s="517">
        <v>46013.625</v>
      </c>
      <c r="D82" s="425">
        <v>2</v>
      </c>
      <c r="E82" s="300"/>
      <c r="F82" s="300"/>
      <c r="G82" s="300"/>
      <c r="H82" s="300"/>
      <c r="I82" s="300"/>
      <c r="J82" s="392">
        <v>326.17</v>
      </c>
      <c r="K82" s="299"/>
      <c r="L82" s="573" t="s">
        <v>276</v>
      </c>
      <c r="M82" s="301"/>
      <c r="N82" s="301" t="s">
        <v>3655</v>
      </c>
      <c r="O82" s="301" t="s">
        <v>1105</v>
      </c>
      <c r="P82" s="301"/>
      <c r="Q82" s="299"/>
      <c r="R82" s="301"/>
      <c r="S82" s="301"/>
      <c r="T82" s="436"/>
      <c r="U82" s="436"/>
      <c r="V82" s="436"/>
      <c r="W82" s="437"/>
      <c r="X82" s="299"/>
      <c r="Y82" s="519"/>
      <c r="Z82" s="519"/>
    </row>
    <row r="83" spans="1:26">
      <c r="A83" s="298" t="s">
        <v>8</v>
      </c>
      <c r="B83" s="299" t="s">
        <v>88</v>
      </c>
      <c r="C83" s="517">
        <v>46010.625</v>
      </c>
      <c r="D83" s="425">
        <v>3</v>
      </c>
      <c r="E83" s="300"/>
      <c r="F83" s="300"/>
      <c r="G83" s="300"/>
      <c r="H83" s="300"/>
      <c r="I83" s="300"/>
      <c r="J83" s="392">
        <v>636.48</v>
      </c>
      <c r="K83" s="299"/>
      <c r="L83" s="573" t="s">
        <v>276</v>
      </c>
      <c r="M83" s="301"/>
      <c r="N83" s="301" t="s">
        <v>3073</v>
      </c>
      <c r="O83" s="301" t="s">
        <v>1105</v>
      </c>
      <c r="P83" s="301"/>
      <c r="Q83" s="299"/>
      <c r="R83" s="301"/>
      <c r="S83" s="301"/>
      <c r="T83" s="436"/>
      <c r="U83" s="436"/>
      <c r="V83" s="436"/>
      <c r="W83" s="437"/>
      <c r="X83" s="299"/>
      <c r="Y83" s="519"/>
      <c r="Z83" s="519"/>
    </row>
    <row r="84" spans="1:26">
      <c r="A84" s="298" t="s">
        <v>8</v>
      </c>
      <c r="B84" s="299" t="s">
        <v>88</v>
      </c>
      <c r="C84" s="517">
        <v>46008.625</v>
      </c>
      <c r="D84" s="425">
        <v>2</v>
      </c>
      <c r="E84" s="300"/>
      <c r="F84" s="300"/>
      <c r="G84" s="300"/>
      <c r="H84" s="300"/>
      <c r="I84" s="300"/>
      <c r="J84" s="392">
        <v>316.33</v>
      </c>
      <c r="K84" s="299"/>
      <c r="L84" s="573" t="s">
        <v>276</v>
      </c>
      <c r="M84" s="301"/>
      <c r="N84" s="301" t="s">
        <v>3422</v>
      </c>
      <c r="O84" s="301" t="s">
        <v>1105</v>
      </c>
      <c r="P84" s="301"/>
      <c r="Q84" s="299"/>
      <c r="R84" s="301"/>
      <c r="S84" s="301"/>
      <c r="T84" s="436"/>
      <c r="U84" s="436"/>
      <c r="V84" s="436"/>
      <c r="W84" s="437"/>
      <c r="X84" s="299"/>
      <c r="Y84" s="519"/>
      <c r="Z84" s="519"/>
    </row>
    <row r="85" spans="1:26">
      <c r="A85" s="298" t="s">
        <v>10</v>
      </c>
      <c r="B85" s="299" t="s">
        <v>88</v>
      </c>
      <c r="C85" s="517">
        <v>46006.625</v>
      </c>
      <c r="D85" s="425">
        <v>12</v>
      </c>
      <c r="E85" s="300"/>
      <c r="F85" s="300"/>
      <c r="G85" s="300"/>
      <c r="H85" s="300"/>
      <c r="I85" s="300"/>
      <c r="J85" s="392">
        <v>2013.89</v>
      </c>
      <c r="K85" s="299"/>
      <c r="L85" s="573" t="s">
        <v>276</v>
      </c>
      <c r="M85" s="301"/>
      <c r="N85" s="301" t="s">
        <v>3598</v>
      </c>
      <c r="O85" s="301" t="s">
        <v>1105</v>
      </c>
      <c r="P85" s="301"/>
      <c r="Q85" s="299"/>
      <c r="R85" s="301"/>
      <c r="S85" s="301"/>
      <c r="T85" s="436"/>
      <c r="U85" s="436"/>
      <c r="V85" s="436"/>
      <c r="W85" s="437"/>
      <c r="X85" s="299"/>
      <c r="Y85" s="519"/>
      <c r="Z85" s="519"/>
    </row>
    <row r="86" spans="1:26">
      <c r="A86" s="298" t="s">
        <v>8</v>
      </c>
      <c r="B86" s="299" t="s">
        <v>23</v>
      </c>
      <c r="C86" s="517">
        <v>46003.625</v>
      </c>
      <c r="D86" s="425">
        <v>4</v>
      </c>
      <c r="E86" s="300"/>
      <c r="F86" s="300"/>
      <c r="G86" s="300"/>
      <c r="H86" s="300"/>
      <c r="I86" s="300"/>
      <c r="J86" s="392"/>
      <c r="K86" s="299"/>
      <c r="L86" s="573"/>
      <c r="M86" s="301"/>
      <c r="N86" s="301" t="s">
        <v>3308</v>
      </c>
      <c r="O86" s="301" t="s">
        <v>1105</v>
      </c>
      <c r="P86" s="301"/>
      <c r="Q86" s="299"/>
      <c r="R86" s="301"/>
      <c r="S86" s="301"/>
      <c r="T86" s="436"/>
      <c r="U86" s="436"/>
      <c r="V86" s="436"/>
      <c r="W86" s="437"/>
      <c r="X86" s="299"/>
      <c r="Y86" s="519"/>
      <c r="Z86" s="519"/>
    </row>
    <row r="87" spans="1:26">
      <c r="A87" s="298" t="s">
        <v>10</v>
      </c>
      <c r="B87" s="299" t="s">
        <v>23</v>
      </c>
      <c r="C87" s="517">
        <v>46003.625</v>
      </c>
      <c r="D87" s="425">
        <v>3</v>
      </c>
      <c r="E87" s="300"/>
      <c r="F87" s="300"/>
      <c r="G87" s="300"/>
      <c r="H87" s="300"/>
      <c r="I87" s="300"/>
      <c r="J87" s="392"/>
      <c r="K87" s="299"/>
      <c r="L87" s="573"/>
      <c r="M87" s="301"/>
      <c r="N87" s="301" t="s">
        <v>3692</v>
      </c>
      <c r="O87" s="301" t="s">
        <v>1105</v>
      </c>
      <c r="P87" s="301"/>
      <c r="Q87" s="299"/>
      <c r="R87" s="301"/>
      <c r="S87" s="301"/>
      <c r="T87" s="436"/>
      <c r="U87" s="436"/>
      <c r="V87" s="436"/>
      <c r="W87" s="437"/>
      <c r="X87" s="299"/>
      <c r="Y87" s="519"/>
      <c r="Z87" s="519"/>
    </row>
    <row r="88" spans="1:26">
      <c r="A88" s="298" t="s">
        <v>8</v>
      </c>
      <c r="B88" s="299" t="s">
        <v>88</v>
      </c>
      <c r="C88" s="517">
        <v>45999.625</v>
      </c>
      <c r="D88" s="425">
        <v>3</v>
      </c>
      <c r="E88" s="300"/>
      <c r="F88" s="300"/>
      <c r="G88" s="300"/>
      <c r="H88" s="300"/>
      <c r="I88" s="300"/>
      <c r="J88" s="392">
        <v>364.83</v>
      </c>
      <c r="K88" s="299"/>
      <c r="L88" s="573" t="s">
        <v>276</v>
      </c>
      <c r="M88" s="301"/>
      <c r="N88" s="301" t="s">
        <v>3689</v>
      </c>
      <c r="O88" s="301" t="s">
        <v>1105</v>
      </c>
      <c r="P88" s="301"/>
      <c r="Q88" s="299"/>
      <c r="R88" s="301"/>
      <c r="S88" s="301"/>
      <c r="T88" s="436"/>
      <c r="U88" s="436"/>
      <c r="V88" s="436"/>
      <c r="W88" s="437"/>
      <c r="X88" s="299"/>
      <c r="Y88" s="519"/>
      <c r="Z88" s="519"/>
    </row>
    <row r="89" spans="1:26">
      <c r="A89" s="298" t="s">
        <v>10</v>
      </c>
      <c r="B89" s="299" t="s">
        <v>88</v>
      </c>
      <c r="C89" s="517">
        <v>45998.625</v>
      </c>
      <c r="D89" s="425">
        <v>5</v>
      </c>
      <c r="E89" s="300"/>
      <c r="F89" s="300"/>
      <c r="G89" s="300"/>
      <c r="H89" s="300"/>
      <c r="I89" s="300"/>
      <c r="J89" s="392">
        <v>696.41</v>
      </c>
      <c r="K89" s="299"/>
      <c r="L89" s="573" t="s">
        <v>276</v>
      </c>
      <c r="M89" s="301"/>
      <c r="N89" s="301" t="s">
        <v>3626</v>
      </c>
      <c r="O89" s="301" t="s">
        <v>1105</v>
      </c>
      <c r="P89" s="301"/>
      <c r="Q89" s="299"/>
      <c r="R89" s="301"/>
      <c r="S89" s="301"/>
      <c r="T89" s="436"/>
      <c r="U89" s="436"/>
      <c r="V89" s="436"/>
      <c r="W89" s="437"/>
      <c r="X89" s="299"/>
      <c r="Y89" s="519"/>
      <c r="Z89" s="519"/>
    </row>
    <row r="90" spans="1:26">
      <c r="A90" s="298" t="s">
        <v>10</v>
      </c>
      <c r="B90" s="299" t="s">
        <v>88</v>
      </c>
      <c r="C90" s="517">
        <v>45995.625</v>
      </c>
      <c r="D90" s="425">
        <v>3</v>
      </c>
      <c r="E90" s="300"/>
      <c r="F90" s="300"/>
      <c r="G90" s="300"/>
      <c r="H90" s="300"/>
      <c r="I90" s="300"/>
      <c r="J90" s="392">
        <v>416.56</v>
      </c>
      <c r="K90" s="299"/>
      <c r="L90" s="573" t="s">
        <v>276</v>
      </c>
      <c r="M90" s="301"/>
      <c r="N90" s="301" t="s">
        <v>3660</v>
      </c>
      <c r="O90" s="301" t="s">
        <v>1105</v>
      </c>
      <c r="P90" s="301"/>
      <c r="Q90" s="299"/>
      <c r="R90" s="301"/>
      <c r="S90" s="301"/>
      <c r="T90" s="436"/>
      <c r="U90" s="436"/>
      <c r="V90" s="436"/>
      <c r="W90" s="437"/>
      <c r="X90" s="299"/>
      <c r="Y90" s="519"/>
      <c r="Z90" s="519"/>
    </row>
    <row r="91" spans="1:26">
      <c r="A91" s="298" t="s">
        <v>8</v>
      </c>
      <c r="B91" s="299" t="s">
        <v>3573</v>
      </c>
      <c r="C91" s="517">
        <v>45993.625</v>
      </c>
      <c r="D91" s="425">
        <v>5</v>
      </c>
      <c r="E91" s="300"/>
      <c r="F91" s="300"/>
      <c r="G91" s="300"/>
      <c r="H91" s="300"/>
      <c r="I91" s="300"/>
      <c r="J91" s="392"/>
      <c r="K91" s="299"/>
      <c r="L91" s="573"/>
      <c r="M91" s="301"/>
      <c r="N91" s="301" t="s">
        <v>3574</v>
      </c>
      <c r="O91" s="301" t="s">
        <v>1105</v>
      </c>
      <c r="P91" s="301"/>
      <c r="Q91" s="299"/>
      <c r="R91" s="301"/>
      <c r="S91" s="301"/>
      <c r="T91" s="436"/>
      <c r="U91" s="436"/>
      <c r="V91" s="436"/>
      <c r="W91" s="437"/>
      <c r="X91" s="299"/>
      <c r="Y91" s="519"/>
      <c r="Z91" s="519"/>
    </row>
    <row r="92" spans="1:26">
      <c r="A92" s="298" t="s">
        <v>10</v>
      </c>
      <c r="B92" s="299" t="s">
        <v>23</v>
      </c>
      <c r="C92" s="517">
        <v>45993.625</v>
      </c>
      <c r="D92" s="425">
        <v>2</v>
      </c>
      <c r="E92" s="300"/>
      <c r="F92" s="300"/>
      <c r="G92" s="300"/>
      <c r="H92" s="300"/>
      <c r="I92" s="300"/>
      <c r="J92" s="392"/>
      <c r="K92" s="299"/>
      <c r="L92" s="573"/>
      <c r="M92" s="301"/>
      <c r="N92" s="301" t="s">
        <v>3682</v>
      </c>
      <c r="O92" s="301" t="s">
        <v>1105</v>
      </c>
      <c r="P92" s="301"/>
      <c r="Q92" s="299"/>
      <c r="R92" s="301"/>
      <c r="S92" s="301"/>
      <c r="T92" s="436"/>
      <c r="U92" s="436"/>
      <c r="V92" s="436"/>
      <c r="W92" s="437"/>
      <c r="X92" s="299"/>
      <c r="Y92" s="519"/>
      <c r="Z92" s="519"/>
    </row>
    <row r="93" spans="1:26">
      <c r="A93" s="298" t="s">
        <v>8</v>
      </c>
      <c r="B93" s="299" t="s">
        <v>88</v>
      </c>
      <c r="C93" s="517">
        <v>45991.625</v>
      </c>
      <c r="D93" s="425">
        <v>2</v>
      </c>
      <c r="E93" s="300"/>
      <c r="F93" s="300"/>
      <c r="G93" s="300"/>
      <c r="H93" s="300"/>
      <c r="I93" s="300"/>
      <c r="J93" s="392">
        <v>220.39</v>
      </c>
      <c r="K93" s="299"/>
      <c r="L93" s="573" t="s">
        <v>276</v>
      </c>
      <c r="M93" s="301"/>
      <c r="N93" s="301" t="s">
        <v>3680</v>
      </c>
      <c r="O93" s="301" t="s">
        <v>1105</v>
      </c>
      <c r="P93" s="301"/>
      <c r="Q93" s="299"/>
      <c r="R93" s="301"/>
      <c r="S93" s="301"/>
      <c r="T93" s="436"/>
      <c r="U93" s="436"/>
      <c r="V93" s="436"/>
      <c r="W93" s="437"/>
      <c r="X93" s="299"/>
      <c r="Y93" s="519"/>
      <c r="Z93" s="519"/>
    </row>
    <row r="94" spans="1:26">
      <c r="A94" s="298" t="s">
        <v>10</v>
      </c>
      <c r="B94" s="299" t="s">
        <v>88</v>
      </c>
      <c r="C94" s="517">
        <v>45990.625</v>
      </c>
      <c r="D94" s="425">
        <v>3</v>
      </c>
      <c r="E94" s="300"/>
      <c r="F94" s="300"/>
      <c r="G94" s="300"/>
      <c r="H94" s="300"/>
      <c r="I94" s="300"/>
      <c r="J94" s="392">
        <v>392.2</v>
      </c>
      <c r="K94" s="299"/>
      <c r="L94" s="573" t="s">
        <v>276</v>
      </c>
      <c r="M94" s="301"/>
      <c r="N94" s="541" t="s">
        <v>3620</v>
      </c>
      <c r="O94" s="301" t="s">
        <v>1105</v>
      </c>
      <c r="P94" s="301"/>
      <c r="Q94" s="299"/>
      <c r="R94" s="301"/>
      <c r="S94" s="301"/>
      <c r="T94" s="436"/>
      <c r="U94" s="436"/>
      <c r="V94" s="436"/>
      <c r="W94" s="437"/>
      <c r="X94" s="299"/>
      <c r="Y94" s="519"/>
      <c r="Z94" s="519"/>
    </row>
    <row r="95" spans="1:26">
      <c r="A95" s="298" t="s">
        <v>8</v>
      </c>
      <c r="B95" s="299" t="s">
        <v>23</v>
      </c>
      <c r="C95" s="517">
        <v>45989.625</v>
      </c>
      <c r="D95" s="425">
        <v>2</v>
      </c>
      <c r="E95" s="300"/>
      <c r="F95" s="300"/>
      <c r="G95" s="300"/>
      <c r="H95" s="300"/>
      <c r="I95" s="300"/>
      <c r="J95" s="392"/>
      <c r="K95" s="299"/>
      <c r="L95" s="573"/>
      <c r="M95" s="301"/>
      <c r="N95" s="301" t="s">
        <v>3601</v>
      </c>
      <c r="O95" s="301" t="s">
        <v>1105</v>
      </c>
      <c r="P95" s="301"/>
      <c r="Q95" s="299"/>
      <c r="R95" s="301"/>
      <c r="S95" s="301"/>
      <c r="T95" s="436"/>
      <c r="U95" s="436"/>
      <c r="V95" s="436"/>
      <c r="W95" s="437"/>
      <c r="X95" s="299"/>
      <c r="Y95" s="519"/>
      <c r="Z95" s="519"/>
    </row>
    <row r="96" spans="1:26">
      <c r="A96" s="298" t="s">
        <v>10</v>
      </c>
      <c r="B96" s="299" t="s">
        <v>88</v>
      </c>
      <c r="C96" s="517">
        <v>45986.625</v>
      </c>
      <c r="D96" s="425">
        <v>4</v>
      </c>
      <c r="E96" s="300"/>
      <c r="F96" s="300"/>
      <c r="G96" s="300"/>
      <c r="H96" s="300"/>
      <c r="I96" s="300"/>
      <c r="J96" s="392">
        <v>593.44000000000005</v>
      </c>
      <c r="K96" s="299"/>
      <c r="L96" s="573" t="s">
        <v>276</v>
      </c>
      <c r="M96" s="301"/>
      <c r="N96" s="301" t="s">
        <v>3183</v>
      </c>
      <c r="O96" s="301" t="s">
        <v>1105</v>
      </c>
      <c r="P96" s="301"/>
      <c r="Q96" s="299"/>
      <c r="R96" s="301"/>
      <c r="S96" s="301"/>
      <c r="T96" s="436"/>
      <c r="U96" s="436"/>
      <c r="V96" s="436"/>
      <c r="W96" s="437"/>
      <c r="X96" s="299"/>
      <c r="Y96" s="519"/>
      <c r="Z96" s="519"/>
    </row>
    <row r="97" spans="1:26">
      <c r="A97" s="298" t="s">
        <v>8</v>
      </c>
      <c r="B97" s="299" t="s">
        <v>88</v>
      </c>
      <c r="C97" s="517">
        <v>45982.625</v>
      </c>
      <c r="D97" s="425">
        <v>6</v>
      </c>
      <c r="E97" s="300"/>
      <c r="F97" s="300"/>
      <c r="G97" s="300"/>
      <c r="H97" s="300"/>
      <c r="I97" s="300"/>
      <c r="J97" s="392">
        <v>1157.06</v>
      </c>
      <c r="K97" s="299"/>
      <c r="L97" s="573" t="s">
        <v>276</v>
      </c>
      <c r="M97" s="301"/>
      <c r="N97" s="301" t="s">
        <v>3529</v>
      </c>
      <c r="O97" s="301" t="s">
        <v>1105</v>
      </c>
      <c r="P97" s="301"/>
      <c r="Q97" s="299"/>
      <c r="R97" s="301"/>
      <c r="S97" s="301"/>
      <c r="T97" s="436"/>
      <c r="U97" s="436"/>
      <c r="V97" s="436"/>
      <c r="W97" s="437"/>
      <c r="X97" s="299"/>
      <c r="Y97" s="519"/>
      <c r="Z97" s="519"/>
    </row>
    <row r="98" spans="1:26">
      <c r="A98" s="298" t="s">
        <v>10</v>
      </c>
      <c r="B98" s="299" t="s">
        <v>88</v>
      </c>
      <c r="C98" s="517">
        <v>45981.625</v>
      </c>
      <c r="D98" s="425">
        <v>3</v>
      </c>
      <c r="E98" s="300"/>
      <c r="F98" s="300"/>
      <c r="G98" s="300"/>
      <c r="H98" s="300"/>
      <c r="I98" s="300"/>
      <c r="J98" s="392">
        <v>442.56</v>
      </c>
      <c r="K98" s="299"/>
      <c r="L98" s="573" t="s">
        <v>276</v>
      </c>
      <c r="M98" s="301"/>
      <c r="N98" s="301" t="s">
        <v>3291</v>
      </c>
      <c r="O98" s="301" t="s">
        <v>1105</v>
      </c>
      <c r="P98" s="301"/>
      <c r="Q98" s="299"/>
      <c r="R98" s="301"/>
      <c r="S98" s="301"/>
      <c r="T98" s="436"/>
      <c r="U98" s="436"/>
      <c r="V98" s="436"/>
      <c r="W98" s="437"/>
      <c r="X98" s="299"/>
      <c r="Y98" s="519"/>
      <c r="Z98" s="519"/>
    </row>
    <row r="99" spans="1:26">
      <c r="A99" s="298" t="s">
        <v>10</v>
      </c>
      <c r="B99" s="299" t="s">
        <v>23</v>
      </c>
      <c r="C99" s="517">
        <v>45977.625</v>
      </c>
      <c r="D99" s="425">
        <v>4</v>
      </c>
      <c r="E99" s="300"/>
      <c r="F99" s="300"/>
      <c r="G99" s="300"/>
      <c r="H99" s="300"/>
      <c r="I99" s="300"/>
      <c r="J99" s="392"/>
      <c r="K99" s="299"/>
      <c r="L99" s="573"/>
      <c r="M99" s="301"/>
      <c r="N99" s="301" t="s">
        <v>3635</v>
      </c>
      <c r="O99" s="301" t="s">
        <v>1105</v>
      </c>
      <c r="P99" s="301"/>
      <c r="Q99" s="299"/>
      <c r="R99" s="301"/>
      <c r="S99" s="301"/>
      <c r="T99" s="436"/>
      <c r="U99" s="436"/>
      <c r="V99" s="436"/>
      <c r="W99" s="437"/>
      <c r="X99" s="299"/>
      <c r="Y99" s="519"/>
      <c r="Z99" s="519"/>
    </row>
    <row r="100" spans="1:26">
      <c r="A100" s="298" t="s">
        <v>8</v>
      </c>
      <c r="B100" s="299" t="s">
        <v>88</v>
      </c>
      <c r="C100" s="517">
        <v>45976.625</v>
      </c>
      <c r="D100" s="425">
        <v>4</v>
      </c>
      <c r="E100" s="300"/>
      <c r="F100" s="300"/>
      <c r="G100" s="300"/>
      <c r="H100" s="300"/>
      <c r="I100" s="300"/>
      <c r="J100" s="392">
        <v>478.76</v>
      </c>
      <c r="K100" s="299"/>
      <c r="L100" s="573" t="s">
        <v>276</v>
      </c>
      <c r="M100" s="301"/>
      <c r="N100" s="301" t="s">
        <v>3639</v>
      </c>
      <c r="O100" s="301" t="s">
        <v>1105</v>
      </c>
      <c r="P100" s="301"/>
      <c r="Q100" s="299"/>
      <c r="R100" s="301"/>
      <c r="S100" s="301"/>
      <c r="T100" s="436"/>
      <c r="U100" s="436"/>
      <c r="V100" s="436"/>
      <c r="W100" s="437"/>
      <c r="X100" s="299"/>
      <c r="Y100" s="519"/>
      <c r="Z100" s="519"/>
    </row>
    <row r="101" spans="1:26">
      <c r="A101" s="298" t="s">
        <v>10</v>
      </c>
      <c r="B101" s="299" t="s">
        <v>88</v>
      </c>
      <c r="C101" s="517">
        <v>45973.625</v>
      </c>
      <c r="D101" s="425">
        <v>4</v>
      </c>
      <c r="E101" s="300"/>
      <c r="F101" s="300"/>
      <c r="G101" s="300"/>
      <c r="H101" s="300"/>
      <c r="I101" s="300"/>
      <c r="J101" s="392">
        <v>554.08000000000004</v>
      </c>
      <c r="K101" s="299"/>
      <c r="L101" s="573" t="s">
        <v>276</v>
      </c>
      <c r="M101" s="301"/>
      <c r="N101" s="301" t="s">
        <v>3204</v>
      </c>
      <c r="O101" s="301" t="s">
        <v>1105</v>
      </c>
      <c r="P101" s="301"/>
      <c r="Q101" s="299"/>
      <c r="R101" s="301"/>
      <c r="S101" s="301"/>
      <c r="T101" s="436"/>
      <c r="U101" s="436"/>
      <c r="V101" s="436"/>
      <c r="W101" s="437"/>
      <c r="X101" s="299"/>
      <c r="Y101" s="519"/>
      <c r="Z101" s="519"/>
    </row>
    <row r="102" spans="1:26">
      <c r="A102" s="303" t="s">
        <v>8</v>
      </c>
      <c r="B102" s="304" t="s">
        <v>88</v>
      </c>
      <c r="C102" s="518">
        <v>45971.625</v>
      </c>
      <c r="D102" s="512">
        <v>3</v>
      </c>
      <c r="E102" s="305"/>
      <c r="F102" s="305"/>
      <c r="G102" s="305"/>
      <c r="H102" s="305"/>
      <c r="I102" s="305"/>
      <c r="J102" s="513">
        <v>365.48</v>
      </c>
      <c r="K102" s="304"/>
      <c r="L102" s="574" t="s">
        <v>276</v>
      </c>
      <c r="M102" s="306"/>
      <c r="N102" s="306" t="s">
        <v>3616</v>
      </c>
      <c r="O102" s="306" t="s">
        <v>1105</v>
      </c>
      <c r="P102" s="306"/>
      <c r="Q102" s="304"/>
      <c r="R102" s="306"/>
      <c r="S102" s="306"/>
      <c r="T102" s="514"/>
      <c r="U102" s="514"/>
      <c r="V102" s="514"/>
      <c r="W102" s="515"/>
      <c r="X102" s="304"/>
      <c r="Y102" s="521"/>
      <c r="Z102" s="521"/>
    </row>
  </sheetData>
  <pageMargins left="0.7" right="0.7" top="0.75" bottom="0.75" header="0.3" footer="0.3"/>
  <pageSetup paperSize="9"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556705A-C4A8-4518-8953-88CCCAAA3D73}">
          <x14:formula1>
            <xm:f>Paramètres!$A$13:$A$14</xm:f>
          </x14:formula1>
          <xm:sqref>B2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87EF3-B505-4114-8631-FEC41EDD1BEA}">
  <sheetPr codeName="Feuil10"/>
  <dimension ref="A1:NC538"/>
  <sheetViews>
    <sheetView showGridLines="0" zoomScale="70" zoomScaleNormal="70" workbookViewId="0">
      <pane ySplit="3" topLeftCell="A4" activePane="bottomLeft" state="frozen"/>
      <selection activeCell="I1" sqref="I1"/>
      <selection pane="bottomLeft" activeCell="A3" sqref="A3:XFD3"/>
    </sheetView>
  </sheetViews>
  <sheetFormatPr baseColWidth="10" defaultColWidth="10.7109375" defaultRowHeight="22.35" customHeight="1"/>
  <cols>
    <col min="2" max="2" width="11.640625" customWidth="1"/>
    <col min="3" max="3" width="12.35546875" style="332" customWidth="1"/>
    <col min="4" max="4" width="10.28515625" style="3" customWidth="1"/>
    <col min="5" max="5" width="11.7109375" style="2" customWidth="1"/>
    <col min="6" max="6" width="15.28515625" style="393" customWidth="1"/>
    <col min="7" max="7" width="12.35546875" style="2" customWidth="1"/>
    <col min="8" max="8" width="12.7109375" style="2" customWidth="1"/>
    <col min="9" max="9" width="13.28515625" style="2" customWidth="1"/>
    <col min="10" max="10" width="12.7109375" style="2" customWidth="1"/>
    <col min="11" max="11" width="9.7109375" style="2" customWidth="1"/>
    <col min="12" max="12" width="7" style="33" customWidth="1"/>
    <col min="13" max="13" width="7" style="13" customWidth="1"/>
    <col min="14" max="14" width="14.640625" style="11" customWidth="1"/>
    <col min="16" max="16" width="11" style="11" customWidth="1"/>
    <col min="17" max="17" width="10.7109375" style="1"/>
    <col min="18" max="18" width="10.7109375" style="8"/>
    <col min="20" max="20" width="14.640625" style="9" customWidth="1"/>
    <col min="21" max="21" width="10.7109375" style="8"/>
    <col min="22" max="22" width="7.78515625" customWidth="1"/>
    <col min="23" max="23" width="7.78515625" style="3" customWidth="1"/>
    <col min="24" max="24" width="5.28515625" style="3" customWidth="1"/>
    <col min="25" max="25" width="5.640625" style="3" customWidth="1"/>
    <col min="26" max="26" width="15.0703125" customWidth="1"/>
    <col min="27" max="27" width="13.7109375" style="32" bestFit="1" customWidth="1"/>
    <col min="29" max="29" width="14.2109375" customWidth="1"/>
  </cols>
  <sheetData>
    <row r="1" spans="1:367" ht="37.950000000000003" customHeight="1">
      <c r="A1" s="63"/>
      <c r="B1" s="63"/>
      <c r="C1" s="671"/>
      <c r="D1" s="77"/>
      <c r="E1" s="78"/>
      <c r="F1" s="672"/>
      <c r="G1" s="78"/>
      <c r="H1" s="673"/>
      <c r="I1" s="78"/>
      <c r="J1" s="78"/>
      <c r="K1" s="78"/>
      <c r="L1" s="1070"/>
      <c r="M1" s="674"/>
      <c r="N1" s="74"/>
      <c r="O1" s="63"/>
      <c r="P1" s="74"/>
      <c r="Q1" s="893"/>
      <c r="R1" s="71"/>
      <c r="S1" s="63"/>
      <c r="T1" s="75"/>
      <c r="U1" s="71"/>
      <c r="V1" s="63"/>
      <c r="W1" s="77"/>
      <c r="X1" s="77"/>
      <c r="Y1" s="77"/>
      <c r="Z1" s="63"/>
      <c r="AA1" s="675"/>
      <c r="AB1" s="63"/>
      <c r="AC1" s="63"/>
      <c r="AD1" s="63"/>
    </row>
    <row r="2" spans="1:367" ht="22.35" customHeight="1">
      <c r="A2" s="63"/>
      <c r="B2" s="1052"/>
      <c r="C2" s="671"/>
      <c r="D2" s="77"/>
      <c r="E2" s="78"/>
      <c r="F2" s="672"/>
      <c r="G2" s="78"/>
      <c r="H2" s="78"/>
      <c r="I2" s="78"/>
      <c r="J2" s="78"/>
      <c r="K2" s="78"/>
      <c r="L2" s="1070"/>
      <c r="M2" s="674"/>
      <c r="N2" s="74"/>
      <c r="O2" s="63"/>
      <c r="P2" s="74"/>
      <c r="Q2" s="893"/>
      <c r="R2" s="71"/>
      <c r="S2" s="63"/>
      <c r="T2" s="75"/>
      <c r="U2" s="71"/>
      <c r="V2" s="63"/>
      <c r="W2" s="77"/>
      <c r="X2" s="77"/>
      <c r="Y2" s="77"/>
      <c r="Z2" s="63"/>
      <c r="AA2" s="675"/>
      <c r="AB2" s="63"/>
      <c r="AC2" s="927"/>
      <c r="AD2" s="1052"/>
      <c r="AE2" s="480"/>
      <c r="AF2" s="614"/>
      <c r="AG2" s="479"/>
      <c r="BH2" s="480"/>
      <c r="BI2" s="479"/>
      <c r="BJ2" s="480"/>
      <c r="BK2" s="614"/>
      <c r="BL2" s="479"/>
      <c r="CL2" s="480"/>
      <c r="CM2" s="614"/>
      <c r="CN2" s="614"/>
      <c r="CO2" s="614"/>
      <c r="CP2" s="479"/>
      <c r="DQ2" s="480"/>
      <c r="DR2" s="614"/>
      <c r="DS2" s="614"/>
      <c r="DT2" s="614"/>
      <c r="DU2" s="479"/>
      <c r="EU2" s="480"/>
      <c r="EV2" s="614"/>
      <c r="EW2" s="479"/>
      <c r="EX2" s="480"/>
      <c r="EY2" s="479"/>
      <c r="FZ2" s="480"/>
      <c r="GA2" s="614"/>
      <c r="GB2" s="479"/>
      <c r="HE2" s="480"/>
      <c r="HF2" s="479"/>
      <c r="II2" s="480"/>
      <c r="IJ2" s="614"/>
      <c r="IK2" s="479"/>
      <c r="JN2" s="480"/>
      <c r="JO2" s="614"/>
      <c r="JP2" s="479"/>
      <c r="KR2" s="480"/>
      <c r="KS2" s="614"/>
      <c r="KT2" s="479"/>
      <c r="LW2" s="480"/>
      <c r="LX2" s="480"/>
      <c r="NC2" s="480"/>
    </row>
    <row r="3" spans="1:367" s="336" customFormat="1" ht="22.35" customHeight="1">
      <c r="A3" s="569" t="s">
        <v>64</v>
      </c>
      <c r="B3" s="1073" t="s">
        <v>65</v>
      </c>
      <c r="C3" s="1074" t="s">
        <v>66</v>
      </c>
      <c r="D3" s="251" t="s">
        <v>67</v>
      </c>
      <c r="E3" s="607" t="s">
        <v>68</v>
      </c>
      <c r="F3" s="1075" t="s">
        <v>69</v>
      </c>
      <c r="G3" s="569" t="s">
        <v>70</v>
      </c>
      <c r="H3" s="607" t="s">
        <v>71</v>
      </c>
      <c r="I3" s="1076" t="s">
        <v>72</v>
      </c>
      <c r="J3" s="1076" t="s">
        <v>73</v>
      </c>
      <c r="K3" s="1075" t="s">
        <v>74</v>
      </c>
      <c r="L3" s="607" t="s">
        <v>75</v>
      </c>
      <c r="M3" s="1077" t="s">
        <v>76</v>
      </c>
      <c r="N3" s="544" t="s">
        <v>1020</v>
      </c>
      <c r="O3" s="543" t="s">
        <v>77</v>
      </c>
      <c r="P3" s="1078" t="s">
        <v>1021</v>
      </c>
      <c r="Q3" s="1079" t="s">
        <v>1022</v>
      </c>
      <c r="R3" s="631" t="s">
        <v>1023</v>
      </c>
      <c r="S3" s="1080" t="s">
        <v>78</v>
      </c>
      <c r="T3" s="548" t="s">
        <v>79</v>
      </c>
      <c r="U3" s="631" t="s">
        <v>80</v>
      </c>
      <c r="V3" s="545" t="s">
        <v>81</v>
      </c>
      <c r="W3" s="1081" t="s">
        <v>82</v>
      </c>
      <c r="X3" s="1081" t="s">
        <v>83</v>
      </c>
      <c r="Y3" s="546" t="s">
        <v>84</v>
      </c>
      <c r="Z3" s="543" t="s">
        <v>85</v>
      </c>
      <c r="AA3" s="1082" t="s">
        <v>936</v>
      </c>
      <c r="AB3" s="546" t="s">
        <v>937</v>
      </c>
      <c r="AC3" s="1083" t="s">
        <v>938</v>
      </c>
      <c r="AD3" s="1081" t="s">
        <v>1158</v>
      </c>
      <c r="AE3" s="1084"/>
      <c r="AF3" s="1084"/>
      <c r="AG3" s="1085"/>
      <c r="AH3" s="1086"/>
      <c r="AI3" s="1086"/>
      <c r="AK3" s="1085"/>
      <c r="AL3" s="1085"/>
      <c r="AM3" s="1086"/>
      <c r="AO3" s="1086"/>
      <c r="AP3" s="1086"/>
      <c r="AR3" s="1085"/>
      <c r="AS3" s="1085"/>
      <c r="AT3" s="1086"/>
      <c r="AV3" s="1086"/>
      <c r="AW3" s="1086"/>
      <c r="AY3" s="1085"/>
      <c r="AZ3" s="1085"/>
      <c r="BA3" s="1086"/>
      <c r="BC3" s="1086"/>
      <c r="BD3" s="1086"/>
      <c r="BF3" s="1085"/>
      <c r="BG3" s="1085"/>
      <c r="BH3" s="1087"/>
      <c r="BI3" s="1085"/>
      <c r="BJ3" s="1087"/>
      <c r="BK3" s="1084"/>
      <c r="BL3" s="1085"/>
      <c r="BM3" s="1085"/>
      <c r="BN3" s="1085"/>
      <c r="BO3" s="1086"/>
      <c r="BQ3" s="1086"/>
      <c r="BR3" s="1086"/>
      <c r="BT3" s="1085"/>
      <c r="BU3" s="1085"/>
      <c r="BV3" s="1086"/>
      <c r="BX3" s="1086"/>
      <c r="BY3" s="1086"/>
      <c r="CA3" s="1085"/>
      <c r="CB3" s="1085"/>
      <c r="CC3" s="1086"/>
      <c r="CE3" s="1086"/>
      <c r="CF3" s="1086"/>
      <c r="CH3" s="1085"/>
      <c r="CI3" s="1085"/>
      <c r="CJ3" s="1086"/>
      <c r="CL3" s="1087"/>
      <c r="CM3" s="1084"/>
      <c r="CN3" s="1085"/>
      <c r="CO3" s="1085"/>
      <c r="CP3" s="1085"/>
      <c r="CQ3" s="1086"/>
      <c r="CS3" s="1086"/>
      <c r="CT3" s="1086"/>
      <c r="CV3" s="1085"/>
      <c r="CW3" s="1085"/>
      <c r="CX3" s="1086"/>
      <c r="CZ3" s="1086"/>
      <c r="DA3" s="1086"/>
      <c r="DC3" s="1085"/>
      <c r="DD3" s="1085"/>
      <c r="DE3" s="1086"/>
      <c r="DG3" s="1086"/>
      <c r="DH3" s="1086"/>
      <c r="DJ3" s="1085"/>
      <c r="DK3" s="1085"/>
      <c r="DL3" s="1086"/>
      <c r="DN3" s="1086"/>
      <c r="DO3" s="1086"/>
      <c r="DQ3" s="1084"/>
      <c r="DR3" s="1084"/>
      <c r="DS3" s="1084"/>
      <c r="DT3" s="1085"/>
      <c r="DU3" s="1086"/>
      <c r="DV3" s="1086"/>
      <c r="DX3" s="1085"/>
      <c r="DY3" s="1085"/>
      <c r="DZ3" s="1086"/>
      <c r="EB3" s="1086"/>
      <c r="EC3" s="1086"/>
      <c r="EE3" s="1085"/>
      <c r="EF3" s="1085"/>
      <c r="EG3" s="1086"/>
      <c r="EI3" s="1086"/>
      <c r="EJ3" s="1086"/>
      <c r="EL3" s="1085"/>
      <c r="EM3" s="1085"/>
      <c r="EN3" s="1086"/>
      <c r="EP3" s="1086"/>
      <c r="EQ3" s="1086"/>
      <c r="ES3" s="1085"/>
      <c r="ET3" s="1085"/>
      <c r="EU3" s="1087"/>
      <c r="EV3" s="1084"/>
      <c r="EW3" s="1085"/>
      <c r="EX3" s="1087"/>
      <c r="EY3" s="1085"/>
      <c r="EZ3" s="1085"/>
      <c r="FA3" s="1085"/>
      <c r="FB3" s="1086"/>
      <c r="FD3" s="1086"/>
      <c r="FE3" s="1086"/>
      <c r="FG3" s="1085"/>
      <c r="FH3" s="1085"/>
      <c r="FI3" s="1086"/>
      <c r="FK3" s="1086"/>
      <c r="FL3" s="1086"/>
      <c r="FN3" s="1085"/>
      <c r="FO3" s="1085"/>
      <c r="FP3" s="1086"/>
      <c r="FR3" s="1086"/>
      <c r="FS3" s="1086"/>
      <c r="FU3" s="1085"/>
      <c r="FV3" s="1085"/>
      <c r="FW3" s="1086"/>
      <c r="FY3" s="1086"/>
      <c r="FZ3" s="1087"/>
      <c r="GA3" s="1084"/>
      <c r="GB3" s="1085"/>
      <c r="GC3" s="1085"/>
      <c r="GD3" s="1086"/>
      <c r="GF3" s="1086"/>
      <c r="GG3" s="1086"/>
      <c r="GI3" s="1085"/>
      <c r="GJ3" s="1085"/>
      <c r="GK3" s="1086"/>
      <c r="GM3" s="1086"/>
      <c r="GN3" s="1086"/>
      <c r="GP3" s="1085"/>
      <c r="GQ3" s="1085"/>
      <c r="GR3" s="1086"/>
      <c r="GT3" s="1086"/>
      <c r="GU3" s="1086"/>
      <c r="GW3" s="1085"/>
      <c r="GX3" s="1085"/>
      <c r="GY3" s="1086"/>
      <c r="HA3" s="1086"/>
      <c r="HB3" s="1086"/>
      <c r="HD3" s="1085"/>
      <c r="HE3" s="1084"/>
      <c r="HF3" s="1085"/>
      <c r="HH3" s="1086"/>
      <c r="HI3" s="1086"/>
      <c r="HK3" s="1085"/>
      <c r="HL3" s="1085"/>
      <c r="HM3" s="1086"/>
      <c r="HO3" s="1086"/>
      <c r="HP3" s="1086"/>
      <c r="HR3" s="1085"/>
      <c r="HS3" s="1085"/>
      <c r="HT3" s="1086"/>
      <c r="HV3" s="1086"/>
      <c r="HW3" s="1086"/>
      <c r="HY3" s="1085"/>
      <c r="HZ3" s="1085"/>
      <c r="IA3" s="1086"/>
      <c r="IC3" s="1086"/>
      <c r="ID3" s="1086"/>
      <c r="IF3" s="1085"/>
      <c r="IG3" s="1085"/>
      <c r="IH3" s="1086"/>
      <c r="II3" s="1088"/>
      <c r="IJ3" s="1084"/>
      <c r="IK3" s="1085"/>
      <c r="IM3" s="1085"/>
      <c r="IN3" s="1085"/>
      <c r="IO3" s="1086"/>
      <c r="IQ3" s="1086"/>
      <c r="IR3" s="1086"/>
      <c r="IT3" s="1085"/>
      <c r="IU3" s="1085"/>
      <c r="IV3" s="1086"/>
      <c r="IX3" s="1086"/>
      <c r="IY3" s="1086"/>
      <c r="JA3" s="1085"/>
      <c r="JB3" s="1085"/>
      <c r="JC3" s="1086"/>
      <c r="JE3" s="1086"/>
      <c r="JF3" s="1086"/>
      <c r="JH3" s="1085"/>
      <c r="JI3" s="1085"/>
      <c r="JJ3" s="1086"/>
      <c r="JL3" s="1086"/>
      <c r="JM3" s="1086"/>
      <c r="JN3" s="1088"/>
      <c r="JO3" s="1085"/>
      <c r="JP3" s="1085"/>
      <c r="JQ3" s="1086"/>
      <c r="JS3" s="1086"/>
      <c r="JT3" s="1086"/>
      <c r="JV3" s="1085"/>
      <c r="JW3" s="1085"/>
      <c r="JX3" s="1086"/>
      <c r="JZ3" s="1086"/>
      <c r="KA3" s="1086"/>
      <c r="KC3" s="1085"/>
      <c r="KD3" s="1085"/>
      <c r="KE3" s="1086"/>
      <c r="KG3" s="1086"/>
      <c r="KH3" s="1086"/>
      <c r="KJ3" s="1085"/>
      <c r="KK3" s="1085"/>
      <c r="KL3" s="1086"/>
      <c r="KN3" s="1086"/>
      <c r="KO3" s="1086"/>
      <c r="KQ3" s="1085"/>
      <c r="KR3" s="1084"/>
      <c r="KS3" s="1084"/>
      <c r="KT3" s="1085"/>
      <c r="KU3" s="1086"/>
      <c r="KV3" s="1086"/>
      <c r="KX3" s="1085"/>
      <c r="KY3" s="1085"/>
      <c r="KZ3" s="1086"/>
      <c r="LB3" s="1086"/>
      <c r="LC3" s="1086"/>
      <c r="LE3" s="1085"/>
      <c r="LF3" s="1085"/>
      <c r="LG3" s="1086"/>
      <c r="LI3" s="1086"/>
      <c r="LJ3" s="1086"/>
      <c r="LL3" s="1085"/>
      <c r="LM3" s="1085"/>
      <c r="LN3" s="1086"/>
      <c r="LP3" s="1086"/>
      <c r="LQ3" s="1086"/>
      <c r="LS3" s="1085"/>
      <c r="LT3" s="1085"/>
      <c r="LU3" s="1086"/>
      <c r="LW3" s="1087"/>
      <c r="LX3" s="1087"/>
      <c r="LZ3" s="1085"/>
      <c r="MA3" s="1085"/>
      <c r="MB3" s="1086"/>
      <c r="MD3" s="1086"/>
      <c r="ME3" s="1086"/>
      <c r="MG3" s="1085"/>
      <c r="MH3" s="1085"/>
      <c r="MI3" s="1086"/>
      <c r="MK3" s="1086"/>
      <c r="ML3" s="1086"/>
      <c r="MN3" s="1085"/>
      <c r="MO3" s="1085"/>
      <c r="MP3" s="1086"/>
      <c r="MR3" s="1086"/>
      <c r="MS3" s="1086"/>
      <c r="MU3" s="1085"/>
      <c r="MV3" s="1085"/>
      <c r="MW3" s="1086"/>
      <c r="MY3" s="1086"/>
      <c r="MZ3" s="1086"/>
      <c r="NB3" s="1085"/>
      <c r="NC3" s="1088"/>
    </row>
    <row r="4" spans="1:367" ht="22.35" customHeight="1">
      <c r="A4" s="310" t="s">
        <v>8</v>
      </c>
      <c r="B4" s="323" t="s">
        <v>23</v>
      </c>
      <c r="C4" s="1337">
        <v>46383</v>
      </c>
      <c r="D4" s="324">
        <v>5</v>
      </c>
      <c r="E4" s="310">
        <v>338.4</v>
      </c>
      <c r="F4" s="392">
        <v>1692</v>
      </c>
      <c r="G4" s="310">
        <v>90</v>
      </c>
      <c r="H4" s="310">
        <v>314.97000000000003</v>
      </c>
      <c r="I4" s="310">
        <v>347.41</v>
      </c>
      <c r="J4" s="325">
        <v>1029.6199999999999</v>
      </c>
      <c r="K4" s="326"/>
      <c r="L4" s="319"/>
      <c r="M4" s="320"/>
      <c r="N4" s="577" t="s">
        <v>3956</v>
      </c>
      <c r="O4" s="607" t="s">
        <v>86</v>
      </c>
      <c r="P4" s="1093" t="s">
        <v>1113</v>
      </c>
      <c r="Q4" s="1094">
        <v>46062</v>
      </c>
      <c r="R4" s="321" t="s">
        <v>3957</v>
      </c>
      <c r="S4" s="1096"/>
      <c r="T4" s="1097">
        <v>61422102019</v>
      </c>
      <c r="U4" s="648"/>
      <c r="V4" s="608">
        <v>5</v>
      </c>
      <c r="W4" s="674"/>
      <c r="X4" s="674">
        <v>0</v>
      </c>
      <c r="Y4" s="610"/>
      <c r="Z4" s="570"/>
      <c r="AA4" s="540" t="e">
        <v>#N/A</v>
      </c>
      <c r="AB4" s="540" t="e">
        <v>#N/A</v>
      </c>
      <c r="AC4" s="310" t="e">
        <v>#N/A</v>
      </c>
      <c r="AD4" s="525" t="e">
        <v>#N/A</v>
      </c>
      <c r="AE4" s="480"/>
      <c r="AF4" s="614"/>
      <c r="AG4" s="479"/>
      <c r="AH4" s="481"/>
      <c r="AI4" s="481"/>
      <c r="AK4" s="481"/>
      <c r="AM4" s="481"/>
      <c r="AO4" s="481"/>
      <c r="AP4" s="481"/>
      <c r="AR4" s="481"/>
      <c r="AT4" s="481"/>
      <c r="AV4" s="481"/>
      <c r="AW4" s="481"/>
      <c r="AY4" s="481"/>
      <c r="BA4" s="481"/>
      <c r="BC4" s="481"/>
      <c r="BD4" s="481"/>
      <c r="BF4" s="481"/>
      <c r="BH4" s="612"/>
      <c r="BI4" s="479"/>
      <c r="BJ4" s="612"/>
      <c r="BK4" s="614"/>
      <c r="BL4" s="479"/>
      <c r="BM4" s="481"/>
      <c r="BO4" s="481"/>
      <c r="BQ4" s="481"/>
      <c r="BR4" s="481"/>
      <c r="BT4" s="481"/>
      <c r="BV4" s="481"/>
      <c r="BX4" s="481"/>
      <c r="BY4" s="481"/>
      <c r="CA4" s="481"/>
      <c r="CC4" s="481"/>
      <c r="CE4" s="481"/>
      <c r="CF4" s="481"/>
      <c r="CH4" s="481"/>
      <c r="CJ4" s="481"/>
      <c r="CL4" s="481"/>
      <c r="CM4" s="612"/>
      <c r="CN4" s="479"/>
      <c r="CO4" s="612"/>
      <c r="CP4" s="479"/>
      <c r="CQ4" s="481"/>
      <c r="CS4" s="481"/>
      <c r="CT4" s="481"/>
      <c r="CV4" s="481"/>
      <c r="CX4" s="481"/>
      <c r="CZ4" s="481"/>
      <c r="DA4" s="481"/>
      <c r="DC4" s="481"/>
      <c r="DE4" s="481"/>
      <c r="DG4" s="481"/>
      <c r="DH4" s="481"/>
      <c r="DJ4" s="481"/>
      <c r="DL4" s="481"/>
      <c r="DN4" s="481"/>
      <c r="DO4" s="481"/>
      <c r="DQ4" s="612"/>
      <c r="DR4" s="614"/>
      <c r="DS4" s="614"/>
      <c r="DT4" s="479"/>
      <c r="DU4" s="481"/>
      <c r="DV4" s="481"/>
      <c r="DX4" s="481"/>
      <c r="DZ4" s="481"/>
      <c r="EB4" s="481"/>
      <c r="EC4" s="481"/>
      <c r="EE4" s="481"/>
      <c r="EG4" s="481"/>
      <c r="EI4" s="481"/>
      <c r="EJ4" s="481"/>
      <c r="EL4" s="481"/>
      <c r="EN4" s="481"/>
      <c r="EP4" s="481"/>
      <c r="EQ4" s="481"/>
      <c r="ES4" s="481"/>
      <c r="EU4" s="481"/>
      <c r="EV4" s="480"/>
      <c r="EW4" s="479"/>
      <c r="EX4" s="612"/>
      <c r="EY4" s="479"/>
      <c r="EZ4" s="481"/>
      <c r="FB4" s="481"/>
      <c r="FD4" s="481"/>
      <c r="FE4" s="481"/>
      <c r="FG4" s="481"/>
      <c r="FI4" s="481"/>
      <c r="FK4" s="481"/>
      <c r="FL4" s="481"/>
      <c r="FN4" s="481"/>
      <c r="FP4" s="481"/>
      <c r="FR4" s="481"/>
      <c r="FS4" s="481"/>
      <c r="FU4" s="481"/>
      <c r="FW4" s="481"/>
      <c r="FY4" s="481"/>
      <c r="FZ4" s="612"/>
      <c r="GA4" s="614"/>
      <c r="GB4" s="479"/>
      <c r="GD4" s="481"/>
      <c r="GF4" s="481"/>
      <c r="GG4" s="481"/>
      <c r="GI4" s="481"/>
      <c r="GK4" s="481"/>
      <c r="GM4" s="481"/>
      <c r="GN4" s="481"/>
      <c r="GP4" s="481"/>
      <c r="GR4" s="481"/>
      <c r="GT4" s="481"/>
      <c r="GU4" s="481"/>
      <c r="GW4" s="481"/>
      <c r="GY4" s="481"/>
      <c r="HA4" s="481"/>
      <c r="HB4" s="481"/>
      <c r="HD4" s="481"/>
      <c r="HE4" s="480"/>
      <c r="HF4" s="479"/>
      <c r="HH4" s="481"/>
      <c r="HI4" s="481"/>
      <c r="HK4" s="481"/>
      <c r="HM4" s="481"/>
      <c r="HO4" s="481"/>
      <c r="HP4" s="481"/>
      <c r="HR4" s="481"/>
      <c r="HT4" s="481"/>
      <c r="HV4" s="481"/>
      <c r="HW4" s="481"/>
      <c r="HY4" s="481"/>
      <c r="IA4" s="481"/>
      <c r="IC4" s="481"/>
      <c r="ID4" s="481"/>
      <c r="IF4" s="481"/>
      <c r="IH4" s="481"/>
      <c r="IJ4" s="612"/>
      <c r="IK4" s="479"/>
      <c r="IM4" s="481"/>
      <c r="IO4" s="481"/>
      <c r="IQ4" s="481"/>
      <c r="IR4" s="481"/>
      <c r="IT4" s="481"/>
      <c r="IV4" s="481"/>
      <c r="IX4" s="481"/>
      <c r="IY4" s="481"/>
      <c r="JA4" s="481"/>
      <c r="JC4" s="481"/>
      <c r="JE4" s="481"/>
      <c r="JF4" s="481"/>
      <c r="JH4" s="481"/>
      <c r="JJ4" s="481"/>
      <c r="JL4" s="481"/>
      <c r="JM4" s="481"/>
      <c r="JN4" s="480"/>
      <c r="JO4" s="614"/>
      <c r="JP4" s="479"/>
      <c r="JQ4" s="481"/>
      <c r="JS4" s="481"/>
      <c r="JT4" s="481"/>
      <c r="JV4" s="481"/>
      <c r="JX4" s="481"/>
      <c r="JZ4" s="481"/>
      <c r="KA4" s="481"/>
      <c r="KC4" s="481"/>
      <c r="KE4" s="481"/>
      <c r="KG4" s="481"/>
      <c r="KH4" s="481"/>
      <c r="KJ4" s="481"/>
      <c r="KL4" s="481"/>
      <c r="KN4" s="481"/>
      <c r="KO4" s="481"/>
      <c r="KQ4" s="481"/>
      <c r="KS4" s="612"/>
      <c r="KT4" s="479"/>
      <c r="KU4" s="481"/>
      <c r="KV4" s="481"/>
      <c r="KX4" s="481"/>
      <c r="KZ4" s="481"/>
      <c r="LB4" s="481"/>
      <c r="LC4" s="481"/>
      <c r="LE4" s="481"/>
      <c r="LG4" s="481"/>
      <c r="LI4" s="481"/>
      <c r="LJ4" s="481"/>
      <c r="LL4" s="481"/>
      <c r="LN4" s="481"/>
      <c r="LP4" s="481"/>
      <c r="LQ4" s="481"/>
      <c r="LS4" s="481"/>
      <c r="LU4" s="481"/>
      <c r="LW4" s="612"/>
      <c r="LX4" s="612"/>
      <c r="LZ4" s="481"/>
      <c r="MB4" s="481"/>
      <c r="MD4" s="481"/>
      <c r="ME4" s="481"/>
      <c r="MG4" s="481"/>
      <c r="MI4" s="481"/>
      <c r="MK4" s="481"/>
      <c r="ML4" s="481"/>
      <c r="MN4" s="481"/>
      <c r="MP4" s="481"/>
      <c r="MR4" s="481"/>
      <c r="MS4" s="481"/>
      <c r="MU4" s="481"/>
      <c r="MW4" s="481"/>
      <c r="MY4" s="481"/>
      <c r="MZ4" s="481"/>
      <c r="NB4" s="481"/>
      <c r="NC4" s="480"/>
    </row>
    <row r="5" spans="1:367" ht="22.35" customHeight="1">
      <c r="A5" s="310" t="s">
        <v>10</v>
      </c>
      <c r="B5" s="323" t="s">
        <v>23</v>
      </c>
      <c r="C5" s="1337">
        <v>46310</v>
      </c>
      <c r="D5" s="324">
        <v>4</v>
      </c>
      <c r="E5" s="310">
        <v>311.8</v>
      </c>
      <c r="F5" s="392">
        <v>1247.2</v>
      </c>
      <c r="G5" s="310">
        <v>70</v>
      </c>
      <c r="H5" s="310">
        <v>231.26</v>
      </c>
      <c r="I5" s="310">
        <v>259.19</v>
      </c>
      <c r="J5" s="325">
        <v>756.75</v>
      </c>
      <c r="K5" s="326"/>
      <c r="L5" s="319"/>
      <c r="M5" s="320"/>
      <c r="N5" s="577" t="s">
        <v>3953</v>
      </c>
      <c r="O5" s="607" t="s">
        <v>86</v>
      </c>
      <c r="P5" s="1093" t="s">
        <v>1114</v>
      </c>
      <c r="Q5" s="1094">
        <v>46061</v>
      </c>
      <c r="R5" s="321" t="s">
        <v>3954</v>
      </c>
      <c r="S5" s="1096"/>
      <c r="T5" s="1097">
        <v>491723415462</v>
      </c>
      <c r="U5" s="648"/>
      <c r="V5" s="608">
        <v>2</v>
      </c>
      <c r="W5" s="674"/>
      <c r="X5" s="674">
        <v>0</v>
      </c>
      <c r="Y5" s="610"/>
      <c r="Z5" s="570"/>
      <c r="AA5" s="540" t="e">
        <v>#N/A</v>
      </c>
      <c r="AB5" s="540" t="e">
        <v>#N/A</v>
      </c>
      <c r="AC5" s="310" t="e">
        <v>#N/A</v>
      </c>
      <c r="AD5" s="525" t="e">
        <v>#N/A</v>
      </c>
      <c r="AE5" s="480"/>
      <c r="AF5" s="614"/>
      <c r="AG5" s="479"/>
      <c r="AH5" s="481"/>
      <c r="AI5" s="481"/>
      <c r="AK5" s="481"/>
      <c r="AM5" s="481"/>
      <c r="AO5" s="481"/>
      <c r="AP5" s="481"/>
      <c r="AR5" s="481"/>
      <c r="AT5" s="481"/>
      <c r="AV5" s="481"/>
      <c r="AW5" s="481"/>
      <c r="AY5" s="481"/>
      <c r="BA5" s="481"/>
      <c r="BC5" s="481"/>
      <c r="BD5" s="481"/>
      <c r="BF5" s="481"/>
      <c r="BH5" s="612"/>
      <c r="BI5" s="479"/>
      <c r="BJ5" s="612"/>
      <c r="BK5" s="614"/>
      <c r="BL5" s="479"/>
      <c r="BM5" s="481"/>
      <c r="BO5" s="481"/>
      <c r="BQ5" s="481"/>
      <c r="BR5" s="481"/>
      <c r="BT5" s="481"/>
      <c r="BV5" s="481"/>
      <c r="BX5" s="481"/>
      <c r="BY5" s="481"/>
      <c r="CA5" s="481"/>
      <c r="CC5" s="481"/>
      <c r="CE5" s="481"/>
      <c r="CF5" s="481"/>
      <c r="CH5" s="481"/>
      <c r="CJ5" s="481"/>
      <c r="CL5" s="481"/>
      <c r="CM5" s="612"/>
      <c r="CN5" s="479"/>
      <c r="CO5" s="612"/>
      <c r="CP5" s="479"/>
      <c r="CQ5" s="481"/>
      <c r="CS5" s="481"/>
      <c r="CT5" s="481"/>
      <c r="CV5" s="481"/>
      <c r="CX5" s="481"/>
      <c r="CZ5" s="481"/>
      <c r="DA5" s="481"/>
      <c r="DC5" s="481"/>
      <c r="DE5" s="481"/>
      <c r="DG5" s="481"/>
      <c r="DH5" s="481"/>
      <c r="DJ5" s="481"/>
      <c r="DL5" s="481"/>
      <c r="DN5" s="481"/>
      <c r="DO5" s="481"/>
      <c r="DQ5" s="612"/>
      <c r="DR5" s="614"/>
      <c r="DS5" s="614"/>
      <c r="DT5" s="479"/>
      <c r="DU5" s="481"/>
      <c r="DV5" s="481"/>
      <c r="DX5" s="481"/>
      <c r="DZ5" s="481"/>
      <c r="EB5" s="481"/>
      <c r="EC5" s="481"/>
      <c r="EE5" s="481"/>
      <c r="EG5" s="481"/>
      <c r="EI5" s="481"/>
      <c r="EJ5" s="481"/>
      <c r="EL5" s="481"/>
      <c r="EN5" s="481"/>
      <c r="EP5" s="481"/>
      <c r="EQ5" s="481"/>
      <c r="ES5" s="481"/>
      <c r="EU5" s="481"/>
      <c r="EV5" s="480"/>
      <c r="EW5" s="479"/>
      <c r="EX5" s="612"/>
      <c r="EY5" s="479"/>
      <c r="EZ5" s="481"/>
      <c r="FB5" s="481"/>
      <c r="FD5" s="481"/>
      <c r="FE5" s="481"/>
      <c r="FG5" s="481"/>
      <c r="FI5" s="481"/>
      <c r="FK5" s="481"/>
      <c r="FL5" s="481"/>
      <c r="FN5" s="481"/>
      <c r="FP5" s="481"/>
      <c r="FR5" s="481"/>
      <c r="FS5" s="481"/>
      <c r="FU5" s="481"/>
      <c r="FW5" s="481"/>
      <c r="FY5" s="481"/>
      <c r="FZ5" s="612"/>
      <c r="GA5" s="614"/>
      <c r="GB5" s="479"/>
      <c r="GD5" s="481"/>
      <c r="GF5" s="481"/>
      <c r="GG5" s="481"/>
      <c r="GI5" s="481"/>
      <c r="GK5" s="481"/>
      <c r="GM5" s="481"/>
      <c r="GN5" s="481"/>
      <c r="GP5" s="481"/>
      <c r="GR5" s="481"/>
      <c r="GT5" s="481"/>
      <c r="GU5" s="481"/>
      <c r="GW5" s="481"/>
      <c r="GY5" s="481"/>
      <c r="HA5" s="481"/>
      <c r="HB5" s="481"/>
      <c r="HD5" s="481"/>
      <c r="HE5" s="480"/>
      <c r="HF5" s="479"/>
      <c r="HH5" s="481"/>
      <c r="HI5" s="481"/>
      <c r="HK5" s="481"/>
      <c r="HM5" s="481"/>
      <c r="HO5" s="481"/>
      <c r="HP5" s="481"/>
      <c r="HR5" s="481"/>
      <c r="HT5" s="481"/>
      <c r="HV5" s="481"/>
      <c r="HW5" s="481"/>
      <c r="HY5" s="481"/>
      <c r="IA5" s="481"/>
      <c r="IC5" s="481"/>
      <c r="ID5" s="481"/>
      <c r="IF5" s="481"/>
      <c r="IH5" s="481"/>
      <c r="IJ5" s="612"/>
      <c r="IK5" s="479"/>
      <c r="IM5" s="481"/>
      <c r="IO5" s="481"/>
      <c r="IQ5" s="481"/>
      <c r="IR5" s="481"/>
      <c r="IT5" s="481"/>
      <c r="IV5" s="481"/>
      <c r="IX5" s="481"/>
      <c r="IY5" s="481"/>
      <c r="JA5" s="481"/>
      <c r="JC5" s="481"/>
      <c r="JE5" s="481"/>
      <c r="JF5" s="481"/>
      <c r="JH5" s="481"/>
      <c r="JJ5" s="481"/>
      <c r="JL5" s="481"/>
      <c r="JM5" s="481"/>
      <c r="JN5" s="480"/>
      <c r="JO5" s="614"/>
      <c r="JP5" s="479"/>
      <c r="JQ5" s="481"/>
      <c r="JS5" s="481"/>
      <c r="JT5" s="481"/>
      <c r="JV5" s="481"/>
      <c r="JX5" s="481"/>
      <c r="JZ5" s="481"/>
      <c r="KA5" s="481"/>
      <c r="KC5" s="481"/>
      <c r="KE5" s="481"/>
      <c r="KG5" s="481"/>
      <c r="KH5" s="481"/>
      <c r="KJ5" s="481"/>
      <c r="KL5" s="481"/>
      <c r="KN5" s="481"/>
      <c r="KO5" s="481"/>
      <c r="KQ5" s="481"/>
      <c r="KS5" s="612"/>
      <c r="KT5" s="479"/>
      <c r="KU5" s="481"/>
      <c r="KV5" s="481"/>
      <c r="KX5" s="481"/>
      <c r="KZ5" s="481"/>
      <c r="LB5" s="481"/>
      <c r="LC5" s="481"/>
      <c r="LE5" s="481"/>
      <c r="LG5" s="481"/>
      <c r="LI5" s="481"/>
      <c r="LJ5" s="481"/>
      <c r="LL5" s="481"/>
      <c r="LN5" s="481"/>
      <c r="LP5" s="481"/>
      <c r="LQ5" s="481"/>
      <c r="LS5" s="481"/>
      <c r="LU5" s="481"/>
      <c r="LW5" s="612"/>
      <c r="LX5" s="612"/>
      <c r="LZ5" s="481"/>
      <c r="MB5" s="481"/>
      <c r="MD5" s="481"/>
      <c r="ME5" s="481"/>
      <c r="MG5" s="481"/>
      <c r="MI5" s="481"/>
      <c r="MK5" s="481"/>
      <c r="ML5" s="481"/>
      <c r="MN5" s="481"/>
      <c r="MP5" s="481"/>
      <c r="MR5" s="481"/>
      <c r="MS5" s="481"/>
      <c r="MU5" s="481"/>
      <c r="MW5" s="481"/>
      <c r="MY5" s="481"/>
      <c r="MZ5" s="481"/>
      <c r="NB5" s="481"/>
      <c r="NC5" s="480"/>
    </row>
    <row r="6" spans="1:367" ht="22.35" customHeight="1">
      <c r="A6" s="310" t="s">
        <v>10</v>
      </c>
      <c r="B6" s="323" t="s">
        <v>88</v>
      </c>
      <c r="C6" s="1337">
        <v>46286</v>
      </c>
      <c r="D6" s="324">
        <v>8</v>
      </c>
      <c r="E6" s="310">
        <v>273.08</v>
      </c>
      <c r="F6" s="392">
        <v>2184.64</v>
      </c>
      <c r="G6" s="310">
        <v>70</v>
      </c>
      <c r="H6" s="310">
        <v>406.35</v>
      </c>
      <c r="I6" s="310">
        <v>411.66</v>
      </c>
      <c r="J6" s="325">
        <v>1366.63</v>
      </c>
      <c r="K6" s="326"/>
      <c r="L6" s="319"/>
      <c r="M6" s="320"/>
      <c r="N6" s="577" t="s">
        <v>3961</v>
      </c>
      <c r="O6" s="607" t="s">
        <v>86</v>
      </c>
      <c r="P6" s="1093" t="s">
        <v>1114</v>
      </c>
      <c r="Q6" s="1094">
        <v>46062</v>
      </c>
      <c r="R6" s="321" t="s">
        <v>3962</v>
      </c>
      <c r="S6" s="1096"/>
      <c r="T6" s="1097">
        <v>18455943221</v>
      </c>
      <c r="U6" s="648"/>
      <c r="V6" s="608">
        <v>2</v>
      </c>
      <c r="W6" s="674"/>
      <c r="X6" s="674">
        <v>0</v>
      </c>
      <c r="Y6" s="610">
        <v>0</v>
      </c>
      <c r="Z6" s="570"/>
      <c r="AA6" s="540" t="e">
        <v>#N/A</v>
      </c>
      <c r="AB6" s="540" t="e">
        <v>#N/A</v>
      </c>
      <c r="AC6" s="310" t="e">
        <v>#N/A</v>
      </c>
      <c r="AD6" s="525" t="e">
        <v>#N/A</v>
      </c>
      <c r="AE6" s="480"/>
      <c r="AF6" s="614"/>
      <c r="AG6" s="479"/>
      <c r="AH6" s="481"/>
      <c r="AI6" s="481"/>
      <c r="AK6" s="481"/>
      <c r="AM6" s="481"/>
      <c r="AO6" s="481"/>
      <c r="AP6" s="481"/>
      <c r="AR6" s="481"/>
      <c r="AT6" s="481"/>
      <c r="AV6" s="481"/>
      <c r="AW6" s="481"/>
      <c r="AY6" s="481"/>
      <c r="BA6" s="481"/>
      <c r="BC6" s="481"/>
      <c r="BD6" s="481"/>
      <c r="BF6" s="481"/>
      <c r="BH6" s="612"/>
      <c r="BI6" s="479"/>
      <c r="BJ6" s="612"/>
      <c r="BK6" s="614"/>
      <c r="BL6" s="479"/>
      <c r="BM6" s="481"/>
      <c r="BO6" s="481"/>
      <c r="BQ6" s="481"/>
      <c r="BR6" s="481"/>
      <c r="BT6" s="481"/>
      <c r="BV6" s="481"/>
      <c r="BX6" s="481"/>
      <c r="BY6" s="481"/>
      <c r="CA6" s="481"/>
      <c r="CC6" s="481"/>
      <c r="CE6" s="481"/>
      <c r="CF6" s="481"/>
      <c r="CH6" s="481"/>
      <c r="CJ6" s="481"/>
      <c r="CL6" s="481"/>
      <c r="CM6" s="612"/>
      <c r="CN6" s="479"/>
      <c r="CO6" s="612"/>
      <c r="CP6" s="479"/>
      <c r="CQ6" s="481"/>
      <c r="CS6" s="481"/>
      <c r="CT6" s="481"/>
      <c r="CV6" s="481"/>
      <c r="CX6" s="481"/>
      <c r="CZ6" s="481"/>
      <c r="DA6" s="481"/>
      <c r="DC6" s="481"/>
      <c r="DE6" s="481"/>
      <c r="DG6" s="481"/>
      <c r="DH6" s="481"/>
      <c r="DJ6" s="481"/>
      <c r="DL6" s="481"/>
      <c r="DN6" s="481"/>
      <c r="DO6" s="481"/>
      <c r="DQ6" s="612"/>
      <c r="DR6" s="614"/>
      <c r="DS6" s="614"/>
      <c r="DT6" s="479"/>
      <c r="DU6" s="481"/>
      <c r="DV6" s="481"/>
      <c r="DX6" s="481"/>
      <c r="DZ6" s="481"/>
      <c r="EB6" s="481"/>
      <c r="EC6" s="481"/>
      <c r="EE6" s="481"/>
      <c r="EG6" s="481"/>
      <c r="EI6" s="481"/>
      <c r="EJ6" s="481"/>
      <c r="EL6" s="481"/>
      <c r="EN6" s="481"/>
      <c r="EP6" s="481"/>
      <c r="EQ6" s="481"/>
      <c r="ES6" s="481"/>
      <c r="EU6" s="481"/>
      <c r="EV6" s="480"/>
      <c r="EW6" s="479"/>
      <c r="EX6" s="612"/>
      <c r="EY6" s="479"/>
      <c r="EZ6" s="481"/>
      <c r="FB6" s="481"/>
      <c r="FD6" s="481"/>
      <c r="FE6" s="481"/>
      <c r="FG6" s="481"/>
      <c r="FI6" s="481"/>
      <c r="FK6" s="481"/>
      <c r="FL6" s="481"/>
      <c r="FN6" s="481"/>
      <c r="FP6" s="481"/>
      <c r="FR6" s="481"/>
      <c r="FS6" s="481"/>
      <c r="FU6" s="481"/>
      <c r="FW6" s="481"/>
      <c r="FY6" s="481"/>
      <c r="FZ6" s="612"/>
      <c r="GA6" s="614"/>
      <c r="GB6" s="479"/>
      <c r="GD6" s="481"/>
      <c r="GF6" s="481"/>
      <c r="GG6" s="481"/>
      <c r="GI6" s="481"/>
      <c r="GK6" s="481"/>
      <c r="GM6" s="481"/>
      <c r="GN6" s="481"/>
      <c r="GP6" s="481"/>
      <c r="GR6" s="481"/>
      <c r="GT6" s="481"/>
      <c r="GU6" s="481"/>
      <c r="GW6" s="481"/>
      <c r="GY6" s="481"/>
      <c r="HA6" s="481"/>
      <c r="HB6" s="481"/>
      <c r="HD6" s="481"/>
      <c r="HE6" s="480"/>
      <c r="HF6" s="479"/>
      <c r="HH6" s="481"/>
      <c r="HI6" s="481"/>
      <c r="HK6" s="481"/>
      <c r="HM6" s="481"/>
      <c r="HO6" s="481"/>
      <c r="HP6" s="481"/>
      <c r="HR6" s="481"/>
      <c r="HT6" s="481"/>
      <c r="HV6" s="481"/>
      <c r="HW6" s="481"/>
      <c r="HY6" s="481"/>
      <c r="IA6" s="481"/>
      <c r="IC6" s="481"/>
      <c r="ID6" s="481"/>
      <c r="IF6" s="481"/>
      <c r="IH6" s="481"/>
      <c r="IJ6" s="612"/>
      <c r="IK6" s="479"/>
      <c r="IM6" s="481"/>
      <c r="IO6" s="481"/>
      <c r="IQ6" s="481"/>
      <c r="IR6" s="481"/>
      <c r="IT6" s="481"/>
      <c r="IV6" s="481"/>
      <c r="IX6" s="481"/>
      <c r="IY6" s="481"/>
      <c r="JA6" s="481"/>
      <c r="JC6" s="481"/>
      <c r="JE6" s="481"/>
      <c r="JF6" s="481"/>
      <c r="JH6" s="481"/>
      <c r="JJ6" s="481"/>
      <c r="JL6" s="481"/>
      <c r="JM6" s="481"/>
      <c r="JN6" s="480"/>
      <c r="JO6" s="614"/>
      <c r="JP6" s="479"/>
      <c r="JQ6" s="481"/>
      <c r="JS6" s="481"/>
      <c r="JT6" s="481"/>
      <c r="JV6" s="481"/>
      <c r="JX6" s="481"/>
      <c r="JZ6" s="481"/>
      <c r="KA6" s="481"/>
      <c r="KC6" s="481"/>
      <c r="KE6" s="481"/>
      <c r="KG6" s="481"/>
      <c r="KH6" s="481"/>
      <c r="KJ6" s="481"/>
      <c r="KL6" s="481"/>
      <c r="KN6" s="481"/>
      <c r="KO6" s="481"/>
      <c r="KQ6" s="481"/>
      <c r="KS6" s="612"/>
      <c r="KT6" s="479"/>
      <c r="KU6" s="481"/>
      <c r="KV6" s="481"/>
      <c r="KX6" s="481"/>
      <c r="KZ6" s="481"/>
      <c r="LB6" s="481"/>
      <c r="LC6" s="481"/>
      <c r="LE6" s="481"/>
      <c r="LG6" s="481"/>
      <c r="LI6" s="481"/>
      <c r="LJ6" s="481"/>
      <c r="LL6" s="481"/>
      <c r="LN6" s="481"/>
      <c r="LP6" s="481"/>
      <c r="LQ6" s="481"/>
      <c r="LS6" s="481"/>
      <c r="LU6" s="481"/>
      <c r="LW6" s="612"/>
      <c r="LX6" s="612"/>
      <c r="LZ6" s="481"/>
      <c r="MB6" s="481"/>
      <c r="MD6" s="481"/>
      <c r="ME6" s="481"/>
      <c r="MG6" s="481"/>
      <c r="MI6" s="481"/>
      <c r="MK6" s="481"/>
      <c r="ML6" s="481"/>
      <c r="MN6" s="481"/>
      <c r="MP6" s="481"/>
      <c r="MR6" s="481"/>
      <c r="MS6" s="481"/>
      <c r="MU6" s="481"/>
      <c r="MW6" s="481"/>
      <c r="MY6" s="481"/>
      <c r="MZ6" s="481"/>
      <c r="NB6" s="481"/>
      <c r="NC6" s="480"/>
    </row>
    <row r="7" spans="1:367" ht="22.35" customHeight="1">
      <c r="A7" s="310" t="s">
        <v>8</v>
      </c>
      <c r="B7" s="323" t="s">
        <v>88</v>
      </c>
      <c r="C7" s="1337">
        <v>46272</v>
      </c>
      <c r="D7" s="324">
        <v>5</v>
      </c>
      <c r="E7" s="310">
        <v>418</v>
      </c>
      <c r="F7" s="392">
        <v>2090</v>
      </c>
      <c r="G7" s="310">
        <v>90</v>
      </c>
      <c r="H7" s="310">
        <v>388.74</v>
      </c>
      <c r="I7" s="310">
        <v>412.25</v>
      </c>
      <c r="J7" s="325">
        <v>1289.01</v>
      </c>
      <c r="K7" s="326"/>
      <c r="L7" s="319"/>
      <c r="M7" s="320"/>
      <c r="N7" s="577" t="s">
        <v>3703</v>
      </c>
      <c r="O7" s="607" t="s">
        <v>86</v>
      </c>
      <c r="P7" s="1093" t="s">
        <v>1113</v>
      </c>
      <c r="Q7" s="1094">
        <v>46015</v>
      </c>
      <c r="R7" s="321" t="s">
        <v>3704</v>
      </c>
      <c r="S7" s="1096"/>
      <c r="T7" s="1097">
        <v>13604406359</v>
      </c>
      <c r="U7" s="648"/>
      <c r="V7" s="608">
        <v>4</v>
      </c>
      <c r="W7" s="674"/>
      <c r="X7" s="674">
        <v>0</v>
      </c>
      <c r="Y7" s="610">
        <v>0</v>
      </c>
      <c r="Z7" s="570"/>
      <c r="AA7" s="540" t="e">
        <v>#N/A</v>
      </c>
      <c r="AB7" s="540" t="e">
        <v>#N/A</v>
      </c>
      <c r="AC7" s="310" t="e">
        <v>#N/A</v>
      </c>
      <c r="AD7" s="525" t="e">
        <v>#N/A</v>
      </c>
      <c r="AE7" s="480"/>
      <c r="AF7" s="614"/>
      <c r="AG7" s="479"/>
      <c r="AH7" s="481"/>
      <c r="AI7" s="481"/>
      <c r="AK7" s="481"/>
      <c r="AM7" s="481"/>
      <c r="AO7" s="481"/>
      <c r="AP7" s="481"/>
      <c r="AR7" s="481"/>
      <c r="AT7" s="481"/>
      <c r="AV7" s="481"/>
      <c r="AW7" s="481"/>
      <c r="AY7" s="481"/>
      <c r="BA7" s="481"/>
      <c r="BC7" s="481"/>
      <c r="BD7" s="481"/>
      <c r="BF7" s="481"/>
      <c r="BH7" s="612"/>
      <c r="BI7" s="479"/>
      <c r="BJ7" s="612"/>
      <c r="BK7" s="614"/>
      <c r="BL7" s="479"/>
      <c r="BM7" s="481"/>
      <c r="BO7" s="481"/>
      <c r="BQ7" s="481"/>
      <c r="BR7" s="481"/>
      <c r="BT7" s="481"/>
      <c r="BV7" s="481"/>
      <c r="BX7" s="481"/>
      <c r="BY7" s="481"/>
      <c r="CA7" s="481"/>
      <c r="CC7" s="481"/>
      <c r="CE7" s="481"/>
      <c r="CF7" s="481"/>
      <c r="CH7" s="481"/>
      <c r="CJ7" s="481"/>
      <c r="CL7" s="481"/>
      <c r="CM7" s="612"/>
      <c r="CN7" s="479"/>
      <c r="CO7" s="612"/>
      <c r="CP7" s="479"/>
      <c r="CQ7" s="481"/>
      <c r="CS7" s="481"/>
      <c r="CT7" s="481"/>
      <c r="CV7" s="481"/>
      <c r="CX7" s="481"/>
      <c r="CZ7" s="481"/>
      <c r="DA7" s="481"/>
      <c r="DC7" s="481"/>
      <c r="DE7" s="481"/>
      <c r="DG7" s="481"/>
      <c r="DH7" s="481"/>
      <c r="DJ7" s="481"/>
      <c r="DL7" s="481"/>
      <c r="DN7" s="481"/>
      <c r="DO7" s="481"/>
      <c r="DQ7" s="612"/>
      <c r="DR7" s="614"/>
      <c r="DS7" s="614"/>
      <c r="DT7" s="479"/>
      <c r="DU7" s="481"/>
      <c r="DV7" s="481"/>
      <c r="DX7" s="481"/>
      <c r="DZ7" s="481"/>
      <c r="EB7" s="481"/>
      <c r="EC7" s="481"/>
      <c r="EE7" s="481"/>
      <c r="EG7" s="481"/>
      <c r="EI7" s="481"/>
      <c r="EJ7" s="481"/>
      <c r="EL7" s="481"/>
      <c r="EN7" s="481"/>
      <c r="EP7" s="481"/>
      <c r="EQ7" s="481"/>
      <c r="ES7" s="481"/>
      <c r="EU7" s="481"/>
      <c r="EV7" s="480"/>
      <c r="EW7" s="479"/>
      <c r="EX7" s="612"/>
      <c r="EY7" s="479"/>
      <c r="EZ7" s="481"/>
      <c r="FB7" s="481"/>
      <c r="FD7" s="481"/>
      <c r="FE7" s="481"/>
      <c r="FG7" s="481"/>
      <c r="FI7" s="481"/>
      <c r="FK7" s="481"/>
      <c r="FL7" s="481"/>
      <c r="FN7" s="481"/>
      <c r="FP7" s="481"/>
      <c r="FR7" s="481"/>
      <c r="FS7" s="481"/>
      <c r="FU7" s="481"/>
      <c r="FW7" s="481"/>
      <c r="FY7" s="481"/>
      <c r="FZ7" s="612"/>
      <c r="GA7" s="614"/>
      <c r="GB7" s="479"/>
      <c r="GD7" s="481"/>
      <c r="GF7" s="481"/>
      <c r="GG7" s="481"/>
      <c r="GI7" s="481"/>
      <c r="GK7" s="481"/>
      <c r="GM7" s="481"/>
      <c r="GN7" s="481"/>
      <c r="GP7" s="481"/>
      <c r="GR7" s="481"/>
      <c r="GT7" s="481"/>
      <c r="GU7" s="481"/>
      <c r="GW7" s="481"/>
      <c r="GY7" s="481"/>
      <c r="HA7" s="481"/>
      <c r="HB7" s="481"/>
      <c r="HD7" s="481"/>
      <c r="HE7" s="480"/>
      <c r="HF7" s="479"/>
      <c r="HH7" s="481"/>
      <c r="HI7" s="481"/>
      <c r="HK7" s="481"/>
      <c r="HM7" s="481"/>
      <c r="HO7" s="481"/>
      <c r="HP7" s="481"/>
      <c r="HR7" s="481"/>
      <c r="HT7" s="481"/>
      <c r="HV7" s="481"/>
      <c r="HW7" s="481"/>
      <c r="HY7" s="481"/>
      <c r="IA7" s="481"/>
      <c r="IC7" s="481"/>
      <c r="ID7" s="481"/>
      <c r="IF7" s="481"/>
      <c r="IH7" s="481"/>
      <c r="IJ7" s="612"/>
      <c r="IK7" s="479"/>
      <c r="IM7" s="481"/>
      <c r="IO7" s="481"/>
      <c r="IQ7" s="481"/>
      <c r="IR7" s="481"/>
      <c r="IT7" s="481"/>
      <c r="IV7" s="481"/>
      <c r="IX7" s="481"/>
      <c r="IY7" s="481"/>
      <c r="JA7" s="481"/>
      <c r="JC7" s="481"/>
      <c r="JE7" s="481"/>
      <c r="JF7" s="481"/>
      <c r="JH7" s="481"/>
      <c r="JJ7" s="481"/>
      <c r="JL7" s="481"/>
      <c r="JM7" s="481"/>
      <c r="JN7" s="480"/>
      <c r="JO7" s="614"/>
      <c r="JP7" s="479"/>
      <c r="JQ7" s="481"/>
      <c r="JS7" s="481"/>
      <c r="JT7" s="481"/>
      <c r="JV7" s="481"/>
      <c r="JX7" s="481"/>
      <c r="JZ7" s="481"/>
      <c r="KA7" s="481"/>
      <c r="KC7" s="481"/>
      <c r="KE7" s="481"/>
      <c r="KG7" s="481"/>
      <c r="KH7" s="481"/>
      <c r="KJ7" s="481"/>
      <c r="KL7" s="481"/>
      <c r="KN7" s="481"/>
      <c r="KO7" s="481"/>
      <c r="KQ7" s="481"/>
      <c r="KS7" s="612"/>
      <c r="KT7" s="479"/>
      <c r="KU7" s="481"/>
      <c r="KV7" s="481"/>
      <c r="KX7" s="481"/>
      <c r="KZ7" s="481"/>
      <c r="LB7" s="481"/>
      <c r="LC7" s="481"/>
      <c r="LE7" s="481"/>
      <c r="LG7" s="481"/>
      <c r="LI7" s="481"/>
      <c r="LJ7" s="481"/>
      <c r="LL7" s="481"/>
      <c r="LN7" s="481"/>
      <c r="LP7" s="481"/>
      <c r="LQ7" s="481"/>
      <c r="LS7" s="481"/>
      <c r="LU7" s="481"/>
      <c r="LW7" s="612"/>
      <c r="LX7" s="612"/>
      <c r="LZ7" s="481"/>
      <c r="MB7" s="481"/>
      <c r="MD7" s="481"/>
      <c r="ME7" s="481"/>
      <c r="MG7" s="481"/>
      <c r="MI7" s="481"/>
      <c r="MK7" s="481"/>
      <c r="ML7" s="481"/>
      <c r="MN7" s="481"/>
      <c r="MP7" s="481"/>
      <c r="MR7" s="481"/>
      <c r="MS7" s="481"/>
      <c r="MU7" s="481"/>
      <c r="MW7" s="481"/>
      <c r="MY7" s="481"/>
      <c r="MZ7" s="481"/>
      <c r="NB7" s="481"/>
      <c r="NC7" s="480"/>
    </row>
    <row r="8" spans="1:367" ht="22.35" customHeight="1">
      <c r="A8" s="310" t="s">
        <v>10</v>
      </c>
      <c r="B8" s="323" t="s">
        <v>88</v>
      </c>
      <c r="C8" s="1337">
        <v>46256</v>
      </c>
      <c r="D8" s="324">
        <v>3</v>
      </c>
      <c r="E8" s="310">
        <v>290.67</v>
      </c>
      <c r="F8" s="392">
        <v>872</v>
      </c>
      <c r="G8" s="310">
        <v>70</v>
      </c>
      <c r="H8" s="310">
        <v>162.19</v>
      </c>
      <c r="I8" s="310">
        <v>197.96</v>
      </c>
      <c r="J8" s="325">
        <v>511.85</v>
      </c>
      <c r="K8" s="326"/>
      <c r="L8" s="319"/>
      <c r="M8" s="320"/>
      <c r="N8" s="577" t="s">
        <v>3944</v>
      </c>
      <c r="O8" s="607" t="s">
        <v>86</v>
      </c>
      <c r="P8" s="1093" t="s">
        <v>1114</v>
      </c>
      <c r="Q8" s="1094">
        <v>46055</v>
      </c>
      <c r="R8" s="321" t="s">
        <v>3946</v>
      </c>
      <c r="S8" s="1096"/>
      <c r="T8" s="1097">
        <v>61401092552</v>
      </c>
      <c r="U8" s="648"/>
      <c r="V8" s="608">
        <v>2</v>
      </c>
      <c r="W8" s="674"/>
      <c r="X8" s="674">
        <v>0</v>
      </c>
      <c r="Y8" s="610">
        <v>0</v>
      </c>
      <c r="Z8" s="570"/>
      <c r="AA8" s="540" t="e">
        <v>#N/A</v>
      </c>
      <c r="AB8" s="540" t="e">
        <v>#N/A</v>
      </c>
      <c r="AC8" s="310" t="e">
        <v>#N/A</v>
      </c>
      <c r="AD8" s="525" t="e">
        <v>#N/A</v>
      </c>
      <c r="AE8" s="480"/>
      <c r="AF8" s="614"/>
      <c r="AG8" s="479"/>
      <c r="AH8" s="481"/>
      <c r="AI8" s="481"/>
      <c r="AK8" s="481"/>
      <c r="AM8" s="481"/>
      <c r="AO8" s="481"/>
      <c r="AP8" s="481"/>
      <c r="AR8" s="481"/>
      <c r="AT8" s="481"/>
      <c r="AV8" s="481"/>
      <c r="AW8" s="481"/>
      <c r="AY8" s="481"/>
      <c r="BA8" s="481"/>
      <c r="BC8" s="481"/>
      <c r="BD8" s="481"/>
      <c r="BF8" s="481"/>
      <c r="BH8" s="612"/>
      <c r="BI8" s="479"/>
      <c r="BJ8" s="612"/>
      <c r="BK8" s="614"/>
      <c r="BL8" s="479"/>
      <c r="BM8" s="481"/>
      <c r="BO8" s="481"/>
      <c r="BQ8" s="481"/>
      <c r="BR8" s="481"/>
      <c r="BT8" s="481"/>
      <c r="BV8" s="481"/>
      <c r="BX8" s="481"/>
      <c r="BY8" s="481"/>
      <c r="CA8" s="481"/>
      <c r="CC8" s="481"/>
      <c r="CE8" s="481"/>
      <c r="CF8" s="481"/>
      <c r="CH8" s="481"/>
      <c r="CJ8" s="481"/>
      <c r="CL8" s="481"/>
      <c r="CM8" s="612"/>
      <c r="CN8" s="479"/>
      <c r="CO8" s="612"/>
      <c r="CP8" s="479"/>
      <c r="CQ8" s="481"/>
      <c r="CS8" s="481"/>
      <c r="CT8" s="481"/>
      <c r="CV8" s="481"/>
      <c r="CX8" s="481"/>
      <c r="CZ8" s="481"/>
      <c r="DA8" s="481"/>
      <c r="DC8" s="481"/>
      <c r="DE8" s="481"/>
      <c r="DG8" s="481"/>
      <c r="DH8" s="481"/>
      <c r="DJ8" s="481"/>
      <c r="DL8" s="481"/>
      <c r="DN8" s="481"/>
      <c r="DO8" s="481"/>
      <c r="DQ8" s="612"/>
      <c r="DR8" s="614"/>
      <c r="DS8" s="614"/>
      <c r="DT8" s="479"/>
      <c r="DU8" s="481"/>
      <c r="DV8" s="481"/>
      <c r="DX8" s="481"/>
      <c r="DZ8" s="481"/>
      <c r="EB8" s="481"/>
      <c r="EC8" s="481"/>
      <c r="EE8" s="481"/>
      <c r="EG8" s="481"/>
      <c r="EI8" s="481"/>
      <c r="EJ8" s="481"/>
      <c r="EL8" s="481"/>
      <c r="EN8" s="481"/>
      <c r="EP8" s="481"/>
      <c r="EQ8" s="481"/>
      <c r="ES8" s="481"/>
      <c r="EU8" s="481"/>
      <c r="EV8" s="480"/>
      <c r="EW8" s="479"/>
      <c r="EX8" s="612"/>
      <c r="EY8" s="479"/>
      <c r="EZ8" s="481"/>
      <c r="FB8" s="481"/>
      <c r="FD8" s="481"/>
      <c r="FE8" s="481"/>
      <c r="FG8" s="481"/>
      <c r="FI8" s="481"/>
      <c r="FK8" s="481"/>
      <c r="FL8" s="481"/>
      <c r="FN8" s="481"/>
      <c r="FP8" s="481"/>
      <c r="FR8" s="481"/>
      <c r="FS8" s="481"/>
      <c r="FU8" s="481"/>
      <c r="FW8" s="481"/>
      <c r="FY8" s="481"/>
      <c r="FZ8" s="612"/>
      <c r="GA8" s="614"/>
      <c r="GB8" s="479"/>
      <c r="GD8" s="481"/>
      <c r="GF8" s="481"/>
      <c r="GG8" s="481"/>
      <c r="GI8" s="481"/>
      <c r="GK8" s="481"/>
      <c r="GM8" s="481"/>
      <c r="GN8" s="481"/>
      <c r="GP8" s="481"/>
      <c r="GR8" s="481"/>
      <c r="GT8" s="481"/>
      <c r="GU8" s="481"/>
      <c r="GW8" s="481"/>
      <c r="GY8" s="481"/>
      <c r="HA8" s="481"/>
      <c r="HB8" s="481"/>
      <c r="HD8" s="481"/>
      <c r="HE8" s="480"/>
      <c r="HF8" s="479"/>
      <c r="HH8" s="481"/>
      <c r="HI8" s="481"/>
      <c r="HK8" s="481"/>
      <c r="HM8" s="481"/>
      <c r="HO8" s="481"/>
      <c r="HP8" s="481"/>
      <c r="HR8" s="481"/>
      <c r="HT8" s="481"/>
      <c r="HV8" s="481"/>
      <c r="HW8" s="481"/>
      <c r="HY8" s="481"/>
      <c r="IA8" s="481"/>
      <c r="IC8" s="481"/>
      <c r="ID8" s="481"/>
      <c r="IF8" s="481"/>
      <c r="IH8" s="481"/>
      <c r="IJ8" s="612"/>
      <c r="IK8" s="479"/>
      <c r="IM8" s="481"/>
      <c r="IO8" s="481"/>
      <c r="IQ8" s="481"/>
      <c r="IR8" s="481"/>
      <c r="IT8" s="481"/>
      <c r="IV8" s="481"/>
      <c r="IX8" s="481"/>
      <c r="IY8" s="481"/>
      <c r="JA8" s="481"/>
      <c r="JC8" s="481"/>
      <c r="JE8" s="481"/>
      <c r="JF8" s="481"/>
      <c r="JH8" s="481"/>
      <c r="JJ8" s="481"/>
      <c r="JL8" s="481"/>
      <c r="JM8" s="481"/>
      <c r="JN8" s="480"/>
      <c r="JO8" s="614"/>
      <c r="JP8" s="479"/>
      <c r="JQ8" s="481"/>
      <c r="JS8" s="481"/>
      <c r="JT8" s="481"/>
      <c r="JV8" s="481"/>
      <c r="JX8" s="481"/>
      <c r="JZ8" s="481"/>
      <c r="KA8" s="481"/>
      <c r="KC8" s="481"/>
      <c r="KE8" s="481"/>
      <c r="KG8" s="481"/>
      <c r="KH8" s="481"/>
      <c r="KJ8" s="481"/>
      <c r="KL8" s="481"/>
      <c r="KN8" s="481"/>
      <c r="KO8" s="481"/>
      <c r="KQ8" s="481"/>
      <c r="KS8" s="612"/>
      <c r="KT8" s="479"/>
      <c r="KU8" s="481"/>
      <c r="KV8" s="481"/>
      <c r="KX8" s="481"/>
      <c r="KZ8" s="481"/>
      <c r="LB8" s="481"/>
      <c r="LC8" s="481"/>
      <c r="LE8" s="481"/>
      <c r="LG8" s="481"/>
      <c r="LI8" s="481"/>
      <c r="LJ8" s="481"/>
      <c r="LL8" s="481"/>
      <c r="LN8" s="481"/>
      <c r="LP8" s="481"/>
      <c r="LQ8" s="481"/>
      <c r="LS8" s="481"/>
      <c r="LU8" s="481"/>
      <c r="LW8" s="612"/>
      <c r="LX8" s="612"/>
      <c r="LZ8" s="481"/>
      <c r="MB8" s="481"/>
      <c r="MD8" s="481"/>
      <c r="ME8" s="481"/>
      <c r="MG8" s="481"/>
      <c r="MI8" s="481"/>
      <c r="MK8" s="481"/>
      <c r="ML8" s="481"/>
      <c r="MN8" s="481"/>
      <c r="MP8" s="481"/>
      <c r="MR8" s="481"/>
      <c r="MS8" s="481"/>
      <c r="MU8" s="481"/>
      <c r="MW8" s="481"/>
      <c r="MY8" s="481"/>
      <c r="MZ8" s="481"/>
      <c r="NB8" s="481"/>
      <c r="NC8" s="480"/>
    </row>
    <row r="9" spans="1:367" ht="22.35" customHeight="1">
      <c r="A9" s="310" t="s">
        <v>8</v>
      </c>
      <c r="B9" s="323" t="s">
        <v>88</v>
      </c>
      <c r="C9" s="1337">
        <v>46246</v>
      </c>
      <c r="D9" s="324">
        <v>3</v>
      </c>
      <c r="E9" s="310">
        <v>378.33</v>
      </c>
      <c r="F9" s="392">
        <v>1135</v>
      </c>
      <c r="G9" s="310">
        <v>90</v>
      </c>
      <c r="H9" s="310">
        <v>211.12</v>
      </c>
      <c r="I9" s="310">
        <v>256.77999999999997</v>
      </c>
      <c r="J9" s="325">
        <v>667.1</v>
      </c>
      <c r="K9" s="326"/>
      <c r="L9" s="319"/>
      <c r="M9" s="320"/>
      <c r="N9" s="577" t="s">
        <v>3945</v>
      </c>
      <c r="O9" s="607" t="s">
        <v>86</v>
      </c>
      <c r="P9" s="1093" t="s">
        <v>1113</v>
      </c>
      <c r="Q9" s="1094">
        <v>46058</v>
      </c>
      <c r="R9" s="321" t="s">
        <v>3947</v>
      </c>
      <c r="S9" s="1096"/>
      <c r="T9" s="1097">
        <v>19024918412</v>
      </c>
      <c r="U9" s="648"/>
      <c r="V9" s="608">
        <v>3</v>
      </c>
      <c r="W9" s="674"/>
      <c r="X9" s="674">
        <v>0</v>
      </c>
      <c r="Y9" s="610">
        <v>0</v>
      </c>
      <c r="Z9" s="570"/>
      <c r="AA9" s="540" t="e">
        <v>#N/A</v>
      </c>
      <c r="AB9" s="540" t="e">
        <v>#N/A</v>
      </c>
      <c r="AC9" s="310" t="e">
        <v>#N/A</v>
      </c>
      <c r="AD9" s="525" t="e">
        <v>#N/A</v>
      </c>
    </row>
    <row r="10" spans="1:367" ht="22.35" customHeight="1">
      <c r="A10" s="310" t="s">
        <v>15</v>
      </c>
      <c r="B10" s="323" t="s">
        <v>88</v>
      </c>
      <c r="C10" s="1337">
        <v>46232</v>
      </c>
      <c r="D10" s="324">
        <v>52</v>
      </c>
      <c r="E10" s="310">
        <v>100.44</v>
      </c>
      <c r="F10" s="392">
        <v>5223</v>
      </c>
      <c r="G10" s="310">
        <v>75</v>
      </c>
      <c r="H10" s="310">
        <v>971.48</v>
      </c>
      <c r="I10" s="310">
        <v>576.17999999999995</v>
      </c>
      <c r="J10" s="325">
        <v>3675.34</v>
      </c>
      <c r="K10" s="326"/>
      <c r="L10" s="319"/>
      <c r="M10" s="320"/>
      <c r="N10" s="577" t="s">
        <v>3712</v>
      </c>
      <c r="O10" s="607" t="s">
        <v>86</v>
      </c>
      <c r="P10" s="1093" t="s">
        <v>1115</v>
      </c>
      <c r="Q10" s="1094">
        <v>46028</v>
      </c>
      <c r="R10" s="321" t="s">
        <v>115</v>
      </c>
      <c r="S10" s="1096"/>
      <c r="T10" s="1097">
        <v>14082345471</v>
      </c>
      <c r="U10" s="648"/>
      <c r="V10" s="608">
        <v>2</v>
      </c>
      <c r="W10" s="674"/>
      <c r="X10" s="674">
        <v>0</v>
      </c>
      <c r="Y10" s="610">
        <v>0</v>
      </c>
      <c r="Z10" s="570"/>
      <c r="AA10" s="540" t="e">
        <v>#N/A</v>
      </c>
      <c r="AB10" s="540" t="e">
        <v>#N/A</v>
      </c>
      <c r="AC10" s="310" t="e">
        <v>#N/A</v>
      </c>
      <c r="AD10" s="525" t="e">
        <v>#N/A</v>
      </c>
    </row>
    <row r="11" spans="1:367" ht="22.35" customHeight="1">
      <c r="A11" s="310" t="s">
        <v>10</v>
      </c>
      <c r="B11" s="323" t="s">
        <v>23</v>
      </c>
      <c r="C11" s="1337">
        <v>46228</v>
      </c>
      <c r="D11" s="324">
        <v>3</v>
      </c>
      <c r="E11" s="310">
        <v>297.33</v>
      </c>
      <c r="F11" s="392" t="s">
        <v>3041</v>
      </c>
      <c r="G11" s="310">
        <v>70</v>
      </c>
      <c r="H11" s="310">
        <v>165.44</v>
      </c>
      <c r="I11" s="310">
        <v>201.31</v>
      </c>
      <c r="J11" s="325">
        <v>525.25</v>
      </c>
      <c r="K11" s="326">
        <v>0</v>
      </c>
      <c r="L11" s="319"/>
      <c r="M11" s="320"/>
      <c r="N11" s="576" t="s">
        <v>3045</v>
      </c>
      <c r="O11" s="543" t="s">
        <v>86</v>
      </c>
      <c r="P11" s="1218"/>
      <c r="Q11" s="1219">
        <v>45827</v>
      </c>
      <c r="R11" s="330" t="s">
        <v>3451</v>
      </c>
      <c r="S11" s="1080"/>
      <c r="T11" s="548"/>
      <c r="U11" s="631"/>
      <c r="V11" s="545"/>
      <c r="W11" s="1220"/>
      <c r="X11" s="1220"/>
      <c r="Y11" s="546"/>
      <c r="Z11" s="206"/>
      <c r="AA11" s="328"/>
      <c r="AB11" s="328"/>
      <c r="AC11" s="394"/>
      <c r="AD11" s="72"/>
    </row>
    <row r="12" spans="1:367" ht="22.35" customHeight="1">
      <c r="A12" s="310" t="s">
        <v>10</v>
      </c>
      <c r="B12" s="323" t="s">
        <v>88</v>
      </c>
      <c r="C12" s="1337">
        <v>46223</v>
      </c>
      <c r="D12" s="324">
        <v>3</v>
      </c>
      <c r="E12" s="310">
        <v>287.45999999999998</v>
      </c>
      <c r="F12" s="392">
        <v>862.37</v>
      </c>
      <c r="G12" s="310">
        <v>70</v>
      </c>
      <c r="H12" s="310">
        <v>160.41</v>
      </c>
      <c r="I12" s="310">
        <v>196.39</v>
      </c>
      <c r="J12" s="325">
        <v>505.57</v>
      </c>
      <c r="K12" s="326"/>
      <c r="L12" s="319"/>
      <c r="M12" s="320"/>
      <c r="N12" s="577" t="s">
        <v>4012</v>
      </c>
      <c r="O12" s="607" t="s">
        <v>86</v>
      </c>
      <c r="P12" s="1093" t="s">
        <v>1114</v>
      </c>
      <c r="Q12" s="1094">
        <v>46079</v>
      </c>
      <c r="R12" s="321" t="s">
        <v>4013</v>
      </c>
      <c r="S12" s="1096"/>
      <c r="T12" s="1097">
        <v>542966465905</v>
      </c>
      <c r="U12" s="648"/>
      <c r="V12" s="608">
        <v>3</v>
      </c>
      <c r="W12" s="674"/>
      <c r="X12" s="674">
        <v>0</v>
      </c>
      <c r="Y12" s="610">
        <v>0</v>
      </c>
      <c r="Z12" s="570"/>
      <c r="AA12" s="540" t="e">
        <v>#N/A</v>
      </c>
      <c r="AB12" s="540" t="e">
        <v>#N/A</v>
      </c>
      <c r="AC12" s="310" t="e">
        <v>#N/A</v>
      </c>
      <c r="AD12" s="525" t="e">
        <v>#N/A</v>
      </c>
    </row>
    <row r="13" spans="1:367" ht="22.35" customHeight="1">
      <c r="A13" s="310" t="s">
        <v>8</v>
      </c>
      <c r="B13" s="323" t="s">
        <v>88</v>
      </c>
      <c r="C13" s="1337">
        <v>46223</v>
      </c>
      <c r="D13" s="324">
        <v>5</v>
      </c>
      <c r="E13" s="310">
        <v>407.29</v>
      </c>
      <c r="F13" s="392">
        <v>2036.43</v>
      </c>
      <c r="G13" s="310">
        <v>90</v>
      </c>
      <c r="H13" s="310">
        <v>366.55</v>
      </c>
      <c r="I13" s="310">
        <v>405.98</v>
      </c>
      <c r="J13" s="325">
        <v>1263.9000000000001</v>
      </c>
      <c r="K13" s="326"/>
      <c r="L13" s="319"/>
      <c r="M13" s="320"/>
      <c r="N13" s="577" t="s">
        <v>3633</v>
      </c>
      <c r="O13" s="607" t="s">
        <v>86</v>
      </c>
      <c r="P13" s="1093" t="s">
        <v>1113</v>
      </c>
      <c r="Q13" s="1094">
        <v>45953</v>
      </c>
      <c r="R13" s="321" t="s">
        <v>3634</v>
      </c>
      <c r="S13" s="1096"/>
      <c r="T13" s="611">
        <v>17605253946</v>
      </c>
      <c r="U13" s="648"/>
      <c r="V13" s="608">
        <v>2</v>
      </c>
      <c r="W13" s="674"/>
      <c r="X13" s="674">
        <v>0</v>
      </c>
      <c r="Y13" s="610">
        <v>0</v>
      </c>
      <c r="Z13" s="570"/>
      <c r="AA13" s="540" t="e">
        <v>#N/A</v>
      </c>
      <c r="AB13" s="540" t="e">
        <v>#N/A</v>
      </c>
      <c r="AC13" s="310" t="e">
        <v>#N/A</v>
      </c>
      <c r="AD13" s="525" t="e">
        <v>#N/A</v>
      </c>
    </row>
    <row r="14" spans="1:367" ht="22.35" customHeight="1">
      <c r="A14" s="310" t="s">
        <v>8</v>
      </c>
      <c r="B14" s="323" t="s">
        <v>23</v>
      </c>
      <c r="C14" s="1337">
        <v>46213</v>
      </c>
      <c r="D14" s="324">
        <v>5</v>
      </c>
      <c r="E14" s="310">
        <v>409.5</v>
      </c>
      <c r="F14" s="392">
        <v>2047.5</v>
      </c>
      <c r="G14" s="310">
        <v>90</v>
      </c>
      <c r="H14" s="310">
        <v>378.96</v>
      </c>
      <c r="I14" s="310">
        <v>405.71</v>
      </c>
      <c r="J14" s="325">
        <v>1262.83</v>
      </c>
      <c r="K14" s="326"/>
      <c r="L14" s="319"/>
      <c r="M14" s="320"/>
      <c r="N14" s="577" t="s">
        <v>3707</v>
      </c>
      <c r="O14" s="607" t="s">
        <v>86</v>
      </c>
      <c r="P14" s="1093" t="s">
        <v>1113</v>
      </c>
      <c r="Q14" s="1094">
        <v>46019</v>
      </c>
      <c r="R14" s="321" t="s">
        <v>3708</v>
      </c>
      <c r="S14" s="1096"/>
      <c r="T14" s="1097">
        <v>13124985751</v>
      </c>
      <c r="U14" s="648"/>
      <c r="V14" s="608">
        <v>2</v>
      </c>
      <c r="W14" s="674"/>
      <c r="X14" s="674">
        <v>0</v>
      </c>
      <c r="Y14" s="610"/>
      <c r="Z14" s="570"/>
      <c r="AA14" s="540" t="e">
        <v>#N/A</v>
      </c>
      <c r="AB14" s="540" t="e">
        <v>#N/A</v>
      </c>
      <c r="AC14" s="310" t="e">
        <v>#N/A</v>
      </c>
      <c r="AD14" s="525" t="e">
        <v>#N/A</v>
      </c>
    </row>
    <row r="15" spans="1:367" ht="22.35" customHeight="1">
      <c r="A15" s="602" t="s">
        <v>10</v>
      </c>
      <c r="B15" s="1089" t="s">
        <v>23</v>
      </c>
      <c r="C15" s="1338">
        <v>46212</v>
      </c>
      <c r="D15" s="661">
        <v>4</v>
      </c>
      <c r="E15" s="602">
        <v>291.5</v>
      </c>
      <c r="F15" s="1069">
        <v>1166</v>
      </c>
      <c r="G15" s="602">
        <v>70</v>
      </c>
      <c r="H15" s="602">
        <v>217.04</v>
      </c>
      <c r="I15" s="602">
        <v>245.79</v>
      </c>
      <c r="J15" s="1076">
        <v>703.17</v>
      </c>
      <c r="K15" s="1090">
        <v>0</v>
      </c>
      <c r="L15" s="1091"/>
      <c r="M15" s="692"/>
      <c r="N15" s="1221" t="s">
        <v>3261</v>
      </c>
      <c r="O15" s="543" t="s">
        <v>86</v>
      </c>
      <c r="P15" s="1218"/>
      <c r="Q15" s="1219">
        <v>45872</v>
      </c>
      <c r="R15" s="1222" t="s">
        <v>3259</v>
      </c>
      <c r="S15" s="1080"/>
      <c r="T15" s="548"/>
      <c r="U15" s="631"/>
      <c r="V15" s="545"/>
      <c r="W15" s="1220"/>
      <c r="X15" s="1220"/>
      <c r="Y15" s="546"/>
      <c r="Z15" s="206"/>
      <c r="AA15" s="1223"/>
      <c r="AB15" s="1223"/>
      <c r="AC15" s="1224"/>
      <c r="AD15" s="72"/>
    </row>
    <row r="16" spans="1:367" ht="22.35" customHeight="1">
      <c r="A16" s="602" t="s">
        <v>8</v>
      </c>
      <c r="B16" s="1089" t="s">
        <v>23</v>
      </c>
      <c r="C16" s="1338">
        <v>46209</v>
      </c>
      <c r="D16" s="661">
        <v>4</v>
      </c>
      <c r="E16" s="602">
        <v>405.23</v>
      </c>
      <c r="F16" s="1069">
        <v>1620.9</v>
      </c>
      <c r="G16" s="602">
        <v>90</v>
      </c>
      <c r="H16" s="602">
        <v>300.92</v>
      </c>
      <c r="I16" s="602">
        <v>336</v>
      </c>
      <c r="J16" s="1076">
        <v>983.98</v>
      </c>
      <c r="K16" s="1090"/>
      <c r="L16" s="1091"/>
      <c r="M16" s="692"/>
      <c r="N16" s="1092" t="s">
        <v>3921</v>
      </c>
      <c r="O16" s="607" t="s">
        <v>86</v>
      </c>
      <c r="P16" s="1093" t="s">
        <v>1113</v>
      </c>
      <c r="Q16" s="1094">
        <v>46053</v>
      </c>
      <c r="R16" s="1095" t="s">
        <v>3923</v>
      </c>
      <c r="S16" s="1096"/>
      <c r="T16" s="1097">
        <v>35799809219</v>
      </c>
      <c r="U16" s="648"/>
      <c r="V16" s="608">
        <v>3</v>
      </c>
      <c r="W16" s="674"/>
      <c r="X16" s="674">
        <v>0</v>
      </c>
      <c r="Y16" s="610"/>
      <c r="Z16" s="570"/>
      <c r="AA16" s="1098" t="e">
        <v>#N/A</v>
      </c>
      <c r="AB16" s="1098" t="e">
        <v>#N/A</v>
      </c>
      <c r="AC16" s="602" t="e">
        <v>#N/A</v>
      </c>
      <c r="AD16" s="525" t="e">
        <v>#N/A</v>
      </c>
    </row>
    <row r="17" spans="1:30" ht="22.35" customHeight="1">
      <c r="A17" s="602" t="s">
        <v>10</v>
      </c>
      <c r="B17" s="1089" t="s">
        <v>23</v>
      </c>
      <c r="C17" s="1338">
        <v>46206</v>
      </c>
      <c r="D17" s="661">
        <v>5</v>
      </c>
      <c r="E17" s="602">
        <v>286.88</v>
      </c>
      <c r="F17" s="1069">
        <v>1434.4</v>
      </c>
      <c r="G17" s="602">
        <v>70</v>
      </c>
      <c r="H17" s="602">
        <v>267.04000000000002</v>
      </c>
      <c r="I17" s="602">
        <v>289.47000000000003</v>
      </c>
      <c r="J17" s="1076">
        <v>877.89</v>
      </c>
      <c r="K17" s="1090"/>
      <c r="L17" s="1091"/>
      <c r="M17" s="692"/>
      <c r="N17" s="1092" t="s">
        <v>3918</v>
      </c>
      <c r="O17" s="607" t="s">
        <v>86</v>
      </c>
      <c r="P17" s="1093" t="s">
        <v>1114</v>
      </c>
      <c r="Q17" s="1094">
        <v>46052</v>
      </c>
      <c r="R17" s="1095" t="s">
        <v>3919</v>
      </c>
      <c r="S17" s="1096"/>
      <c r="T17" s="1097">
        <v>15148986976</v>
      </c>
      <c r="U17" s="648"/>
      <c r="V17" s="608">
        <v>3</v>
      </c>
      <c r="W17" s="674"/>
      <c r="X17" s="674">
        <v>0</v>
      </c>
      <c r="Y17" s="610"/>
      <c r="Z17" s="570"/>
      <c r="AA17" s="1098" t="e">
        <v>#N/A</v>
      </c>
      <c r="AB17" s="1098" t="e">
        <v>#N/A</v>
      </c>
      <c r="AC17" s="602" t="e">
        <v>#N/A</v>
      </c>
      <c r="AD17" s="525" t="e">
        <v>#N/A</v>
      </c>
    </row>
    <row r="18" spans="1:30" ht="22.35" customHeight="1">
      <c r="A18" s="602" t="s">
        <v>8</v>
      </c>
      <c r="B18" s="1089" t="s">
        <v>23</v>
      </c>
      <c r="C18" s="1338">
        <v>46205</v>
      </c>
      <c r="D18" s="661">
        <v>3</v>
      </c>
      <c r="E18" s="602">
        <v>408</v>
      </c>
      <c r="F18" s="1069" t="s">
        <v>3452</v>
      </c>
      <c r="G18" s="602">
        <v>90</v>
      </c>
      <c r="H18" s="602">
        <v>226.53</v>
      </c>
      <c r="I18" s="602">
        <v>271.49</v>
      </c>
      <c r="J18" s="1076">
        <v>725.98</v>
      </c>
      <c r="K18" s="1090"/>
      <c r="L18" s="1091"/>
      <c r="M18" s="692"/>
      <c r="N18" s="1221" t="s">
        <v>3275</v>
      </c>
      <c r="O18" s="543" t="s">
        <v>86</v>
      </c>
      <c r="P18" s="1218"/>
      <c r="Q18" s="1219">
        <v>45875</v>
      </c>
      <c r="R18" s="1222" t="s">
        <v>3453</v>
      </c>
      <c r="S18" s="1080"/>
      <c r="T18" s="548"/>
      <c r="U18" s="631"/>
      <c r="V18" s="545"/>
      <c r="W18" s="1220"/>
      <c r="X18" s="1220"/>
      <c r="Y18" s="546"/>
      <c r="Z18" s="206"/>
      <c r="AA18" s="1223"/>
      <c r="AB18" s="1223"/>
      <c r="AC18" s="1224"/>
      <c r="AD18" s="72"/>
    </row>
    <row r="19" spans="1:30" ht="22.35" customHeight="1">
      <c r="A19" s="602" t="s">
        <v>15</v>
      </c>
      <c r="B19" s="1089" t="s">
        <v>88</v>
      </c>
      <c r="C19" s="1338">
        <v>46202</v>
      </c>
      <c r="D19" s="661">
        <v>30</v>
      </c>
      <c r="E19" s="602">
        <v>101.5</v>
      </c>
      <c r="F19" s="1069">
        <v>3045</v>
      </c>
      <c r="G19" s="602">
        <v>75</v>
      </c>
      <c r="H19" s="602">
        <v>566.38</v>
      </c>
      <c r="I19" s="602">
        <v>328.82</v>
      </c>
      <c r="J19" s="1076">
        <v>2115.19</v>
      </c>
      <c r="K19" s="1090">
        <v>-34.61</v>
      </c>
      <c r="L19" s="1091"/>
      <c r="M19" s="692"/>
      <c r="N19" s="1092" t="s">
        <v>3678</v>
      </c>
      <c r="O19" s="607" t="s">
        <v>86</v>
      </c>
      <c r="P19" s="1093" t="s">
        <v>1115</v>
      </c>
      <c r="Q19" s="1094">
        <v>45985</v>
      </c>
      <c r="R19" s="1095" t="s">
        <v>3679</v>
      </c>
      <c r="S19" s="1096"/>
      <c r="T19" s="1097">
        <v>16479171848</v>
      </c>
      <c r="U19" s="648"/>
      <c r="V19" s="608">
        <v>2</v>
      </c>
      <c r="W19" s="674"/>
      <c r="X19" s="674">
        <v>0</v>
      </c>
      <c r="Y19" s="610">
        <v>0</v>
      </c>
      <c r="Z19" s="570"/>
      <c r="AA19" s="1098" t="e">
        <v>#N/A</v>
      </c>
      <c r="AB19" s="1098" t="e">
        <v>#N/A</v>
      </c>
      <c r="AC19" s="602" t="e">
        <v>#N/A</v>
      </c>
      <c r="AD19" s="525" t="e">
        <v>#N/A</v>
      </c>
    </row>
    <row r="20" spans="1:30" ht="22.35" customHeight="1">
      <c r="A20" s="602" t="s">
        <v>8</v>
      </c>
      <c r="B20" s="1089" t="s">
        <v>23</v>
      </c>
      <c r="C20" s="1338">
        <v>46202</v>
      </c>
      <c r="D20" s="661">
        <v>3</v>
      </c>
      <c r="E20" s="602">
        <v>432</v>
      </c>
      <c r="F20" s="1069" t="s">
        <v>3454</v>
      </c>
      <c r="G20" s="602">
        <v>90</v>
      </c>
      <c r="H20" s="602">
        <v>239.77</v>
      </c>
      <c r="I20" s="602">
        <v>283.25</v>
      </c>
      <c r="J20" s="1076">
        <v>772.98</v>
      </c>
      <c r="K20" s="1090"/>
      <c r="L20" s="1091"/>
      <c r="M20" s="692"/>
      <c r="N20" s="1221" t="s">
        <v>3276</v>
      </c>
      <c r="O20" s="543" t="s">
        <v>86</v>
      </c>
      <c r="P20" s="1218"/>
      <c r="Q20" s="1219">
        <v>45875</v>
      </c>
      <c r="R20" s="1222" t="s">
        <v>3455</v>
      </c>
      <c r="S20" s="1080"/>
      <c r="T20" s="548"/>
      <c r="U20" s="631"/>
      <c r="V20" s="545"/>
      <c r="W20" s="1220"/>
      <c r="X20" s="1220"/>
      <c r="Y20" s="546"/>
      <c r="Z20" s="206"/>
      <c r="AA20" s="1223"/>
      <c r="AB20" s="1223"/>
      <c r="AC20" s="1224"/>
      <c r="AD20" s="72"/>
    </row>
    <row r="21" spans="1:30" ht="22.35" customHeight="1">
      <c r="A21" s="602" t="s">
        <v>8</v>
      </c>
      <c r="B21" s="1089" t="s">
        <v>88</v>
      </c>
      <c r="C21" s="1338">
        <v>46191</v>
      </c>
      <c r="D21" s="661">
        <v>6</v>
      </c>
      <c r="E21" s="602">
        <v>429</v>
      </c>
      <c r="F21" s="1069">
        <v>2574</v>
      </c>
      <c r="G21" s="602">
        <v>90</v>
      </c>
      <c r="H21" s="602">
        <v>478.77</v>
      </c>
      <c r="I21" s="602">
        <v>491.05</v>
      </c>
      <c r="J21" s="1076">
        <v>1604.18</v>
      </c>
      <c r="K21" s="1090"/>
      <c r="L21" s="1091"/>
      <c r="M21" s="692"/>
      <c r="N21" s="1092" t="s">
        <v>3729</v>
      </c>
      <c r="O21" s="607" t="s">
        <v>86</v>
      </c>
      <c r="P21" s="1093" t="s">
        <v>1113</v>
      </c>
      <c r="Q21" s="1094">
        <v>46037</v>
      </c>
      <c r="R21" s="1095" t="s">
        <v>3730</v>
      </c>
      <c r="S21" s="1096"/>
      <c r="T21" s="1097">
        <v>17038621087</v>
      </c>
      <c r="U21" s="648"/>
      <c r="V21" s="608">
        <v>1</v>
      </c>
      <c r="W21" s="674"/>
      <c r="X21" s="674">
        <v>0</v>
      </c>
      <c r="Y21" s="610">
        <v>0</v>
      </c>
      <c r="Z21" s="570"/>
      <c r="AA21" s="1098" t="e">
        <v>#N/A</v>
      </c>
      <c r="AB21" s="1098" t="e">
        <v>#N/A</v>
      </c>
      <c r="AC21" s="602" t="e">
        <v>#N/A</v>
      </c>
      <c r="AD21" s="525" t="e">
        <v>#N/A</v>
      </c>
    </row>
    <row r="22" spans="1:30" ht="22.35" customHeight="1">
      <c r="A22" s="442" t="s">
        <v>10</v>
      </c>
      <c r="B22" s="563" t="s">
        <v>88</v>
      </c>
      <c r="C22" s="1339">
        <v>46188</v>
      </c>
      <c r="D22" s="661">
        <v>4</v>
      </c>
      <c r="E22" s="442">
        <v>327.5</v>
      </c>
      <c r="F22" s="508">
        <v>1310</v>
      </c>
      <c r="G22" s="442">
        <v>70</v>
      </c>
      <c r="H22" s="442">
        <v>235.8</v>
      </c>
      <c r="I22" s="442">
        <v>270.83999999999997</v>
      </c>
      <c r="J22" s="827">
        <v>803.36</v>
      </c>
      <c r="K22" s="1071">
        <v>0</v>
      </c>
      <c r="L22" s="1072"/>
      <c r="M22" s="692"/>
      <c r="N22" s="676" t="s">
        <v>3290</v>
      </c>
      <c r="O22" s="552" t="s">
        <v>86</v>
      </c>
      <c r="P22" s="683" t="s">
        <v>97</v>
      </c>
      <c r="Q22" s="660">
        <v>45878</v>
      </c>
      <c r="R22" s="1349" t="s">
        <v>3281</v>
      </c>
      <c r="S22" s="691">
        <v>240134622</v>
      </c>
      <c r="T22" s="562" t="s">
        <v>3283</v>
      </c>
      <c r="U22" s="649" t="s">
        <v>112</v>
      </c>
      <c r="V22" s="558">
        <v>2</v>
      </c>
      <c r="W22" s="684">
        <v>2</v>
      </c>
      <c r="X22" s="558">
        <v>0</v>
      </c>
      <c r="Y22" s="559">
        <v>0</v>
      </c>
      <c r="Z22" s="561">
        <v>1166789474</v>
      </c>
      <c r="AA22" s="679"/>
      <c r="AB22" s="679"/>
      <c r="AC22" s="1351"/>
      <c r="AD22" s="685"/>
    </row>
    <row r="23" spans="1:30" ht="22.35" customHeight="1">
      <c r="A23" s="310" t="s">
        <v>15</v>
      </c>
      <c r="B23" s="323" t="s">
        <v>3733</v>
      </c>
      <c r="C23" s="1337">
        <v>46186</v>
      </c>
      <c r="D23" s="324">
        <v>6</v>
      </c>
      <c r="E23" s="310">
        <v>100</v>
      </c>
      <c r="F23" s="392">
        <v>600</v>
      </c>
      <c r="G23" s="310"/>
      <c r="H23" s="310"/>
      <c r="I23" s="310"/>
      <c r="J23" s="325">
        <v>600</v>
      </c>
      <c r="K23" s="326"/>
      <c r="L23" s="319"/>
      <c r="M23" s="320"/>
      <c r="N23" s="613" t="s">
        <v>3742</v>
      </c>
      <c r="O23" s="617" t="s">
        <v>86</v>
      </c>
      <c r="P23" s="686"/>
      <c r="Q23" s="668">
        <v>46042</v>
      </c>
      <c r="R23" s="321" t="s">
        <v>3636</v>
      </c>
      <c r="S23" s="689"/>
      <c r="T23" s="626"/>
      <c r="U23" s="658"/>
      <c r="V23" s="622"/>
      <c r="W23" s="687"/>
      <c r="X23" s="622"/>
      <c r="Y23" s="623"/>
      <c r="Z23" s="625"/>
      <c r="AA23" s="540"/>
      <c r="AB23" s="540"/>
      <c r="AC23" s="310"/>
      <c r="AD23" s="688"/>
    </row>
    <row r="24" spans="1:30" ht="22.35" customHeight="1">
      <c r="A24" s="310" t="s">
        <v>8</v>
      </c>
      <c r="B24" s="323" t="s">
        <v>88</v>
      </c>
      <c r="C24" s="1337">
        <v>46184</v>
      </c>
      <c r="D24" s="324">
        <v>3</v>
      </c>
      <c r="E24" s="310">
        <v>490</v>
      </c>
      <c r="F24" s="392">
        <v>1470</v>
      </c>
      <c r="G24" s="310">
        <v>90</v>
      </c>
      <c r="H24" s="310">
        <v>273.42</v>
      </c>
      <c r="I24" s="310">
        <v>311.32</v>
      </c>
      <c r="J24" s="325">
        <v>885.26</v>
      </c>
      <c r="K24" s="326"/>
      <c r="L24" s="319"/>
      <c r="M24" s="320"/>
      <c r="N24" s="577" t="s">
        <v>3713</v>
      </c>
      <c r="O24" s="617" t="s">
        <v>86</v>
      </c>
      <c r="P24" s="686" t="s">
        <v>1113</v>
      </c>
      <c r="Q24" s="668">
        <v>46027</v>
      </c>
      <c r="R24" s="321" t="s">
        <v>3714</v>
      </c>
      <c r="S24" s="689"/>
      <c r="T24" s="697">
        <v>12088410768</v>
      </c>
      <c r="U24" s="658"/>
      <c r="V24" s="622">
        <v>4</v>
      </c>
      <c r="W24" s="687"/>
      <c r="X24" s="622">
        <v>0</v>
      </c>
      <c r="Y24" s="623">
        <v>0</v>
      </c>
      <c r="Z24" s="625"/>
      <c r="AA24" s="540" t="e">
        <v>#N/A</v>
      </c>
      <c r="AB24" s="540" t="e">
        <v>#N/A</v>
      </c>
      <c r="AC24" s="310" t="e">
        <v>#N/A</v>
      </c>
      <c r="AD24" s="688" t="e">
        <v>#N/A</v>
      </c>
    </row>
    <row r="25" spans="1:30" ht="22.35" customHeight="1">
      <c r="A25" s="310" t="s">
        <v>10</v>
      </c>
      <c r="B25" s="323" t="s">
        <v>88</v>
      </c>
      <c r="C25" s="1337">
        <v>46179</v>
      </c>
      <c r="D25" s="324">
        <v>6</v>
      </c>
      <c r="E25" s="310">
        <v>305.37</v>
      </c>
      <c r="F25" s="392">
        <v>1832.2</v>
      </c>
      <c r="G25" s="310">
        <v>70</v>
      </c>
      <c r="H25" s="310">
        <v>340.79</v>
      </c>
      <c r="I25" s="310">
        <v>354.28</v>
      </c>
      <c r="J25" s="325">
        <v>1137.1300000000001</v>
      </c>
      <c r="K25" s="326"/>
      <c r="L25" s="319"/>
      <c r="M25" s="320"/>
      <c r="N25" s="577" t="s">
        <v>4002</v>
      </c>
      <c r="O25" s="617" t="s">
        <v>86</v>
      </c>
      <c r="P25" s="686" t="s">
        <v>1114</v>
      </c>
      <c r="Q25" s="668">
        <v>46077</v>
      </c>
      <c r="R25" s="321" t="s">
        <v>4003</v>
      </c>
      <c r="S25" s="689"/>
      <c r="T25" s="697">
        <v>19175386152</v>
      </c>
      <c r="U25" s="658"/>
      <c r="V25" s="622">
        <v>2</v>
      </c>
      <c r="W25" s="687"/>
      <c r="X25" s="622">
        <v>0</v>
      </c>
      <c r="Y25" s="623">
        <v>0</v>
      </c>
      <c r="Z25" s="625"/>
      <c r="AA25" s="540" t="e">
        <v>#N/A</v>
      </c>
      <c r="AB25" s="540" t="e">
        <v>#N/A</v>
      </c>
      <c r="AC25" s="310" t="e">
        <v>#N/A</v>
      </c>
      <c r="AD25" s="688" t="e">
        <v>#N/A</v>
      </c>
    </row>
    <row r="26" spans="1:30" ht="22.35" customHeight="1">
      <c r="A26" s="310" t="s">
        <v>8</v>
      </c>
      <c r="B26" s="323" t="s">
        <v>23</v>
      </c>
      <c r="C26" s="1337">
        <v>46178</v>
      </c>
      <c r="D26" s="324">
        <v>5</v>
      </c>
      <c r="E26" s="310">
        <v>412</v>
      </c>
      <c r="F26" s="392" t="s">
        <v>3456</v>
      </c>
      <c r="G26" s="310">
        <v>90</v>
      </c>
      <c r="H26" s="310">
        <v>381.22</v>
      </c>
      <c r="I26" s="310">
        <v>407.76</v>
      </c>
      <c r="J26" s="325">
        <v>1271.02</v>
      </c>
      <c r="K26" s="326"/>
      <c r="L26" s="319"/>
      <c r="M26" s="320"/>
      <c r="N26" s="576" t="s">
        <v>3234</v>
      </c>
      <c r="O26" s="552" t="s">
        <v>86</v>
      </c>
      <c r="P26" s="683"/>
      <c r="Q26" s="660">
        <v>45865</v>
      </c>
      <c r="R26" s="330" t="s">
        <v>3457</v>
      </c>
      <c r="S26" s="691"/>
      <c r="T26" s="562"/>
      <c r="U26" s="649"/>
      <c r="V26" s="558"/>
      <c r="W26" s="684"/>
      <c r="X26" s="558"/>
      <c r="Y26" s="559"/>
      <c r="Z26" s="561"/>
      <c r="AA26" s="328"/>
      <c r="AB26" s="328"/>
      <c r="AC26" s="394"/>
      <c r="AD26" s="685"/>
    </row>
    <row r="27" spans="1:30" ht="22.35" customHeight="1">
      <c r="A27" s="310" t="s">
        <v>8</v>
      </c>
      <c r="B27" s="323" t="s">
        <v>88</v>
      </c>
      <c r="C27" s="1337">
        <v>46175</v>
      </c>
      <c r="D27" s="324">
        <v>3</v>
      </c>
      <c r="E27" s="310">
        <v>444</v>
      </c>
      <c r="F27" s="392">
        <v>1332</v>
      </c>
      <c r="G27" s="310">
        <v>90</v>
      </c>
      <c r="H27" s="310">
        <v>247.75</v>
      </c>
      <c r="I27" s="310">
        <v>288.85000000000002</v>
      </c>
      <c r="J27" s="325">
        <v>795.4</v>
      </c>
      <c r="K27" s="326"/>
      <c r="L27" s="319"/>
      <c r="M27" s="320"/>
      <c r="N27" s="577" t="s">
        <v>3938</v>
      </c>
      <c r="O27" s="617" t="s">
        <v>86</v>
      </c>
      <c r="P27" s="686" t="s">
        <v>1113</v>
      </c>
      <c r="Q27" s="668">
        <v>46055</v>
      </c>
      <c r="R27" s="321" t="s">
        <v>3940</v>
      </c>
      <c r="S27" s="689"/>
      <c r="T27" s="697">
        <v>17039698499</v>
      </c>
      <c r="U27" s="658"/>
      <c r="V27" s="622">
        <v>3</v>
      </c>
      <c r="W27" s="687"/>
      <c r="X27" s="622">
        <v>0</v>
      </c>
      <c r="Y27" s="623">
        <v>0</v>
      </c>
      <c r="Z27" s="625"/>
      <c r="AA27" s="540" t="e">
        <v>#N/A</v>
      </c>
      <c r="AB27" s="540" t="e">
        <v>#N/A</v>
      </c>
      <c r="AC27" s="310" t="e">
        <v>#N/A</v>
      </c>
      <c r="AD27" s="688" t="e">
        <v>#N/A</v>
      </c>
    </row>
    <row r="28" spans="1:30" ht="22.35" customHeight="1">
      <c r="A28" s="310" t="s">
        <v>15</v>
      </c>
      <c r="B28" s="323" t="s">
        <v>3733</v>
      </c>
      <c r="C28" s="1337">
        <v>46174</v>
      </c>
      <c r="D28" s="324">
        <v>6</v>
      </c>
      <c r="E28" s="310">
        <v>100</v>
      </c>
      <c r="F28" s="392">
        <v>600</v>
      </c>
      <c r="G28" s="310">
        <v>0</v>
      </c>
      <c r="H28" s="310">
        <v>0</v>
      </c>
      <c r="I28" s="310">
        <v>0</v>
      </c>
      <c r="J28" s="325">
        <v>600</v>
      </c>
      <c r="K28" s="326">
        <v>0</v>
      </c>
      <c r="L28" s="319"/>
      <c r="M28" s="320"/>
      <c r="N28" s="613" t="s">
        <v>3740</v>
      </c>
      <c r="O28" s="617" t="s">
        <v>86</v>
      </c>
      <c r="P28" s="686"/>
      <c r="Q28" s="668">
        <v>46043</v>
      </c>
      <c r="R28" s="321" t="s">
        <v>3741</v>
      </c>
      <c r="S28" s="689"/>
      <c r="T28" s="626"/>
      <c r="U28" s="658"/>
      <c r="V28" s="622"/>
      <c r="W28" s="687"/>
      <c r="X28" s="622"/>
      <c r="Y28" s="623"/>
      <c r="Z28" s="625"/>
      <c r="AA28" s="540"/>
      <c r="AB28" s="540"/>
      <c r="AC28" s="310"/>
      <c r="AD28" s="688"/>
    </row>
    <row r="29" spans="1:30" ht="22.35" customHeight="1">
      <c r="A29" s="310" t="s">
        <v>8</v>
      </c>
      <c r="B29" s="323" t="s">
        <v>88</v>
      </c>
      <c r="C29" s="1337">
        <v>46170</v>
      </c>
      <c r="D29" s="324">
        <v>4</v>
      </c>
      <c r="E29" s="310">
        <v>418.5</v>
      </c>
      <c r="F29" s="392">
        <v>1674</v>
      </c>
      <c r="G29" s="310">
        <v>90</v>
      </c>
      <c r="H29" s="310">
        <v>311.36</v>
      </c>
      <c r="I29" s="310">
        <v>344.53</v>
      </c>
      <c r="J29" s="325">
        <v>1018.11</v>
      </c>
      <c r="K29" s="326"/>
      <c r="L29" s="319"/>
      <c r="M29" s="320"/>
      <c r="N29" s="577" t="s">
        <v>3914</v>
      </c>
      <c r="O29" s="617" t="s">
        <v>86</v>
      </c>
      <c r="P29" s="686" t="s">
        <v>1113</v>
      </c>
      <c r="Q29" s="668">
        <v>46048</v>
      </c>
      <c r="R29" s="321" t="s">
        <v>3915</v>
      </c>
      <c r="S29" s="689"/>
      <c r="T29" s="697">
        <v>447971963559</v>
      </c>
      <c r="U29" s="658"/>
      <c r="V29" s="622">
        <v>4</v>
      </c>
      <c r="W29" s="687"/>
      <c r="X29" s="622">
        <v>0</v>
      </c>
      <c r="Y29" s="623">
        <v>0</v>
      </c>
      <c r="Z29" s="625"/>
      <c r="AA29" s="540" t="e">
        <v>#N/A</v>
      </c>
      <c r="AB29" s="540" t="e">
        <v>#N/A</v>
      </c>
      <c r="AC29" s="310" t="e">
        <v>#N/A</v>
      </c>
      <c r="AD29" s="688" t="e">
        <v>#N/A</v>
      </c>
    </row>
    <row r="30" spans="1:30" ht="22.35" customHeight="1">
      <c r="A30" s="310" t="s">
        <v>10</v>
      </c>
      <c r="B30" s="323" t="s">
        <v>88</v>
      </c>
      <c r="C30" s="1337">
        <v>46169</v>
      </c>
      <c r="D30" s="324">
        <v>5</v>
      </c>
      <c r="E30" s="310">
        <v>311</v>
      </c>
      <c r="F30" s="392">
        <v>1555</v>
      </c>
      <c r="G30" s="310">
        <v>70</v>
      </c>
      <c r="H30" s="310">
        <v>289.23</v>
      </c>
      <c r="I30" s="310">
        <v>309.14999999999998</v>
      </c>
      <c r="J30" s="325">
        <v>956.62</v>
      </c>
      <c r="K30" s="326"/>
      <c r="L30" s="319"/>
      <c r="M30" s="320"/>
      <c r="N30" s="577" t="s">
        <v>3939</v>
      </c>
      <c r="O30" s="617" t="s">
        <v>86</v>
      </c>
      <c r="P30" s="686" t="s">
        <v>1114</v>
      </c>
      <c r="Q30" s="668">
        <v>46055</v>
      </c>
      <c r="R30" s="321" t="s">
        <v>3941</v>
      </c>
      <c r="S30" s="689"/>
      <c r="T30" s="697">
        <v>972523738349</v>
      </c>
      <c r="U30" s="658"/>
      <c r="V30" s="622">
        <v>2</v>
      </c>
      <c r="W30" s="687"/>
      <c r="X30" s="622">
        <v>0</v>
      </c>
      <c r="Y30" s="623">
        <v>0</v>
      </c>
      <c r="Z30" s="625"/>
      <c r="AA30" s="540" t="e">
        <v>#N/A</v>
      </c>
      <c r="AB30" s="540" t="e">
        <v>#N/A</v>
      </c>
      <c r="AC30" s="310" t="e">
        <v>#N/A</v>
      </c>
      <c r="AD30" s="688" t="e">
        <v>#N/A</v>
      </c>
    </row>
    <row r="31" spans="1:30" ht="22.35" customHeight="1">
      <c r="A31" s="310" t="s">
        <v>8</v>
      </c>
      <c r="B31" s="323" t="s">
        <v>23</v>
      </c>
      <c r="C31" s="1337">
        <v>46166</v>
      </c>
      <c r="D31" s="324">
        <v>4</v>
      </c>
      <c r="E31" s="310">
        <v>1</v>
      </c>
      <c r="F31" s="392">
        <v>1695.6</v>
      </c>
      <c r="G31" s="310">
        <v>90</v>
      </c>
      <c r="H31" s="310">
        <v>314.66000000000003</v>
      </c>
      <c r="I31" s="310">
        <v>348.19</v>
      </c>
      <c r="J31" s="325">
        <v>1032.75</v>
      </c>
      <c r="K31" s="326"/>
      <c r="L31" s="319"/>
      <c r="M31" s="320"/>
      <c r="N31" s="577" t="s">
        <v>3722</v>
      </c>
      <c r="O31" s="617" t="s">
        <v>86</v>
      </c>
      <c r="P31" s="686" t="s">
        <v>1113</v>
      </c>
      <c r="Q31" s="668">
        <v>46030</v>
      </c>
      <c r="R31" s="321" t="s">
        <v>3723</v>
      </c>
      <c r="S31" s="689"/>
      <c r="T31" s="697">
        <v>17136286682</v>
      </c>
      <c r="U31" s="658"/>
      <c r="V31" s="622">
        <v>3</v>
      </c>
      <c r="W31" s="687"/>
      <c r="X31" s="622">
        <v>0</v>
      </c>
      <c r="Y31" s="623"/>
      <c r="Z31" s="625"/>
      <c r="AA31" s="540" t="e">
        <v>#N/A</v>
      </c>
      <c r="AB31" s="540" t="e">
        <v>#N/A</v>
      </c>
      <c r="AC31" s="310" t="e">
        <v>#N/A</v>
      </c>
      <c r="AD31" s="688" t="e">
        <v>#N/A</v>
      </c>
    </row>
    <row r="32" spans="1:30" ht="22.35" customHeight="1">
      <c r="A32" s="310" t="s">
        <v>8</v>
      </c>
      <c r="B32" s="323" t="s">
        <v>23</v>
      </c>
      <c r="C32" s="1337">
        <v>46160</v>
      </c>
      <c r="D32" s="324">
        <v>3</v>
      </c>
      <c r="E32" s="310">
        <v>386.4</v>
      </c>
      <c r="F32" s="392">
        <v>1159.2</v>
      </c>
      <c r="G32" s="310">
        <v>90</v>
      </c>
      <c r="H32" s="310">
        <v>215.3</v>
      </c>
      <c r="I32" s="310">
        <v>260.77999999999997</v>
      </c>
      <c r="J32" s="325">
        <v>683.12</v>
      </c>
      <c r="K32" s="326"/>
      <c r="L32" s="319"/>
      <c r="M32" s="320"/>
      <c r="N32" s="577" t="s">
        <v>3765</v>
      </c>
      <c r="O32" s="617" t="s">
        <v>86</v>
      </c>
      <c r="P32" s="686" t="s">
        <v>1113</v>
      </c>
      <c r="Q32" s="668">
        <v>46044</v>
      </c>
      <c r="R32" s="321" t="s">
        <v>3766</v>
      </c>
      <c r="S32" s="689"/>
      <c r="T32" s="697">
        <v>17194409173</v>
      </c>
      <c r="U32" s="658"/>
      <c r="V32" s="622">
        <v>3</v>
      </c>
      <c r="W32" s="687"/>
      <c r="X32" s="622">
        <v>0</v>
      </c>
      <c r="Y32" s="623"/>
      <c r="Z32" s="625"/>
      <c r="AA32" s="540" t="e">
        <v>#N/A</v>
      </c>
      <c r="AB32" s="540" t="e">
        <v>#N/A</v>
      </c>
      <c r="AC32" s="310" t="e">
        <v>#N/A</v>
      </c>
      <c r="AD32" s="688" t="e">
        <v>#N/A</v>
      </c>
    </row>
    <row r="33" spans="1:30" ht="22.35" customHeight="1">
      <c r="A33" s="310" t="s">
        <v>10</v>
      </c>
      <c r="B33" s="323" t="s">
        <v>23</v>
      </c>
      <c r="C33" s="1337">
        <v>46157</v>
      </c>
      <c r="D33" s="324">
        <v>3</v>
      </c>
      <c r="E33" s="310">
        <v>272.63</v>
      </c>
      <c r="F33" s="392">
        <v>817.9</v>
      </c>
      <c r="G33" s="310">
        <v>70</v>
      </c>
      <c r="H33" s="310">
        <v>151.83000000000001</v>
      </c>
      <c r="I33" s="310">
        <v>189.21</v>
      </c>
      <c r="J33" s="325">
        <v>476.86</v>
      </c>
      <c r="K33" s="326"/>
      <c r="L33" s="319"/>
      <c r="M33" s="320"/>
      <c r="N33" s="577" t="s">
        <v>3930</v>
      </c>
      <c r="O33" s="617" t="s">
        <v>86</v>
      </c>
      <c r="P33" s="686" t="s">
        <v>1114</v>
      </c>
      <c r="Q33" s="668">
        <v>46054</v>
      </c>
      <c r="R33" s="321" t="s">
        <v>3931</v>
      </c>
      <c r="S33" s="689"/>
      <c r="T33" s="697">
        <v>6799184896</v>
      </c>
      <c r="U33" s="658"/>
      <c r="V33" s="622">
        <v>2</v>
      </c>
      <c r="W33" s="687"/>
      <c r="X33" s="622">
        <v>0</v>
      </c>
      <c r="Y33" s="623"/>
      <c r="Z33" s="625"/>
      <c r="AA33" s="540" t="e">
        <v>#N/A</v>
      </c>
      <c r="AB33" s="540" t="e">
        <v>#N/A</v>
      </c>
      <c r="AC33" s="310" t="e">
        <v>#N/A</v>
      </c>
      <c r="AD33" s="688" t="e">
        <v>#N/A</v>
      </c>
    </row>
    <row r="34" spans="1:30" ht="22.35" customHeight="1">
      <c r="A34" s="310" t="s">
        <v>8</v>
      </c>
      <c r="B34" s="323" t="s">
        <v>88</v>
      </c>
      <c r="C34" s="1337">
        <v>46153</v>
      </c>
      <c r="D34" s="324">
        <v>6</v>
      </c>
      <c r="E34" s="310">
        <v>406.5</v>
      </c>
      <c r="F34" s="392">
        <v>2439</v>
      </c>
      <c r="G34" s="310">
        <v>90</v>
      </c>
      <c r="H34" s="310">
        <v>453.66</v>
      </c>
      <c r="I34" s="310">
        <v>469.07</v>
      </c>
      <c r="J34" s="325">
        <v>1516.27</v>
      </c>
      <c r="K34" s="326"/>
      <c r="L34" s="319"/>
      <c r="M34" s="320"/>
      <c r="N34" s="577" t="s">
        <v>3892</v>
      </c>
      <c r="O34" s="617" t="s">
        <v>86</v>
      </c>
      <c r="P34" s="686" t="s">
        <v>1113</v>
      </c>
      <c r="Q34" s="668">
        <v>46046</v>
      </c>
      <c r="R34" s="321" t="s">
        <v>3893</v>
      </c>
      <c r="S34" s="689"/>
      <c r="T34" s="697">
        <v>15147694524</v>
      </c>
      <c r="U34" s="658"/>
      <c r="V34" s="622">
        <v>3</v>
      </c>
      <c r="W34" s="687"/>
      <c r="X34" s="622">
        <v>0</v>
      </c>
      <c r="Y34" s="623">
        <v>0</v>
      </c>
      <c r="Z34" s="625"/>
      <c r="AA34" s="540" t="e">
        <v>#N/A</v>
      </c>
      <c r="AB34" s="540" t="e">
        <v>#N/A</v>
      </c>
      <c r="AC34" s="310" t="e">
        <v>#N/A</v>
      </c>
      <c r="AD34" s="688" t="e">
        <v>#N/A</v>
      </c>
    </row>
    <row r="35" spans="1:30" ht="22.35" customHeight="1">
      <c r="A35" s="310" t="s">
        <v>10</v>
      </c>
      <c r="B35" s="323" t="s">
        <v>88</v>
      </c>
      <c r="C35" s="1337">
        <v>46150</v>
      </c>
      <c r="D35" s="324">
        <v>6</v>
      </c>
      <c r="E35" s="310">
        <v>266.83</v>
      </c>
      <c r="F35" s="392">
        <v>1601</v>
      </c>
      <c r="G35" s="310">
        <v>70</v>
      </c>
      <c r="H35" s="310">
        <v>297.79000000000002</v>
      </c>
      <c r="I35" s="310">
        <v>316.64</v>
      </c>
      <c r="J35" s="325">
        <v>986.57</v>
      </c>
      <c r="K35" s="326"/>
      <c r="L35" s="319"/>
      <c r="M35" s="320"/>
      <c r="N35" s="577" t="s">
        <v>3936</v>
      </c>
      <c r="O35" s="617" t="s">
        <v>86</v>
      </c>
      <c r="P35" s="686" t="s">
        <v>1114</v>
      </c>
      <c r="Q35" s="668">
        <v>46054</v>
      </c>
      <c r="R35" s="321" t="s">
        <v>3937</v>
      </c>
      <c r="S35" s="689"/>
      <c r="T35" s="697">
        <v>15145884401</v>
      </c>
      <c r="U35" s="658"/>
      <c r="V35" s="622">
        <v>2</v>
      </c>
      <c r="W35" s="687"/>
      <c r="X35" s="622">
        <v>0</v>
      </c>
      <c r="Y35" s="623">
        <v>0</v>
      </c>
      <c r="Z35" s="625"/>
      <c r="AA35" s="540" t="e">
        <v>#N/A</v>
      </c>
      <c r="AB35" s="540" t="e">
        <v>#N/A</v>
      </c>
      <c r="AC35" s="310" t="e">
        <v>#N/A</v>
      </c>
      <c r="AD35" s="688" t="e">
        <v>#N/A</v>
      </c>
    </row>
    <row r="36" spans="1:30" ht="22.35" customHeight="1">
      <c r="A36" s="310" t="s">
        <v>8</v>
      </c>
      <c r="B36" s="323" t="s">
        <v>23</v>
      </c>
      <c r="C36" s="1337">
        <v>46144</v>
      </c>
      <c r="D36" s="324">
        <v>4</v>
      </c>
      <c r="E36" s="310">
        <v>466.5</v>
      </c>
      <c r="F36" s="392" t="s">
        <v>3458</v>
      </c>
      <c r="G36" s="310">
        <v>90</v>
      </c>
      <c r="H36" s="310">
        <v>347.38</v>
      </c>
      <c r="I36" s="310">
        <v>375.72</v>
      </c>
      <c r="J36" s="325">
        <v>1142.9000000000001</v>
      </c>
      <c r="K36" s="326"/>
      <c r="L36" s="319"/>
      <c r="M36" s="320"/>
      <c r="N36" s="576" t="s">
        <v>3167</v>
      </c>
      <c r="O36" s="552" t="s">
        <v>86</v>
      </c>
      <c r="P36" s="683"/>
      <c r="Q36" s="660">
        <v>45853</v>
      </c>
      <c r="R36" s="330" t="s">
        <v>3459</v>
      </c>
      <c r="S36" s="691"/>
      <c r="T36" s="562"/>
      <c r="U36" s="649"/>
      <c r="V36" s="558"/>
      <c r="W36" s="684"/>
      <c r="X36" s="558"/>
      <c r="Y36" s="559"/>
      <c r="Z36" s="561"/>
      <c r="AA36" s="328"/>
      <c r="AB36" s="328"/>
      <c r="AC36" s="394"/>
      <c r="AD36" s="685"/>
    </row>
    <row r="37" spans="1:30" ht="22.35" customHeight="1">
      <c r="A37" s="310" t="s">
        <v>10</v>
      </c>
      <c r="B37" s="323" t="s">
        <v>88</v>
      </c>
      <c r="C37" s="1337">
        <v>46142</v>
      </c>
      <c r="D37" s="324">
        <v>3</v>
      </c>
      <c r="E37" s="310">
        <v>305.94</v>
      </c>
      <c r="F37" s="392">
        <v>917.82</v>
      </c>
      <c r="G37" s="310">
        <v>70</v>
      </c>
      <c r="H37" s="310">
        <v>170.71</v>
      </c>
      <c r="I37" s="310">
        <v>205.42</v>
      </c>
      <c r="J37" s="325">
        <v>541.69000000000005</v>
      </c>
      <c r="K37" s="326"/>
      <c r="L37" s="319"/>
      <c r="M37" s="320"/>
      <c r="N37" s="577" t="s">
        <v>3983</v>
      </c>
      <c r="O37" s="617" t="s">
        <v>86</v>
      </c>
      <c r="P37" s="686" t="s">
        <v>1114</v>
      </c>
      <c r="Q37" s="668">
        <v>46071</v>
      </c>
      <c r="R37" s="321" t="s">
        <v>3984</v>
      </c>
      <c r="S37" s="689"/>
      <c r="T37" s="697">
        <v>491778115461</v>
      </c>
      <c r="U37" s="658"/>
      <c r="V37" s="622">
        <v>4</v>
      </c>
      <c r="W37" s="687"/>
      <c r="X37" s="622">
        <v>0</v>
      </c>
      <c r="Y37" s="623">
        <v>0</v>
      </c>
      <c r="Z37" s="625"/>
      <c r="AA37" s="540" t="e">
        <v>#N/A</v>
      </c>
      <c r="AB37" s="540" t="e">
        <v>#N/A</v>
      </c>
      <c r="AC37" s="310" t="e">
        <v>#N/A</v>
      </c>
      <c r="AD37" s="688" t="e">
        <v>#N/A</v>
      </c>
    </row>
    <row r="38" spans="1:30" ht="22.35" customHeight="1">
      <c r="A38" s="310" t="s">
        <v>8</v>
      </c>
      <c r="B38" s="323" t="s">
        <v>88</v>
      </c>
      <c r="C38" s="1337">
        <v>46141</v>
      </c>
      <c r="D38" s="324">
        <v>3</v>
      </c>
      <c r="E38" s="310">
        <v>395.49</v>
      </c>
      <c r="F38" s="392">
        <v>1186.48</v>
      </c>
      <c r="G38" s="310">
        <v>90</v>
      </c>
      <c r="H38" s="310">
        <v>220.68</v>
      </c>
      <c r="I38" s="310">
        <v>265.16000000000003</v>
      </c>
      <c r="J38" s="325">
        <v>700.64</v>
      </c>
      <c r="K38" s="326"/>
      <c r="L38" s="319"/>
      <c r="M38" s="320"/>
      <c r="N38" s="577" t="s">
        <v>3977</v>
      </c>
      <c r="O38" s="617" t="s">
        <v>86</v>
      </c>
      <c r="P38" s="686" t="s">
        <v>1113</v>
      </c>
      <c r="Q38" s="668">
        <v>46068</v>
      </c>
      <c r="R38" s="321" t="s">
        <v>3978</v>
      </c>
      <c r="S38" s="689"/>
      <c r="T38" s="697">
        <v>14068534519</v>
      </c>
      <c r="U38" s="658"/>
      <c r="V38" s="622">
        <v>3</v>
      </c>
      <c r="W38" s="687"/>
      <c r="X38" s="622">
        <v>0</v>
      </c>
      <c r="Y38" s="623">
        <v>0</v>
      </c>
      <c r="Z38" s="625"/>
      <c r="AA38" s="540" t="e">
        <v>#N/A</v>
      </c>
      <c r="AB38" s="540" t="e">
        <v>#N/A</v>
      </c>
      <c r="AC38" s="310" t="e">
        <v>#N/A</v>
      </c>
      <c r="AD38" s="688" t="e">
        <v>#N/A</v>
      </c>
    </row>
    <row r="39" spans="1:30" ht="22.35" customHeight="1">
      <c r="A39" s="310" t="s">
        <v>3764</v>
      </c>
      <c r="B39" s="323" t="s">
        <v>3733</v>
      </c>
      <c r="C39" s="1337">
        <v>46140</v>
      </c>
      <c r="D39" s="324">
        <v>5</v>
      </c>
      <c r="E39" s="310">
        <v>100</v>
      </c>
      <c r="F39" s="392">
        <v>600</v>
      </c>
      <c r="G39" s="310"/>
      <c r="H39" s="310"/>
      <c r="I39" s="310"/>
      <c r="J39" s="325">
        <v>600</v>
      </c>
      <c r="K39" s="326"/>
      <c r="L39" s="319"/>
      <c r="M39" s="320"/>
      <c r="N39" s="577" t="s">
        <v>3791</v>
      </c>
      <c r="O39" s="617" t="s">
        <v>86</v>
      </c>
      <c r="P39" s="686"/>
      <c r="Q39" s="668">
        <v>46044</v>
      </c>
      <c r="R39" s="321" t="s">
        <v>3790</v>
      </c>
      <c r="S39" s="689"/>
      <c r="T39" s="626"/>
      <c r="U39" s="658"/>
      <c r="V39" s="622"/>
      <c r="W39" s="687"/>
      <c r="X39" s="622"/>
      <c r="Y39" s="623"/>
      <c r="Z39" s="625"/>
      <c r="AA39" s="540"/>
      <c r="AB39" s="540"/>
      <c r="AC39" s="310"/>
      <c r="AD39" s="688"/>
    </row>
    <row r="40" spans="1:30" ht="22.35" customHeight="1">
      <c r="A40" s="310" t="s">
        <v>10</v>
      </c>
      <c r="B40" s="323" t="s">
        <v>88</v>
      </c>
      <c r="C40" s="1337">
        <v>46136</v>
      </c>
      <c r="D40" s="324">
        <v>5</v>
      </c>
      <c r="E40" s="310">
        <v>265.8</v>
      </c>
      <c r="F40" s="392">
        <v>1329</v>
      </c>
      <c r="G40" s="310">
        <v>70</v>
      </c>
      <c r="H40" s="310">
        <v>247.2</v>
      </c>
      <c r="I40" s="310">
        <v>272.36</v>
      </c>
      <c r="J40" s="325">
        <v>809.44</v>
      </c>
      <c r="K40" s="326"/>
      <c r="L40" s="319"/>
      <c r="M40" s="320"/>
      <c r="N40" s="577" t="s">
        <v>3964</v>
      </c>
      <c r="O40" s="617" t="s">
        <v>86</v>
      </c>
      <c r="P40" s="686" t="s">
        <v>1114</v>
      </c>
      <c r="Q40" s="668">
        <v>46062</v>
      </c>
      <c r="R40" s="321" t="s">
        <v>3966</v>
      </c>
      <c r="S40" s="689"/>
      <c r="T40" s="697">
        <v>41799463579</v>
      </c>
      <c r="U40" s="658"/>
      <c r="V40" s="622">
        <v>2</v>
      </c>
      <c r="W40" s="687"/>
      <c r="X40" s="622">
        <v>0</v>
      </c>
      <c r="Y40" s="623">
        <v>0</v>
      </c>
      <c r="Z40" s="625"/>
      <c r="AA40" s="540" t="e">
        <v>#N/A</v>
      </c>
      <c r="AB40" s="540" t="e">
        <v>#N/A</v>
      </c>
      <c r="AC40" s="310" t="e">
        <v>#N/A</v>
      </c>
      <c r="AD40" s="688" t="e">
        <v>#N/A</v>
      </c>
    </row>
    <row r="41" spans="1:30" ht="22.35" customHeight="1">
      <c r="A41" s="310" t="s">
        <v>8</v>
      </c>
      <c r="B41" s="323" t="s">
        <v>88</v>
      </c>
      <c r="C41" s="1337">
        <v>46134</v>
      </c>
      <c r="D41" s="324">
        <v>4</v>
      </c>
      <c r="E41" s="310">
        <v>385</v>
      </c>
      <c r="F41" s="392">
        <v>1540</v>
      </c>
      <c r="G41" s="310">
        <v>90</v>
      </c>
      <c r="H41" s="310">
        <v>286.44</v>
      </c>
      <c r="I41" s="310">
        <v>322.70999999999998</v>
      </c>
      <c r="J41" s="325">
        <v>930.85</v>
      </c>
      <c r="K41" s="326"/>
      <c r="L41" s="319"/>
      <c r="M41" s="320"/>
      <c r="N41" s="577" t="s">
        <v>3911</v>
      </c>
      <c r="O41" s="617" t="s">
        <v>86</v>
      </c>
      <c r="P41" s="686" t="s">
        <v>1113</v>
      </c>
      <c r="Q41" s="668">
        <v>46048</v>
      </c>
      <c r="R41" s="321" t="s">
        <v>3912</v>
      </c>
      <c r="S41" s="689"/>
      <c r="T41" s="697">
        <v>13092751071</v>
      </c>
      <c r="U41" s="658"/>
      <c r="V41" s="622">
        <v>2</v>
      </c>
      <c r="W41" s="687"/>
      <c r="X41" s="622">
        <v>0</v>
      </c>
      <c r="Y41" s="623">
        <v>0</v>
      </c>
      <c r="Z41" s="625"/>
      <c r="AA41" s="540" t="e">
        <v>#N/A</v>
      </c>
      <c r="AB41" s="540" t="e">
        <v>#N/A</v>
      </c>
      <c r="AC41" s="310" t="e">
        <v>#N/A</v>
      </c>
      <c r="AD41" s="688" t="e">
        <v>#N/A</v>
      </c>
    </row>
    <row r="42" spans="1:30" ht="22.35" customHeight="1">
      <c r="A42" s="310" t="s">
        <v>10</v>
      </c>
      <c r="B42" s="323" t="s">
        <v>88</v>
      </c>
      <c r="C42" s="1337">
        <v>46128</v>
      </c>
      <c r="D42" s="324">
        <v>5</v>
      </c>
      <c r="E42" s="310">
        <v>256.2</v>
      </c>
      <c r="F42" s="392">
        <v>1281</v>
      </c>
      <c r="G42" s="310">
        <v>70</v>
      </c>
      <c r="H42" s="310">
        <v>238.27</v>
      </c>
      <c r="I42" s="310">
        <v>264.55</v>
      </c>
      <c r="J42" s="325">
        <v>778.18</v>
      </c>
      <c r="K42" s="326"/>
      <c r="L42" s="319"/>
      <c r="M42" s="320"/>
      <c r="N42" s="577" t="s">
        <v>3965</v>
      </c>
      <c r="O42" s="617" t="s">
        <v>86</v>
      </c>
      <c r="P42" s="686" t="s">
        <v>1114</v>
      </c>
      <c r="Q42" s="668">
        <v>46063</v>
      </c>
      <c r="R42" s="321" t="s">
        <v>3967</v>
      </c>
      <c r="S42" s="689"/>
      <c r="T42" s="697">
        <v>17038355462</v>
      </c>
      <c r="U42" s="658"/>
      <c r="V42" s="622">
        <v>2</v>
      </c>
      <c r="W42" s="687"/>
      <c r="X42" s="622">
        <v>0</v>
      </c>
      <c r="Y42" s="623">
        <v>0</v>
      </c>
      <c r="Z42" s="625"/>
      <c r="AA42" s="540" t="e">
        <v>#N/A</v>
      </c>
      <c r="AB42" s="540" t="e">
        <v>#N/A</v>
      </c>
      <c r="AC42" s="310" t="e">
        <v>#N/A</v>
      </c>
      <c r="AD42" s="688" t="e">
        <v>#N/A</v>
      </c>
    </row>
    <row r="43" spans="1:30" ht="22.35" customHeight="1">
      <c r="A43" s="310" t="s">
        <v>8</v>
      </c>
      <c r="B43" s="310" t="s">
        <v>23</v>
      </c>
      <c r="C43" s="1337">
        <v>46128</v>
      </c>
      <c r="D43" s="324">
        <v>3</v>
      </c>
      <c r="E43" s="310">
        <v>362.1</v>
      </c>
      <c r="F43" s="508">
        <v>1086.3</v>
      </c>
      <c r="G43" s="310">
        <v>90</v>
      </c>
      <c r="H43" s="310">
        <v>201.22</v>
      </c>
      <c r="I43" s="310">
        <v>249.02</v>
      </c>
      <c r="J43" s="325">
        <v>636.05999999999995</v>
      </c>
      <c r="K43" s="326"/>
      <c r="L43" s="693"/>
      <c r="M43" s="696"/>
      <c r="N43" s="577" t="s">
        <v>3890</v>
      </c>
      <c r="O43" s="617" t="s">
        <v>86</v>
      </c>
      <c r="P43" s="686" t="s">
        <v>1113</v>
      </c>
      <c r="Q43" s="668">
        <v>46046</v>
      </c>
      <c r="R43" s="321" t="s">
        <v>3891</v>
      </c>
      <c r="S43" s="689"/>
      <c r="T43" s="697">
        <v>33650045913</v>
      </c>
      <c r="U43" s="658"/>
      <c r="V43" s="622">
        <v>2</v>
      </c>
      <c r="W43" s="687"/>
      <c r="X43" s="622">
        <v>0</v>
      </c>
      <c r="Y43" s="623"/>
      <c r="Z43" s="625"/>
      <c r="AA43" s="647" t="e">
        <v>#N/A</v>
      </c>
      <c r="AB43" s="540" t="e">
        <v>#N/A</v>
      </c>
      <c r="AC43" s="310" t="e">
        <v>#N/A</v>
      </c>
      <c r="AD43" s="688" t="e">
        <v>#N/A</v>
      </c>
    </row>
    <row r="44" spans="1:30" ht="22.35" customHeight="1">
      <c r="A44" s="310" t="s">
        <v>8</v>
      </c>
      <c r="B44" s="310" t="s">
        <v>88</v>
      </c>
      <c r="C44" s="1337">
        <v>46125</v>
      </c>
      <c r="D44" s="324">
        <v>3</v>
      </c>
      <c r="E44" s="310">
        <v>322</v>
      </c>
      <c r="F44" s="392">
        <v>966</v>
      </c>
      <c r="G44" s="310">
        <v>90</v>
      </c>
      <c r="H44" s="310">
        <v>179.68</v>
      </c>
      <c r="I44" s="310">
        <v>229.26</v>
      </c>
      <c r="J44" s="325">
        <v>557.05999999999995</v>
      </c>
      <c r="K44" s="326"/>
      <c r="L44" s="693"/>
      <c r="M44" s="696"/>
      <c r="N44" s="577" t="s">
        <v>3906</v>
      </c>
      <c r="O44" s="617" t="s">
        <v>86</v>
      </c>
      <c r="P44" s="686" t="s">
        <v>1113</v>
      </c>
      <c r="Q44" s="668">
        <v>46047</v>
      </c>
      <c r="R44" s="321" t="s">
        <v>3907</v>
      </c>
      <c r="S44" s="689"/>
      <c r="T44" s="697">
        <v>32477228310</v>
      </c>
      <c r="U44" s="658"/>
      <c r="V44" s="622">
        <v>2</v>
      </c>
      <c r="W44" s="687"/>
      <c r="X44" s="622">
        <v>0</v>
      </c>
      <c r="Y44" s="623">
        <v>0</v>
      </c>
      <c r="Z44" s="625"/>
      <c r="AA44" s="647" t="e">
        <v>#N/A</v>
      </c>
      <c r="AB44" s="540" t="e">
        <v>#N/A</v>
      </c>
      <c r="AC44" s="310" t="e">
        <v>#N/A</v>
      </c>
      <c r="AD44" s="688" t="e">
        <v>#N/A</v>
      </c>
    </row>
    <row r="45" spans="1:30" ht="22.35" customHeight="1">
      <c r="A45" s="310" t="s">
        <v>8</v>
      </c>
      <c r="B45" s="310" t="s">
        <v>23</v>
      </c>
      <c r="C45" s="1337">
        <v>46122</v>
      </c>
      <c r="D45" s="550">
        <v>3</v>
      </c>
      <c r="E45" s="310">
        <v>444</v>
      </c>
      <c r="F45" s="392">
        <v>1332</v>
      </c>
      <c r="G45" s="310">
        <v>90</v>
      </c>
      <c r="H45" s="310">
        <v>247.91</v>
      </c>
      <c r="I45" s="310">
        <v>288.82</v>
      </c>
      <c r="J45" s="325">
        <v>795.27</v>
      </c>
      <c r="K45" s="326"/>
      <c r="L45" s="693"/>
      <c r="M45" s="662"/>
      <c r="N45" s="577" t="s">
        <v>3711</v>
      </c>
      <c r="O45" s="617" t="s">
        <v>86</v>
      </c>
      <c r="P45" s="686" t="s">
        <v>1113</v>
      </c>
      <c r="Q45" s="668">
        <v>46025</v>
      </c>
      <c r="R45" s="321" t="s">
        <v>842</v>
      </c>
      <c r="S45" s="689"/>
      <c r="T45" s="697">
        <v>32472284334</v>
      </c>
      <c r="U45" s="658"/>
      <c r="V45" s="622">
        <v>5</v>
      </c>
      <c r="W45" s="687"/>
      <c r="X45" s="622">
        <v>0</v>
      </c>
      <c r="Y45" s="623"/>
      <c r="Z45" s="625"/>
      <c r="AA45" s="647" t="e">
        <v>#N/A</v>
      </c>
      <c r="AB45" s="540" t="e">
        <v>#N/A</v>
      </c>
      <c r="AC45" s="310" t="e">
        <v>#N/A</v>
      </c>
      <c r="AD45" s="688" t="e">
        <v>#N/A</v>
      </c>
    </row>
    <row r="46" spans="1:30" ht="22.35" customHeight="1">
      <c r="A46" s="310" t="s">
        <v>10</v>
      </c>
      <c r="B46" s="323" t="s">
        <v>88</v>
      </c>
      <c r="C46" s="1337">
        <v>46119</v>
      </c>
      <c r="D46" s="324">
        <v>3</v>
      </c>
      <c r="E46" s="310">
        <v>317</v>
      </c>
      <c r="F46" s="392">
        <v>951</v>
      </c>
      <c r="G46" s="310">
        <v>70</v>
      </c>
      <c r="H46" s="310">
        <v>176.89</v>
      </c>
      <c r="I46" s="310">
        <v>210.82</v>
      </c>
      <c r="J46" s="325">
        <v>563.29</v>
      </c>
      <c r="K46" s="326"/>
      <c r="L46" s="319"/>
      <c r="M46" s="692"/>
      <c r="N46" s="577" t="s">
        <v>3932</v>
      </c>
      <c r="O46" s="617" t="s">
        <v>86</v>
      </c>
      <c r="P46" s="686" t="s">
        <v>1114</v>
      </c>
      <c r="Q46" s="668">
        <v>46054</v>
      </c>
      <c r="R46" s="321" t="s">
        <v>3933</v>
      </c>
      <c r="S46" s="689"/>
      <c r="T46" s="690">
        <v>19492284779</v>
      </c>
      <c r="U46" s="658"/>
      <c r="V46" s="622">
        <v>2</v>
      </c>
      <c r="W46" s="687"/>
      <c r="X46" s="622">
        <v>0</v>
      </c>
      <c r="Y46" s="623">
        <v>0</v>
      </c>
      <c r="Z46" s="625"/>
      <c r="AA46" s="657" t="e">
        <v>#N/A</v>
      </c>
      <c r="AB46" s="540" t="e">
        <v>#N/A</v>
      </c>
      <c r="AC46" s="310" t="e">
        <v>#N/A</v>
      </c>
      <c r="AD46" s="688" t="e">
        <v>#N/A</v>
      </c>
    </row>
    <row r="47" spans="1:30" ht="22.35" customHeight="1">
      <c r="A47" s="310" t="s">
        <v>8</v>
      </c>
      <c r="B47" s="323" t="s">
        <v>23</v>
      </c>
      <c r="C47" s="1337">
        <v>46117</v>
      </c>
      <c r="D47" s="324">
        <v>5</v>
      </c>
      <c r="E47" s="310">
        <v>350.1</v>
      </c>
      <c r="F47" s="392">
        <v>1750.5</v>
      </c>
      <c r="G47" s="310">
        <v>90</v>
      </c>
      <c r="H47" s="310">
        <v>325.43</v>
      </c>
      <c r="I47" s="310">
        <v>357.01</v>
      </c>
      <c r="J47" s="325">
        <v>1068.06</v>
      </c>
      <c r="K47" s="326"/>
      <c r="L47" s="319"/>
      <c r="M47" s="320"/>
      <c r="N47" s="577" t="s">
        <v>3926</v>
      </c>
      <c r="O47" s="617" t="s">
        <v>86</v>
      </c>
      <c r="P47" s="686" t="s">
        <v>1113</v>
      </c>
      <c r="Q47" s="668">
        <v>46053</v>
      </c>
      <c r="R47" s="321" t="s">
        <v>3927</v>
      </c>
      <c r="S47" s="689"/>
      <c r="T47" s="690">
        <v>15056154575</v>
      </c>
      <c r="U47" s="658"/>
      <c r="V47" s="622">
        <v>3</v>
      </c>
      <c r="W47" s="687"/>
      <c r="X47" s="622">
        <v>0</v>
      </c>
      <c r="Y47" s="623"/>
      <c r="Z47" s="625"/>
      <c r="AA47" s="540" t="e">
        <v>#N/A</v>
      </c>
      <c r="AB47" s="540" t="e">
        <v>#N/A</v>
      </c>
      <c r="AC47" s="310" t="e">
        <v>#N/A</v>
      </c>
      <c r="AD47" s="688" t="e">
        <v>#N/A</v>
      </c>
    </row>
    <row r="48" spans="1:30" ht="22.35" customHeight="1">
      <c r="A48" s="310" t="s">
        <v>10</v>
      </c>
      <c r="B48" s="323" t="s">
        <v>88</v>
      </c>
      <c r="C48" s="1337">
        <v>46113</v>
      </c>
      <c r="D48" s="324">
        <v>4</v>
      </c>
      <c r="E48" s="310">
        <v>325.52</v>
      </c>
      <c r="F48" s="392">
        <v>1302.0899999999999</v>
      </c>
      <c r="G48" s="310">
        <v>70</v>
      </c>
      <c r="H48" s="310">
        <v>242.18</v>
      </c>
      <c r="I48" s="310">
        <v>267.98</v>
      </c>
      <c r="J48" s="325">
        <v>791.93</v>
      </c>
      <c r="K48" s="326"/>
      <c r="L48" s="319"/>
      <c r="M48" s="320"/>
      <c r="N48" s="577" t="s">
        <v>3988</v>
      </c>
      <c r="O48" s="617" t="s">
        <v>86</v>
      </c>
      <c r="P48" s="686" t="s">
        <v>1114</v>
      </c>
      <c r="Q48" s="668">
        <v>46072</v>
      </c>
      <c r="R48" s="321" t="s">
        <v>3989</v>
      </c>
      <c r="S48" s="689"/>
      <c r="T48" s="690">
        <v>34645727766</v>
      </c>
      <c r="U48" s="658"/>
      <c r="V48" s="622">
        <v>2</v>
      </c>
      <c r="W48" s="687"/>
      <c r="X48" s="622">
        <v>0</v>
      </c>
      <c r="Y48" s="623">
        <v>0</v>
      </c>
      <c r="Z48" s="625"/>
      <c r="AA48" s="540" t="e">
        <v>#N/A</v>
      </c>
      <c r="AB48" s="540" t="e">
        <v>#N/A</v>
      </c>
      <c r="AC48" s="310" t="e">
        <v>#N/A</v>
      </c>
      <c r="AD48" s="688" t="e">
        <v>#N/A</v>
      </c>
    </row>
    <row r="49" spans="1:30" ht="22.35" customHeight="1">
      <c r="A49" s="310" t="s">
        <v>10</v>
      </c>
      <c r="B49" s="323" t="s">
        <v>23</v>
      </c>
      <c r="C49" s="1337">
        <v>46109</v>
      </c>
      <c r="D49" s="324">
        <v>2</v>
      </c>
      <c r="E49" s="310">
        <v>272.60000000000002</v>
      </c>
      <c r="F49" s="392">
        <v>545.20000000000005</v>
      </c>
      <c r="G49" s="310">
        <v>70</v>
      </c>
      <c r="H49" s="310">
        <v>101.2</v>
      </c>
      <c r="I49" s="310">
        <v>144.80000000000001</v>
      </c>
      <c r="J49" s="325">
        <v>299.2</v>
      </c>
      <c r="K49" s="326"/>
      <c r="L49" s="319"/>
      <c r="M49" s="692"/>
      <c r="N49" s="577" t="s">
        <v>3724</v>
      </c>
      <c r="O49" s="617" t="s">
        <v>86</v>
      </c>
      <c r="P49" s="686" t="s">
        <v>1114</v>
      </c>
      <c r="Q49" s="668">
        <v>46033</v>
      </c>
      <c r="R49" s="321" t="s">
        <v>3725</v>
      </c>
      <c r="S49" s="689"/>
      <c r="T49" s="697">
        <v>16142569174</v>
      </c>
      <c r="U49" s="658"/>
      <c r="V49" s="622">
        <v>2</v>
      </c>
      <c r="W49" s="687"/>
      <c r="X49" s="622">
        <v>0</v>
      </c>
      <c r="Y49" s="623"/>
      <c r="Z49" s="625"/>
      <c r="AA49" s="657" t="e">
        <v>#N/A</v>
      </c>
      <c r="AB49" s="540" t="e">
        <v>#N/A</v>
      </c>
      <c r="AC49" s="310" t="e">
        <v>#N/A</v>
      </c>
      <c r="AD49" s="688" t="e">
        <v>#N/A</v>
      </c>
    </row>
    <row r="50" spans="1:30" ht="22.35" customHeight="1">
      <c r="A50" s="310" t="s">
        <v>8</v>
      </c>
      <c r="B50" s="323" t="s">
        <v>88</v>
      </c>
      <c r="C50" s="1337">
        <v>46107</v>
      </c>
      <c r="D50" s="324">
        <v>8</v>
      </c>
      <c r="E50" s="310">
        <v>365.85</v>
      </c>
      <c r="F50" s="392">
        <v>2926.8</v>
      </c>
      <c r="G50" s="310">
        <v>90</v>
      </c>
      <c r="H50" s="310">
        <v>526.82000000000005</v>
      </c>
      <c r="I50" s="310">
        <v>552</v>
      </c>
      <c r="J50" s="325">
        <v>1847.98</v>
      </c>
      <c r="K50" s="326"/>
      <c r="L50" s="319"/>
      <c r="M50" s="320"/>
      <c r="N50" s="576" t="s">
        <v>3130</v>
      </c>
      <c r="O50" s="552" t="s">
        <v>86</v>
      </c>
      <c r="P50" s="683" t="s">
        <v>89</v>
      </c>
      <c r="Q50" s="660">
        <v>45848</v>
      </c>
      <c r="R50" s="327" t="s">
        <v>3122</v>
      </c>
      <c r="S50" s="691">
        <v>284583151</v>
      </c>
      <c r="T50" s="562" t="s">
        <v>3123</v>
      </c>
      <c r="U50" s="649" t="s">
        <v>3124</v>
      </c>
      <c r="V50" s="558">
        <v>1</v>
      </c>
      <c r="W50" s="684">
        <v>0</v>
      </c>
      <c r="X50" s="558">
        <v>0</v>
      </c>
      <c r="Y50" s="559">
        <v>0</v>
      </c>
      <c r="Z50" s="561">
        <v>1148625188</v>
      </c>
      <c r="AA50" s="328"/>
      <c r="AB50" s="328"/>
      <c r="AC50" s="394"/>
      <c r="AD50" s="685"/>
    </row>
    <row r="51" spans="1:30" ht="22.35" customHeight="1">
      <c r="A51" s="310" t="s">
        <v>10</v>
      </c>
      <c r="B51" s="310" t="s">
        <v>23</v>
      </c>
      <c r="C51" s="1337">
        <v>46102</v>
      </c>
      <c r="D51" s="324">
        <v>2</v>
      </c>
      <c r="E51" s="310">
        <v>270.76</v>
      </c>
      <c r="F51" s="392">
        <v>541.51</v>
      </c>
      <c r="G51" s="310">
        <v>70</v>
      </c>
      <c r="H51" s="310">
        <v>100.53</v>
      </c>
      <c r="I51" s="310">
        <v>144.19999999999999</v>
      </c>
      <c r="J51" s="325">
        <v>296.77999999999997</v>
      </c>
      <c r="K51" s="326"/>
      <c r="L51" s="693"/>
      <c r="M51" s="695"/>
      <c r="N51" s="577" t="s">
        <v>3968</v>
      </c>
      <c r="O51" s="617" t="s">
        <v>86</v>
      </c>
      <c r="P51" s="686" t="s">
        <v>1114</v>
      </c>
      <c r="Q51" s="668">
        <v>46064</v>
      </c>
      <c r="R51" s="321" t="s">
        <v>3969</v>
      </c>
      <c r="S51" s="689"/>
      <c r="T51" s="697">
        <v>48797591728</v>
      </c>
      <c r="U51" s="658"/>
      <c r="V51" s="622">
        <v>2</v>
      </c>
      <c r="W51" s="687"/>
      <c r="X51" s="622">
        <v>0</v>
      </c>
      <c r="Y51" s="623"/>
      <c r="Z51" s="625"/>
      <c r="AA51" s="1350" t="e">
        <v>#N/A</v>
      </c>
      <c r="AB51" s="540" t="e">
        <v>#N/A</v>
      </c>
      <c r="AC51" s="310" t="e">
        <v>#N/A</v>
      </c>
      <c r="AD51" s="688" t="e">
        <v>#N/A</v>
      </c>
    </row>
    <row r="52" spans="1:30" ht="22.35" customHeight="1">
      <c r="A52" s="310" t="s">
        <v>10</v>
      </c>
      <c r="B52" s="310" t="s">
        <v>88</v>
      </c>
      <c r="C52" s="1337">
        <v>46099</v>
      </c>
      <c r="D52" s="324">
        <v>3</v>
      </c>
      <c r="E52" s="310">
        <v>247.67</v>
      </c>
      <c r="F52" s="392">
        <v>743</v>
      </c>
      <c r="G52" s="310">
        <v>70</v>
      </c>
      <c r="H52" s="310">
        <v>138.19999999999999</v>
      </c>
      <c r="I52" s="310">
        <v>176.96</v>
      </c>
      <c r="J52" s="325">
        <v>427.84</v>
      </c>
      <c r="K52" s="326"/>
      <c r="L52" s="693"/>
      <c r="M52" s="696"/>
      <c r="N52" s="577" t="s">
        <v>3738</v>
      </c>
      <c r="O52" s="617" t="s">
        <v>86</v>
      </c>
      <c r="P52" s="686" t="s">
        <v>1114</v>
      </c>
      <c r="Q52" s="668">
        <v>46043</v>
      </c>
      <c r="R52" s="321" t="s">
        <v>3739</v>
      </c>
      <c r="S52" s="689"/>
      <c r="T52" s="697">
        <v>15738236442</v>
      </c>
      <c r="U52" s="658"/>
      <c r="V52" s="622">
        <v>2</v>
      </c>
      <c r="W52" s="687"/>
      <c r="X52" s="622">
        <v>0</v>
      </c>
      <c r="Y52" s="623">
        <v>0</v>
      </c>
      <c r="Z52" s="625"/>
      <c r="AA52" s="647" t="e">
        <v>#N/A</v>
      </c>
      <c r="AB52" s="540" t="e">
        <v>#N/A</v>
      </c>
      <c r="AC52" s="310" t="e">
        <v>#N/A</v>
      </c>
      <c r="AD52" s="688" t="e">
        <v>#N/A</v>
      </c>
    </row>
    <row r="53" spans="1:30" ht="22.35" customHeight="1">
      <c r="A53" s="310" t="s">
        <v>8</v>
      </c>
      <c r="B53" s="310" t="s">
        <v>88</v>
      </c>
      <c r="C53" s="1337">
        <v>46098</v>
      </c>
      <c r="D53" s="324">
        <v>7</v>
      </c>
      <c r="E53" s="310">
        <v>289.89999999999998</v>
      </c>
      <c r="F53" s="392">
        <v>2029.31</v>
      </c>
      <c r="G53" s="310">
        <v>90</v>
      </c>
      <c r="H53" s="310">
        <v>377.45</v>
      </c>
      <c r="I53" s="310">
        <v>402.37</v>
      </c>
      <c r="J53" s="325">
        <v>1249.49</v>
      </c>
      <c r="K53" s="326"/>
      <c r="L53" s="693"/>
      <c r="M53" s="696"/>
      <c r="N53" s="577" t="s">
        <v>3922</v>
      </c>
      <c r="O53" s="617" t="s">
        <v>86</v>
      </c>
      <c r="P53" s="686" t="s">
        <v>1113</v>
      </c>
      <c r="Q53" s="668">
        <v>46053</v>
      </c>
      <c r="R53" s="321" t="s">
        <v>3924</v>
      </c>
      <c r="S53" s="689"/>
      <c r="T53" s="697">
        <v>13236054169</v>
      </c>
      <c r="U53" s="658"/>
      <c r="V53" s="622">
        <v>2</v>
      </c>
      <c r="W53" s="687"/>
      <c r="X53" s="622">
        <v>0</v>
      </c>
      <c r="Y53" s="623">
        <v>0</v>
      </c>
      <c r="Z53" s="625"/>
      <c r="AA53" s="647" t="e">
        <v>#N/A</v>
      </c>
      <c r="AB53" s="540" t="e">
        <v>#N/A</v>
      </c>
      <c r="AC53" s="310" t="e">
        <v>#N/A</v>
      </c>
      <c r="AD53" s="688" t="e">
        <v>#N/A</v>
      </c>
    </row>
    <row r="54" spans="1:30" ht="22.35" customHeight="1">
      <c r="A54" s="310" t="s">
        <v>10</v>
      </c>
      <c r="B54" s="310" t="s">
        <v>23</v>
      </c>
      <c r="C54" s="1337">
        <v>46096</v>
      </c>
      <c r="D54" s="324">
        <v>2</v>
      </c>
      <c r="E54" s="310">
        <v>201.99</v>
      </c>
      <c r="F54" s="513">
        <v>403.97</v>
      </c>
      <c r="G54" s="310">
        <v>70</v>
      </c>
      <c r="H54" s="310">
        <v>75.09</v>
      </c>
      <c r="I54" s="310">
        <v>121.78</v>
      </c>
      <c r="J54" s="325">
        <v>207.1</v>
      </c>
      <c r="K54" s="326"/>
      <c r="L54" s="693"/>
      <c r="M54" s="696"/>
      <c r="N54" s="577" t="s">
        <v>3991</v>
      </c>
      <c r="O54" s="617" t="s">
        <v>86</v>
      </c>
      <c r="P54" s="686" t="s">
        <v>1114</v>
      </c>
      <c r="Q54" s="668">
        <v>46074</v>
      </c>
      <c r="R54" s="321" t="s">
        <v>3992</v>
      </c>
      <c r="S54" s="689"/>
      <c r="T54" s="697">
        <v>886928164625</v>
      </c>
      <c r="U54" s="658"/>
      <c r="V54" s="622">
        <v>2</v>
      </c>
      <c r="W54" s="687"/>
      <c r="X54" s="622">
        <v>0</v>
      </c>
      <c r="Y54" s="623"/>
      <c r="Z54" s="625"/>
      <c r="AA54" s="647" t="e">
        <v>#N/A</v>
      </c>
      <c r="AB54" s="540" t="e">
        <v>#N/A</v>
      </c>
      <c r="AC54" s="310" t="e">
        <v>#N/A</v>
      </c>
      <c r="AD54" s="688" t="e">
        <v>#N/A</v>
      </c>
    </row>
    <row r="55" spans="1:30" ht="22.35" customHeight="1">
      <c r="A55" s="310" t="s">
        <v>8</v>
      </c>
      <c r="B55" s="310" t="s">
        <v>88</v>
      </c>
      <c r="C55" s="1337">
        <v>46095</v>
      </c>
      <c r="D55" s="550">
        <v>3</v>
      </c>
      <c r="E55" s="325">
        <v>265.83999999999997</v>
      </c>
      <c r="F55" s="694">
        <v>797.53</v>
      </c>
      <c r="G55" s="310">
        <v>90</v>
      </c>
      <c r="H55" s="310">
        <v>148.34</v>
      </c>
      <c r="I55" s="310">
        <v>201.84</v>
      </c>
      <c r="J55" s="325">
        <v>447.35</v>
      </c>
      <c r="K55" s="326"/>
      <c r="L55" s="693"/>
      <c r="M55" s="662"/>
      <c r="N55" s="577" t="s">
        <v>4010</v>
      </c>
      <c r="O55" s="617" t="s">
        <v>86</v>
      </c>
      <c r="P55" s="686" t="s">
        <v>1113</v>
      </c>
      <c r="Q55" s="668">
        <v>46078</v>
      </c>
      <c r="R55" s="321" t="s">
        <v>4011</v>
      </c>
      <c r="S55" s="689"/>
      <c r="T55" s="697">
        <v>79169361330</v>
      </c>
      <c r="U55" s="658"/>
      <c r="V55" s="622">
        <v>3</v>
      </c>
      <c r="W55" s="687"/>
      <c r="X55" s="622">
        <v>0</v>
      </c>
      <c r="Y55" s="623">
        <v>0</v>
      </c>
      <c r="Z55" s="625"/>
      <c r="AA55" s="647" t="e">
        <v>#N/A</v>
      </c>
      <c r="AB55" s="540" t="e">
        <v>#N/A</v>
      </c>
      <c r="AC55" s="310" t="e">
        <v>#N/A</v>
      </c>
      <c r="AD55" s="688" t="e">
        <v>#N/A</v>
      </c>
    </row>
    <row r="56" spans="1:30" ht="22.35" customHeight="1">
      <c r="A56" s="310" t="s">
        <v>10</v>
      </c>
      <c r="B56" s="323" t="s">
        <v>88</v>
      </c>
      <c r="C56" s="1337">
        <v>46091</v>
      </c>
      <c r="D56" s="324">
        <v>5</v>
      </c>
      <c r="E56" s="310">
        <v>194.27</v>
      </c>
      <c r="F56" s="392">
        <v>971.34</v>
      </c>
      <c r="G56" s="310">
        <v>70</v>
      </c>
      <c r="H56" s="310">
        <v>180.67</v>
      </c>
      <c r="I56" s="310">
        <v>214.13</v>
      </c>
      <c r="J56" s="325">
        <v>576.54</v>
      </c>
      <c r="K56" s="326"/>
      <c r="L56" s="319"/>
      <c r="M56" s="320"/>
      <c r="N56" s="798" t="s">
        <v>3981</v>
      </c>
      <c r="O56" s="617" t="s">
        <v>86</v>
      </c>
      <c r="P56" s="686" t="s">
        <v>1114</v>
      </c>
      <c r="Q56" s="668">
        <v>46069</v>
      </c>
      <c r="R56" s="321" t="s">
        <v>3982</v>
      </c>
      <c r="S56" s="689"/>
      <c r="T56" s="690">
        <v>17745455997</v>
      </c>
      <c r="U56" s="658"/>
      <c r="V56" s="622">
        <v>2</v>
      </c>
      <c r="W56" s="687"/>
      <c r="X56" s="622">
        <v>0</v>
      </c>
      <c r="Y56" s="623">
        <v>0</v>
      </c>
      <c r="Z56" s="625"/>
      <c r="AA56" s="540" t="e">
        <v>#N/A</v>
      </c>
      <c r="AB56" s="540" t="e">
        <v>#N/A</v>
      </c>
      <c r="AC56" s="310" t="e">
        <v>#N/A</v>
      </c>
      <c r="AD56" s="688" t="e">
        <v>#N/A</v>
      </c>
    </row>
    <row r="57" spans="1:30" ht="22.35" customHeight="1">
      <c r="A57" s="310" t="s">
        <v>8</v>
      </c>
      <c r="B57" s="323" t="s">
        <v>88</v>
      </c>
      <c r="C57" s="1337">
        <v>46089</v>
      </c>
      <c r="D57" s="324">
        <v>6</v>
      </c>
      <c r="E57" s="310">
        <v>316.5</v>
      </c>
      <c r="F57" s="392">
        <v>1899</v>
      </c>
      <c r="G57" s="310">
        <v>90</v>
      </c>
      <c r="H57" s="310">
        <v>353.22</v>
      </c>
      <c r="I57" s="310">
        <v>381.16</v>
      </c>
      <c r="J57" s="325">
        <v>1164.6199999999999</v>
      </c>
      <c r="K57" s="326"/>
      <c r="L57" s="319"/>
      <c r="M57" s="320"/>
      <c r="N57" s="577" t="s">
        <v>3710</v>
      </c>
      <c r="O57" s="617" t="s">
        <v>86</v>
      </c>
      <c r="P57" s="686" t="s">
        <v>1113</v>
      </c>
      <c r="Q57" s="668">
        <v>46023</v>
      </c>
      <c r="R57" s="321" t="s">
        <v>3715</v>
      </c>
      <c r="S57" s="620"/>
      <c r="T57" s="677">
        <v>14082422140</v>
      </c>
      <c r="U57" s="658"/>
      <c r="V57" s="622">
        <v>4</v>
      </c>
      <c r="W57" s="687"/>
      <c r="X57" s="622">
        <v>0</v>
      </c>
      <c r="Y57" s="623">
        <v>0</v>
      </c>
      <c r="Z57" s="625"/>
      <c r="AA57" s="540" t="e">
        <v>#N/A</v>
      </c>
      <c r="AB57" s="540" t="e">
        <v>#N/A</v>
      </c>
      <c r="AC57" s="310" t="e">
        <v>#N/A</v>
      </c>
      <c r="AD57" s="688" t="e">
        <v>#N/A</v>
      </c>
    </row>
    <row r="58" spans="1:30" ht="22.35" customHeight="1">
      <c r="A58" s="310" t="s">
        <v>8</v>
      </c>
      <c r="B58" s="323" t="s">
        <v>88</v>
      </c>
      <c r="C58" s="1337">
        <v>46085</v>
      </c>
      <c r="D58" s="324">
        <v>4</v>
      </c>
      <c r="E58" s="310">
        <v>223</v>
      </c>
      <c r="F58" s="392">
        <v>892</v>
      </c>
      <c r="G58" s="310">
        <v>90</v>
      </c>
      <c r="H58" s="310">
        <v>165.91</v>
      </c>
      <c r="I58" s="310">
        <v>217.22</v>
      </c>
      <c r="J58" s="325">
        <v>508.87</v>
      </c>
      <c r="K58" s="326"/>
      <c r="L58" s="319"/>
      <c r="M58" s="320"/>
      <c r="N58" s="577" t="s">
        <v>4037</v>
      </c>
      <c r="O58" s="617" t="s">
        <v>86</v>
      </c>
      <c r="P58" s="686" t="s">
        <v>1113</v>
      </c>
      <c r="Q58" s="668">
        <v>46080</v>
      </c>
      <c r="R58" s="321" t="s">
        <v>4038</v>
      </c>
      <c r="S58" s="620"/>
      <c r="T58" s="677">
        <v>48601915684</v>
      </c>
      <c r="U58" s="658"/>
      <c r="V58" s="622">
        <v>4</v>
      </c>
      <c r="W58" s="687"/>
      <c r="X58" s="622">
        <v>0</v>
      </c>
      <c r="Y58" s="623">
        <v>0</v>
      </c>
      <c r="Z58" s="625"/>
      <c r="AA58" s="540" t="e">
        <v>#N/A</v>
      </c>
      <c r="AB58" s="540" t="e">
        <v>#N/A</v>
      </c>
      <c r="AC58" s="1348" t="e">
        <v>#N/A</v>
      </c>
      <c r="AD58" s="688" t="e">
        <v>#N/A</v>
      </c>
    </row>
    <row r="59" spans="1:30" ht="22.35" customHeight="1">
      <c r="A59" s="310" t="s">
        <v>10</v>
      </c>
      <c r="B59" s="323" t="s">
        <v>88</v>
      </c>
      <c r="C59" s="1337">
        <v>46081</v>
      </c>
      <c r="D59" s="324">
        <v>10</v>
      </c>
      <c r="E59" s="310">
        <v>200.22</v>
      </c>
      <c r="F59" s="392">
        <v>2002.19</v>
      </c>
      <c r="G59" s="310">
        <v>70</v>
      </c>
      <c r="H59" s="310">
        <v>372.41</v>
      </c>
      <c r="I59" s="310">
        <v>381.96</v>
      </c>
      <c r="J59" s="325">
        <v>1247.82</v>
      </c>
      <c r="K59" s="326"/>
      <c r="L59" s="319"/>
      <c r="M59" s="320"/>
      <c r="N59" s="577" t="s">
        <v>3719</v>
      </c>
      <c r="O59" s="617" t="s">
        <v>86</v>
      </c>
      <c r="P59" s="686" t="s">
        <v>1114</v>
      </c>
      <c r="Q59" s="668">
        <v>46028</v>
      </c>
      <c r="R59" s="321" t="s">
        <v>3720</v>
      </c>
      <c r="S59" s="620"/>
      <c r="T59" s="677">
        <v>15713340047</v>
      </c>
      <c r="U59" s="658"/>
      <c r="V59" s="622">
        <v>2</v>
      </c>
      <c r="W59" s="687"/>
      <c r="X59" s="622">
        <v>0</v>
      </c>
      <c r="Y59" s="623">
        <v>0</v>
      </c>
      <c r="Z59" s="625"/>
      <c r="AA59" s="540" t="e">
        <v>#N/A</v>
      </c>
      <c r="AB59" s="540" t="e">
        <v>#N/A</v>
      </c>
      <c r="AC59" s="310" t="e">
        <v>#N/A</v>
      </c>
      <c r="AD59" s="688" t="e">
        <v>#N/A</v>
      </c>
    </row>
    <row r="60" spans="1:30" ht="22.35" customHeight="1">
      <c r="A60" s="310" t="s">
        <v>10</v>
      </c>
      <c r="B60" s="323" t="s">
        <v>88</v>
      </c>
      <c r="C60" s="1337">
        <v>46079</v>
      </c>
      <c r="D60" s="324">
        <v>2</v>
      </c>
      <c r="E60" s="310">
        <v>199</v>
      </c>
      <c r="F60" s="392">
        <v>398</v>
      </c>
      <c r="G60" s="310">
        <v>70</v>
      </c>
      <c r="H60" s="310">
        <v>74.03</v>
      </c>
      <c r="I60" s="442">
        <v>120.79</v>
      </c>
      <c r="J60" s="325">
        <v>203.18</v>
      </c>
      <c r="K60" s="326"/>
      <c r="L60" s="319"/>
      <c r="M60" s="320"/>
      <c r="N60" s="577" t="s">
        <v>3934</v>
      </c>
      <c r="O60" s="617" t="s">
        <v>278</v>
      </c>
      <c r="P60" s="618" t="s">
        <v>1114</v>
      </c>
      <c r="Q60" s="668">
        <v>46054</v>
      </c>
      <c r="R60" s="321" t="s">
        <v>3935</v>
      </c>
      <c r="S60" s="620"/>
      <c r="T60" s="677">
        <v>33683473610</v>
      </c>
      <c r="U60" s="658"/>
      <c r="V60" s="622">
        <v>1</v>
      </c>
      <c r="W60" s="623"/>
      <c r="X60" s="622">
        <v>0</v>
      </c>
      <c r="Y60" s="623">
        <v>0</v>
      </c>
      <c r="Z60" s="625"/>
      <c r="AA60" s="540" t="e">
        <v>#N/A</v>
      </c>
      <c r="AB60" s="540" t="e">
        <v>#N/A</v>
      </c>
      <c r="AC60" s="310" t="e">
        <v>#N/A</v>
      </c>
      <c r="AD60" s="626" t="e">
        <v>#N/A</v>
      </c>
    </row>
    <row r="61" spans="1:30" ht="22.35" customHeight="1">
      <c r="A61" s="310" t="s">
        <v>10</v>
      </c>
      <c r="B61" s="310" t="s">
        <v>23</v>
      </c>
      <c r="C61" s="1337">
        <v>46076</v>
      </c>
      <c r="D61" s="324">
        <v>3</v>
      </c>
      <c r="E61" s="310">
        <v>177.53</v>
      </c>
      <c r="F61" s="392">
        <v>532.6</v>
      </c>
      <c r="G61" s="310">
        <v>70</v>
      </c>
      <c r="H61" s="325">
        <v>99.05</v>
      </c>
      <c r="I61" s="571">
        <v>142.71</v>
      </c>
      <c r="J61" s="325">
        <v>290.83999999999997</v>
      </c>
      <c r="K61" s="326"/>
      <c r="L61" s="319" t="s">
        <v>276</v>
      </c>
      <c r="M61" s="320"/>
      <c r="N61" s="577" t="s">
        <v>3731</v>
      </c>
      <c r="O61" s="617" t="s">
        <v>283</v>
      </c>
      <c r="P61" s="618" t="s">
        <v>1114</v>
      </c>
      <c r="Q61" s="668">
        <v>46041</v>
      </c>
      <c r="R61" s="321" t="s">
        <v>3732</v>
      </c>
      <c r="S61" s="620"/>
      <c r="T61" s="677">
        <v>33612408953</v>
      </c>
      <c r="U61" s="658"/>
      <c r="V61" s="622">
        <v>2</v>
      </c>
      <c r="W61" s="623"/>
      <c r="X61" s="622">
        <v>0</v>
      </c>
      <c r="Y61" s="623"/>
      <c r="Z61" s="625"/>
      <c r="AA61" s="540" t="e">
        <v>#N/A</v>
      </c>
      <c r="AB61" s="540" t="e">
        <v>#N/A</v>
      </c>
      <c r="AC61" s="325" t="e">
        <v>#N/A</v>
      </c>
      <c r="AD61" s="626" t="e">
        <v>#N/A</v>
      </c>
    </row>
    <row r="62" spans="1:30" ht="22.35" customHeight="1">
      <c r="A62" s="310" t="s">
        <v>8</v>
      </c>
      <c r="B62" s="310" t="s">
        <v>23</v>
      </c>
      <c r="C62" s="1337">
        <v>46075</v>
      </c>
      <c r="D62" s="324">
        <v>6</v>
      </c>
      <c r="E62" s="310">
        <v>231.6</v>
      </c>
      <c r="F62" s="392">
        <v>1389.6</v>
      </c>
      <c r="G62" s="310">
        <v>90</v>
      </c>
      <c r="H62" s="325">
        <v>258.36</v>
      </c>
      <c r="I62" s="571">
        <v>298.25</v>
      </c>
      <c r="J62" s="325">
        <v>832.99</v>
      </c>
      <c r="K62" s="326"/>
      <c r="L62" s="319"/>
      <c r="M62" s="320"/>
      <c r="N62" s="577" t="s">
        <v>3674</v>
      </c>
      <c r="O62" s="617" t="s">
        <v>278</v>
      </c>
      <c r="P62" s="618" t="s">
        <v>1113</v>
      </c>
      <c r="Q62" s="668">
        <v>45984</v>
      </c>
      <c r="R62" s="321" t="s">
        <v>3676</v>
      </c>
      <c r="S62" s="620"/>
      <c r="T62" s="677">
        <v>33684896105</v>
      </c>
      <c r="U62" s="658"/>
      <c r="V62" s="622">
        <v>2</v>
      </c>
      <c r="W62" s="623"/>
      <c r="X62" s="622">
        <v>0</v>
      </c>
      <c r="Y62" s="623"/>
      <c r="Z62" s="625"/>
      <c r="AA62" s="540" t="e">
        <v>#N/A</v>
      </c>
      <c r="AB62" s="540" t="e">
        <v>#N/A</v>
      </c>
      <c r="AC62" s="325" t="e">
        <v>#N/A</v>
      </c>
      <c r="AD62" s="626" t="e">
        <v>#N/A</v>
      </c>
    </row>
    <row r="63" spans="1:30" ht="22.35" customHeight="1">
      <c r="A63" s="325" t="s">
        <v>10</v>
      </c>
      <c r="B63" s="310" t="s">
        <v>23</v>
      </c>
      <c r="C63" s="1337">
        <v>46072</v>
      </c>
      <c r="D63" s="550">
        <v>3</v>
      </c>
      <c r="E63" s="310">
        <v>205.13</v>
      </c>
      <c r="F63" s="392">
        <v>615.4</v>
      </c>
      <c r="G63" s="310">
        <v>70</v>
      </c>
      <c r="H63" s="325">
        <v>114.48</v>
      </c>
      <c r="I63" s="571">
        <v>156.18</v>
      </c>
      <c r="J63" s="325">
        <v>344.74</v>
      </c>
      <c r="K63" s="326"/>
      <c r="L63" s="319" t="s">
        <v>276</v>
      </c>
      <c r="M63" s="551">
        <v>10</v>
      </c>
      <c r="N63" s="577" t="s">
        <v>3688</v>
      </c>
      <c r="O63" s="617" t="s">
        <v>283</v>
      </c>
      <c r="P63" s="618" t="s">
        <v>1114</v>
      </c>
      <c r="Q63" s="668">
        <v>45992</v>
      </c>
      <c r="R63" s="321" t="s">
        <v>3690</v>
      </c>
      <c r="S63" s="620"/>
      <c r="T63" s="677">
        <v>447428256551</v>
      </c>
      <c r="U63" s="658"/>
      <c r="V63" s="622">
        <v>2</v>
      </c>
      <c r="W63" s="623"/>
      <c r="X63" s="622">
        <v>0</v>
      </c>
      <c r="Y63" s="623"/>
      <c r="Z63" s="625"/>
      <c r="AA63" s="540" t="e">
        <v>#N/A</v>
      </c>
      <c r="AB63" s="540" t="e">
        <v>#N/A</v>
      </c>
      <c r="AC63" s="325" t="e">
        <v>#N/A</v>
      </c>
      <c r="AD63" s="626" t="e">
        <v>#N/A</v>
      </c>
    </row>
    <row r="64" spans="1:30" ht="22.35" customHeight="1">
      <c r="A64" s="310" t="s">
        <v>8</v>
      </c>
      <c r="B64" s="602" t="s">
        <v>88</v>
      </c>
      <c r="C64" s="1337">
        <v>46070</v>
      </c>
      <c r="D64" s="324">
        <v>5</v>
      </c>
      <c r="E64" s="310">
        <v>266.8</v>
      </c>
      <c r="F64" s="392">
        <v>1334</v>
      </c>
      <c r="G64" s="310">
        <v>90</v>
      </c>
      <c r="H64" s="310">
        <v>248.12</v>
      </c>
      <c r="I64" s="602">
        <v>289.18</v>
      </c>
      <c r="J64" s="325">
        <v>796.7</v>
      </c>
      <c r="K64" s="663"/>
      <c r="L64" s="319" t="s">
        <v>276</v>
      </c>
      <c r="M64" s="320">
        <v>5</v>
      </c>
      <c r="N64" s="577" t="s">
        <v>3651</v>
      </c>
      <c r="O64" s="607" t="s">
        <v>283</v>
      </c>
      <c r="P64" s="609" t="s">
        <v>1113</v>
      </c>
      <c r="Q64" s="659">
        <v>45972</v>
      </c>
      <c r="R64" s="670" t="s">
        <v>3652</v>
      </c>
      <c r="S64" s="568"/>
      <c r="T64" s="607">
        <v>8613934644292</v>
      </c>
      <c r="U64" s="648"/>
      <c r="V64" s="608">
        <v>3</v>
      </c>
      <c r="W64" s="610"/>
      <c r="X64" s="608">
        <v>0</v>
      </c>
      <c r="Y64" s="610">
        <v>0</v>
      </c>
      <c r="Z64" s="570"/>
      <c r="AA64" s="540" t="e">
        <v>#N/A</v>
      </c>
      <c r="AB64" s="540" t="e">
        <v>#N/A</v>
      </c>
      <c r="AC64" s="310" t="e">
        <v>#N/A</v>
      </c>
      <c r="AD64" s="611" t="e">
        <v>#N/A</v>
      </c>
    </row>
    <row r="65" spans="1:30" ht="22.35" customHeight="1">
      <c r="A65" s="310" t="s">
        <v>10</v>
      </c>
      <c r="B65" s="310" t="s">
        <v>88</v>
      </c>
      <c r="C65" s="1340">
        <v>46067</v>
      </c>
      <c r="D65" s="662">
        <v>4</v>
      </c>
      <c r="E65" s="310">
        <v>234.53</v>
      </c>
      <c r="F65" s="392">
        <v>938.11</v>
      </c>
      <c r="G65" s="310">
        <v>70</v>
      </c>
      <c r="H65" s="310">
        <v>168.87</v>
      </c>
      <c r="I65" s="310">
        <v>209.85</v>
      </c>
      <c r="J65" s="325">
        <v>559.39</v>
      </c>
      <c r="K65" s="663">
        <v>0</v>
      </c>
      <c r="L65" s="319" t="s">
        <v>276</v>
      </c>
      <c r="M65" s="551">
        <v>5</v>
      </c>
      <c r="N65" s="577" t="s">
        <v>3596</v>
      </c>
      <c r="O65" s="617" t="s">
        <v>283</v>
      </c>
      <c r="P65" s="618" t="s">
        <v>1114</v>
      </c>
      <c r="Q65" s="668">
        <v>45923</v>
      </c>
      <c r="R65" s="670" t="s">
        <v>3597</v>
      </c>
      <c r="S65" s="620"/>
      <c r="T65" s="617">
        <v>447805551845</v>
      </c>
      <c r="U65" s="658"/>
      <c r="V65" s="622">
        <v>3</v>
      </c>
      <c r="W65" s="623"/>
      <c r="X65" s="622">
        <v>0</v>
      </c>
      <c r="Y65" s="623">
        <v>0</v>
      </c>
      <c r="Z65" s="625"/>
      <c r="AA65" s="540" t="e">
        <v>#N/A</v>
      </c>
      <c r="AB65" s="540" t="e">
        <v>#N/A</v>
      </c>
      <c r="AC65" s="310" t="e">
        <v>#N/A</v>
      </c>
      <c r="AD65" s="626" t="e">
        <v>#N/A</v>
      </c>
    </row>
    <row r="66" spans="1:30" ht="22.35" customHeight="1">
      <c r="A66" s="310" t="s">
        <v>8</v>
      </c>
      <c r="B66" s="323" t="s">
        <v>88</v>
      </c>
      <c r="C66" s="1337">
        <v>46066</v>
      </c>
      <c r="D66" s="324">
        <v>3</v>
      </c>
      <c r="E66" s="310">
        <v>278.33</v>
      </c>
      <c r="F66" s="392">
        <v>835</v>
      </c>
      <c r="G66" s="310">
        <v>90</v>
      </c>
      <c r="H66" s="310">
        <v>155.32</v>
      </c>
      <c r="I66" s="310">
        <v>207.94</v>
      </c>
      <c r="J66" s="325">
        <v>471.74</v>
      </c>
      <c r="K66" s="326"/>
      <c r="L66" s="319" t="s">
        <v>276</v>
      </c>
      <c r="M66" s="320">
        <v>5</v>
      </c>
      <c r="N66" s="577" t="s">
        <v>3666</v>
      </c>
      <c r="O66" s="607" t="s">
        <v>283</v>
      </c>
      <c r="P66" s="609" t="s">
        <v>1113</v>
      </c>
      <c r="Q66" s="659">
        <v>45980</v>
      </c>
      <c r="R66" s="321" t="s">
        <v>3667</v>
      </c>
      <c r="S66" s="568"/>
      <c r="T66" s="655">
        <v>527206770007</v>
      </c>
      <c r="U66" s="648"/>
      <c r="V66" s="608">
        <v>1</v>
      </c>
      <c r="W66" s="610"/>
      <c r="X66" s="608">
        <v>0</v>
      </c>
      <c r="Y66" s="610">
        <v>0</v>
      </c>
      <c r="Z66" s="570"/>
      <c r="AA66" s="540" t="e">
        <v>#N/A</v>
      </c>
      <c r="AB66" s="540" t="e">
        <v>#N/A</v>
      </c>
      <c r="AC66" s="310" t="e">
        <v>#N/A</v>
      </c>
      <c r="AD66" s="611" t="e">
        <v>#N/A</v>
      </c>
    </row>
    <row r="67" spans="1:30" ht="22.35" customHeight="1">
      <c r="A67" s="310" t="s">
        <v>10</v>
      </c>
      <c r="B67" s="310" t="s">
        <v>23</v>
      </c>
      <c r="C67" s="1337">
        <v>46065</v>
      </c>
      <c r="D67" s="324">
        <v>2</v>
      </c>
      <c r="E67" s="310">
        <v>179</v>
      </c>
      <c r="F67" s="392">
        <v>358</v>
      </c>
      <c r="G67" s="310">
        <v>70</v>
      </c>
      <c r="H67" s="310">
        <v>66.53</v>
      </c>
      <c r="I67" s="310">
        <v>114.29</v>
      </c>
      <c r="J67" s="325">
        <v>177.18</v>
      </c>
      <c r="K67" s="663"/>
      <c r="L67" s="319" t="s">
        <v>276</v>
      </c>
      <c r="M67" s="320">
        <v>10</v>
      </c>
      <c r="N67" s="577" t="s">
        <v>3950</v>
      </c>
      <c r="O67" s="607" t="s">
        <v>283</v>
      </c>
      <c r="P67" s="609" t="s">
        <v>1114</v>
      </c>
      <c r="Q67" s="659">
        <v>46060</v>
      </c>
      <c r="R67" s="670" t="s">
        <v>3951</v>
      </c>
      <c r="S67" s="568"/>
      <c r="T67" s="655">
        <v>34607196150</v>
      </c>
      <c r="U67" s="648"/>
      <c r="V67" s="608">
        <v>2</v>
      </c>
      <c r="W67" s="610"/>
      <c r="X67" s="608">
        <v>0</v>
      </c>
      <c r="Y67" s="610"/>
      <c r="Z67" s="570"/>
      <c r="AA67" s="540" t="e">
        <v>#N/A</v>
      </c>
      <c r="AB67" s="540" t="e">
        <v>#N/A</v>
      </c>
      <c r="AC67" s="310" t="e">
        <v>#N/A</v>
      </c>
      <c r="AD67" s="611" t="e">
        <v>#N/A</v>
      </c>
    </row>
    <row r="68" spans="1:30" ht="22.35" customHeight="1">
      <c r="A68" s="310" t="s">
        <v>8</v>
      </c>
      <c r="B68" s="310" t="s">
        <v>88</v>
      </c>
      <c r="C68" s="1337">
        <v>46064</v>
      </c>
      <c r="D68" s="324">
        <v>2</v>
      </c>
      <c r="E68" s="310">
        <v>225</v>
      </c>
      <c r="F68" s="392">
        <v>450</v>
      </c>
      <c r="G68" s="310">
        <v>90</v>
      </c>
      <c r="H68" s="310">
        <v>83.7</v>
      </c>
      <c r="I68" s="310">
        <v>145.26</v>
      </c>
      <c r="J68" s="325">
        <v>221.04</v>
      </c>
      <c r="K68" s="326"/>
      <c r="L68" s="319" t="s">
        <v>276</v>
      </c>
      <c r="M68" s="320">
        <v>5</v>
      </c>
      <c r="N68" s="577" t="s">
        <v>3908</v>
      </c>
      <c r="O68" s="607" t="s">
        <v>283</v>
      </c>
      <c r="P68" s="609" t="s">
        <v>1113</v>
      </c>
      <c r="Q68" s="659">
        <v>46047</v>
      </c>
      <c r="R68" s="670" t="s">
        <v>3909</v>
      </c>
      <c r="S68" s="568"/>
      <c r="T68" s="655">
        <v>33608675860</v>
      </c>
      <c r="U68" s="648"/>
      <c r="V68" s="608">
        <v>4</v>
      </c>
      <c r="W68" s="610"/>
      <c r="X68" s="608">
        <v>0</v>
      </c>
      <c r="Y68" s="610">
        <v>0</v>
      </c>
      <c r="Z68" s="570"/>
      <c r="AA68" s="540" t="e">
        <v>#N/A</v>
      </c>
      <c r="AB68" s="540" t="e">
        <v>#N/A</v>
      </c>
      <c r="AC68" s="310" t="e">
        <v>#N/A</v>
      </c>
      <c r="AD68" s="611" t="e">
        <v>#N/A</v>
      </c>
    </row>
    <row r="69" spans="1:30" ht="22.35" customHeight="1">
      <c r="A69" s="310" t="s">
        <v>10</v>
      </c>
      <c r="B69" s="310" t="s">
        <v>88</v>
      </c>
      <c r="C69" s="1337">
        <v>46061</v>
      </c>
      <c r="D69" s="324">
        <v>4</v>
      </c>
      <c r="E69" s="310">
        <v>198.75</v>
      </c>
      <c r="F69" s="392">
        <v>795</v>
      </c>
      <c r="G69" s="310">
        <v>70</v>
      </c>
      <c r="H69" s="310">
        <v>147.88</v>
      </c>
      <c r="I69" s="310">
        <v>185.42</v>
      </c>
      <c r="J69" s="325">
        <v>461.7</v>
      </c>
      <c r="K69" s="663">
        <v>0</v>
      </c>
      <c r="L69" s="319" t="s">
        <v>276</v>
      </c>
      <c r="M69" s="320">
        <v>5</v>
      </c>
      <c r="N69" s="577" t="s">
        <v>3657</v>
      </c>
      <c r="O69" s="607" t="s">
        <v>283</v>
      </c>
      <c r="P69" s="609" t="s">
        <v>1114</v>
      </c>
      <c r="Q69" s="659">
        <v>45978</v>
      </c>
      <c r="R69" s="670" t="s">
        <v>3658</v>
      </c>
      <c r="S69" s="568"/>
      <c r="T69" s="655">
        <v>15146277445</v>
      </c>
      <c r="U69" s="648"/>
      <c r="V69" s="608">
        <v>1</v>
      </c>
      <c r="W69" s="610"/>
      <c r="X69" s="608">
        <v>0</v>
      </c>
      <c r="Y69" s="610">
        <v>0</v>
      </c>
      <c r="Z69" s="570"/>
      <c r="AA69" s="540" t="e">
        <v>#N/A</v>
      </c>
      <c r="AB69" s="540" t="e">
        <v>#N/A</v>
      </c>
      <c r="AC69" s="310" t="e">
        <v>#N/A</v>
      </c>
      <c r="AD69" s="611" t="e">
        <v>#N/A</v>
      </c>
    </row>
    <row r="70" spans="1:30" ht="22.35" customHeight="1">
      <c r="A70" s="310" t="s">
        <v>10</v>
      </c>
      <c r="B70" s="310" t="s">
        <v>23</v>
      </c>
      <c r="C70" s="1337">
        <v>46059</v>
      </c>
      <c r="D70" s="324">
        <v>2</v>
      </c>
      <c r="E70" s="310">
        <v>219.5</v>
      </c>
      <c r="F70" s="392">
        <v>439</v>
      </c>
      <c r="G70" s="310">
        <v>70</v>
      </c>
      <c r="H70" s="310">
        <v>81.62</v>
      </c>
      <c r="I70" s="310">
        <v>127.48</v>
      </c>
      <c r="J70" s="325">
        <v>229.9</v>
      </c>
      <c r="K70" s="326"/>
      <c r="L70" s="319" t="s">
        <v>276</v>
      </c>
      <c r="M70" s="320"/>
      <c r="N70" s="577" t="s">
        <v>3705</v>
      </c>
      <c r="O70" s="607" t="s">
        <v>283</v>
      </c>
      <c r="P70" s="609" t="s">
        <v>1114</v>
      </c>
      <c r="Q70" s="659">
        <v>46016</v>
      </c>
      <c r="R70" s="670" t="s">
        <v>3706</v>
      </c>
      <c r="S70" s="568"/>
      <c r="T70" s="655">
        <v>33661925893</v>
      </c>
      <c r="U70" s="648"/>
      <c r="V70" s="608">
        <v>4</v>
      </c>
      <c r="W70" s="610"/>
      <c r="X70" s="608">
        <v>0</v>
      </c>
      <c r="Y70" s="610"/>
      <c r="Z70" s="570"/>
      <c r="AA70" s="540" t="e">
        <v>#N/A</v>
      </c>
      <c r="AB70" s="540" t="e">
        <v>#N/A</v>
      </c>
      <c r="AC70" s="310" t="e">
        <v>#N/A</v>
      </c>
      <c r="AD70" s="611" t="e">
        <v>#N/A</v>
      </c>
    </row>
    <row r="71" spans="1:30" ht="22.35" customHeight="1">
      <c r="A71" s="310" t="s">
        <v>8</v>
      </c>
      <c r="B71" s="310" t="s">
        <v>88</v>
      </c>
      <c r="C71" s="1340">
        <v>46058</v>
      </c>
      <c r="D71" s="662">
        <v>6</v>
      </c>
      <c r="E71" s="310">
        <v>260.5</v>
      </c>
      <c r="F71" s="392">
        <v>1563</v>
      </c>
      <c r="G71" s="310">
        <v>90</v>
      </c>
      <c r="H71" s="310">
        <v>290.72000000000003</v>
      </c>
      <c r="I71" s="310">
        <v>326.45999999999998</v>
      </c>
      <c r="J71" s="325">
        <v>945.82</v>
      </c>
      <c r="K71" s="663"/>
      <c r="L71" s="319" t="s">
        <v>276</v>
      </c>
      <c r="M71" s="551"/>
      <c r="N71" s="577" t="s">
        <v>3659</v>
      </c>
      <c r="O71" s="617" t="s">
        <v>283</v>
      </c>
      <c r="P71" s="618" t="s">
        <v>1113</v>
      </c>
      <c r="Q71" s="668">
        <v>45979</v>
      </c>
      <c r="R71" s="670" t="s">
        <v>3661</v>
      </c>
      <c r="S71" s="620"/>
      <c r="T71" s="677">
        <v>5581981340301</v>
      </c>
      <c r="U71" s="658"/>
      <c r="V71" s="622">
        <v>3</v>
      </c>
      <c r="W71" s="623"/>
      <c r="X71" s="622">
        <v>0</v>
      </c>
      <c r="Y71" s="623">
        <v>0</v>
      </c>
      <c r="Z71" s="625"/>
      <c r="AA71" s="540" t="e">
        <v>#N/A</v>
      </c>
      <c r="AB71" s="540" t="e">
        <v>#N/A</v>
      </c>
      <c r="AC71" s="310" t="e">
        <v>#N/A</v>
      </c>
      <c r="AD71" s="626" t="e">
        <v>#N/A</v>
      </c>
    </row>
    <row r="72" spans="1:30" ht="22.35" customHeight="1">
      <c r="A72" s="310" t="s">
        <v>10</v>
      </c>
      <c r="B72" s="323" t="s">
        <v>23</v>
      </c>
      <c r="C72" s="1337">
        <v>46056</v>
      </c>
      <c r="D72" s="661">
        <v>3</v>
      </c>
      <c r="E72" s="310">
        <v>142.72999999999999</v>
      </c>
      <c r="F72" s="392">
        <v>428.2</v>
      </c>
      <c r="G72" s="310">
        <v>70</v>
      </c>
      <c r="H72" s="310">
        <v>79.599999999999994</v>
      </c>
      <c r="I72" s="310">
        <v>125.72</v>
      </c>
      <c r="J72" s="325">
        <v>222.88</v>
      </c>
      <c r="K72" s="326"/>
      <c r="L72" s="319" t="s">
        <v>276</v>
      </c>
      <c r="M72" s="320"/>
      <c r="N72" s="577" t="s">
        <v>3894</v>
      </c>
      <c r="O72" s="607" t="s">
        <v>283</v>
      </c>
      <c r="P72" s="609" t="s">
        <v>1114</v>
      </c>
      <c r="Q72" s="659">
        <v>46047</v>
      </c>
      <c r="R72" s="667" t="s">
        <v>3895</v>
      </c>
      <c r="S72" s="568"/>
      <c r="T72" s="655">
        <v>60127178995</v>
      </c>
      <c r="U72" s="648"/>
      <c r="V72" s="608">
        <v>2</v>
      </c>
      <c r="W72" s="610"/>
      <c r="X72" s="608">
        <v>0</v>
      </c>
      <c r="Y72" s="610"/>
      <c r="Z72" s="570"/>
      <c r="AA72" s="540" t="e">
        <v>#N/A</v>
      </c>
      <c r="AB72" s="540" t="e">
        <v>#N/A</v>
      </c>
      <c r="AC72" s="310" t="e">
        <v>#N/A</v>
      </c>
      <c r="AD72" s="611" t="e">
        <v>#N/A</v>
      </c>
    </row>
    <row r="73" spans="1:30" ht="22.35" customHeight="1">
      <c r="A73" s="310" t="s">
        <v>8</v>
      </c>
      <c r="B73" s="310" t="s">
        <v>88</v>
      </c>
      <c r="C73" s="1337">
        <v>46053</v>
      </c>
      <c r="D73" s="324">
        <v>4</v>
      </c>
      <c r="E73" s="310">
        <v>261.24</v>
      </c>
      <c r="F73" s="392">
        <v>1044.97</v>
      </c>
      <c r="G73" s="310">
        <v>90</v>
      </c>
      <c r="H73" s="310">
        <v>194.36</v>
      </c>
      <c r="I73" s="310">
        <v>242.12</v>
      </c>
      <c r="J73" s="325">
        <v>608.49</v>
      </c>
      <c r="K73" s="663"/>
      <c r="L73" s="319" t="s">
        <v>276</v>
      </c>
      <c r="M73" s="320"/>
      <c r="N73" s="577" t="s">
        <v>3642</v>
      </c>
      <c r="O73" s="607" t="s">
        <v>283</v>
      </c>
      <c r="P73" s="609" t="s">
        <v>1113</v>
      </c>
      <c r="Q73" s="659">
        <v>45964</v>
      </c>
      <c r="R73" s="670" t="s">
        <v>3643</v>
      </c>
      <c r="S73" s="568"/>
      <c r="T73" s="607">
        <v>821040316540</v>
      </c>
      <c r="U73" s="648"/>
      <c r="V73" s="608">
        <v>4</v>
      </c>
      <c r="W73" s="610"/>
      <c r="X73" s="608">
        <v>0</v>
      </c>
      <c r="Y73" s="610">
        <v>0</v>
      </c>
      <c r="Z73" s="570"/>
      <c r="AA73" s="540" t="e">
        <v>#N/A</v>
      </c>
      <c r="AB73" s="540" t="e">
        <v>#N/A</v>
      </c>
      <c r="AC73" s="310" t="e">
        <v>#N/A</v>
      </c>
      <c r="AD73" s="611" t="e">
        <v>#N/A</v>
      </c>
    </row>
    <row r="74" spans="1:30" ht="22.35" customHeight="1">
      <c r="A74" s="310" t="s">
        <v>10</v>
      </c>
      <c r="B74" s="310" t="s">
        <v>88</v>
      </c>
      <c r="C74" s="1337">
        <v>46050</v>
      </c>
      <c r="D74" s="324">
        <v>6</v>
      </c>
      <c r="E74" s="310">
        <v>195.67</v>
      </c>
      <c r="F74" s="392">
        <v>1174</v>
      </c>
      <c r="G74" s="310">
        <v>70</v>
      </c>
      <c r="H74" s="310">
        <v>218.36</v>
      </c>
      <c r="I74" s="310">
        <v>247.13</v>
      </c>
      <c r="J74" s="325">
        <v>708.51</v>
      </c>
      <c r="K74" s="326">
        <v>0</v>
      </c>
      <c r="L74" s="319" t="s">
        <v>276</v>
      </c>
      <c r="M74" s="320">
        <v>4</v>
      </c>
      <c r="N74" s="577" t="s">
        <v>3670</v>
      </c>
      <c r="O74" s="607" t="s">
        <v>283</v>
      </c>
      <c r="P74" s="609" t="s">
        <v>1114</v>
      </c>
      <c r="Q74" s="659">
        <v>45983</v>
      </c>
      <c r="R74" s="670" t="s">
        <v>3671</v>
      </c>
      <c r="S74" s="568"/>
      <c r="T74" s="655">
        <v>555181488485</v>
      </c>
      <c r="U74" s="648"/>
      <c r="V74" s="608">
        <v>3</v>
      </c>
      <c r="W74" s="610"/>
      <c r="X74" s="608">
        <v>0</v>
      </c>
      <c r="Y74" s="610">
        <v>0</v>
      </c>
      <c r="Z74" s="570"/>
      <c r="AA74" s="540" t="e">
        <v>#N/A</v>
      </c>
      <c r="AB74" s="540" t="e">
        <v>#N/A</v>
      </c>
      <c r="AC74" s="310" t="e">
        <v>#N/A</v>
      </c>
      <c r="AD74" s="611" t="e">
        <v>#N/A</v>
      </c>
    </row>
    <row r="75" spans="1:30" ht="22.35" customHeight="1">
      <c r="A75" s="310" t="s">
        <v>8</v>
      </c>
      <c r="B75" s="310" t="s">
        <v>88</v>
      </c>
      <c r="C75" s="1337">
        <v>46049</v>
      </c>
      <c r="D75" s="324">
        <v>3</v>
      </c>
      <c r="E75" s="310">
        <v>271.33</v>
      </c>
      <c r="F75" s="392">
        <v>814</v>
      </c>
      <c r="G75" s="310">
        <v>90</v>
      </c>
      <c r="H75" s="310">
        <v>151.41</v>
      </c>
      <c r="I75" s="310">
        <v>204.52</v>
      </c>
      <c r="J75" s="325">
        <v>458.07</v>
      </c>
      <c r="K75" s="663"/>
      <c r="L75" s="319" t="s">
        <v>276</v>
      </c>
      <c r="M75" s="320">
        <v>5</v>
      </c>
      <c r="N75" s="577" t="s">
        <v>3675</v>
      </c>
      <c r="O75" s="607" t="s">
        <v>283</v>
      </c>
      <c r="P75" s="609" t="s">
        <v>1113</v>
      </c>
      <c r="Q75" s="659">
        <v>45985</v>
      </c>
      <c r="R75" s="670" t="s">
        <v>3677</v>
      </c>
      <c r="S75" s="568"/>
      <c r="T75" s="655">
        <v>19073886830</v>
      </c>
      <c r="U75" s="648"/>
      <c r="V75" s="608">
        <v>4</v>
      </c>
      <c r="W75" s="610"/>
      <c r="X75" s="608">
        <v>0</v>
      </c>
      <c r="Y75" s="610">
        <v>0</v>
      </c>
      <c r="Z75" s="570"/>
      <c r="AA75" s="540" t="e">
        <v>#N/A</v>
      </c>
      <c r="AB75" s="540" t="e">
        <v>#N/A</v>
      </c>
      <c r="AC75" s="310" t="e">
        <v>#N/A</v>
      </c>
      <c r="AD75" s="611" t="e">
        <v>#N/A</v>
      </c>
    </row>
    <row r="76" spans="1:30" ht="22.35" customHeight="1">
      <c r="A76" s="310" t="s">
        <v>8</v>
      </c>
      <c r="B76" s="310" t="s">
        <v>23</v>
      </c>
      <c r="C76" s="1337">
        <v>46042</v>
      </c>
      <c r="D76" s="324">
        <v>5</v>
      </c>
      <c r="E76" s="310">
        <v>249.3</v>
      </c>
      <c r="F76" s="392">
        <v>1246.5</v>
      </c>
      <c r="G76" s="310">
        <v>90</v>
      </c>
      <c r="H76" s="310">
        <v>231.55</v>
      </c>
      <c r="I76" s="310">
        <v>274.99</v>
      </c>
      <c r="J76" s="325">
        <v>739.96</v>
      </c>
      <c r="K76" s="663"/>
      <c r="L76" s="319" t="s">
        <v>276</v>
      </c>
      <c r="M76" s="320">
        <v>9</v>
      </c>
      <c r="N76" s="577" t="s">
        <v>3649</v>
      </c>
      <c r="O76" s="607" t="s">
        <v>283</v>
      </c>
      <c r="P76" s="609" t="s">
        <v>1113</v>
      </c>
      <c r="Q76" s="659">
        <v>45971</v>
      </c>
      <c r="R76" s="670" t="s">
        <v>3650</v>
      </c>
      <c r="S76" s="568"/>
      <c r="T76" s="607">
        <v>33686478917</v>
      </c>
      <c r="U76" s="648"/>
      <c r="V76" s="608">
        <v>2</v>
      </c>
      <c r="W76" s="610"/>
      <c r="X76" s="608">
        <v>0</v>
      </c>
      <c r="Y76" s="610"/>
      <c r="Z76" s="570"/>
      <c r="AA76" s="540" t="e">
        <v>#N/A</v>
      </c>
      <c r="AB76" s="540" t="e">
        <v>#N/A</v>
      </c>
      <c r="AC76" s="310" t="e">
        <v>#N/A</v>
      </c>
      <c r="AD76" s="611" t="e">
        <v>#N/A</v>
      </c>
    </row>
    <row r="77" spans="1:30" ht="22.35" customHeight="1">
      <c r="A77" s="310" t="s">
        <v>8</v>
      </c>
      <c r="B77" s="310" t="s">
        <v>88</v>
      </c>
      <c r="C77" s="1340">
        <v>46036</v>
      </c>
      <c r="D77" s="662">
        <v>3</v>
      </c>
      <c r="E77" s="310">
        <v>297.67</v>
      </c>
      <c r="F77" s="392">
        <v>893</v>
      </c>
      <c r="G77" s="310">
        <v>90</v>
      </c>
      <c r="H77" s="310">
        <v>166.1</v>
      </c>
      <c r="I77" s="310">
        <v>217.38</v>
      </c>
      <c r="J77" s="325">
        <v>509.52</v>
      </c>
      <c r="K77" s="326"/>
      <c r="L77" s="319" t="s">
        <v>276</v>
      </c>
      <c r="M77" s="551"/>
      <c r="N77" s="577" t="s">
        <v>3699</v>
      </c>
      <c r="O77" s="617" t="s">
        <v>283</v>
      </c>
      <c r="P77" s="618" t="s">
        <v>1113</v>
      </c>
      <c r="Q77" s="668">
        <v>46010</v>
      </c>
      <c r="R77" s="670" t="s">
        <v>3700</v>
      </c>
      <c r="S77" s="620"/>
      <c r="T77" s="677">
        <v>33675462445</v>
      </c>
      <c r="U77" s="658"/>
      <c r="V77" s="622">
        <v>4</v>
      </c>
      <c r="W77" s="623"/>
      <c r="X77" s="622">
        <v>0</v>
      </c>
      <c r="Y77" s="623">
        <v>0</v>
      </c>
      <c r="Z77" s="625"/>
      <c r="AA77" s="540" t="e">
        <v>#N/A</v>
      </c>
      <c r="AB77" s="540" t="e">
        <v>#N/A</v>
      </c>
      <c r="AC77" s="310" t="e">
        <v>#N/A</v>
      </c>
      <c r="AD77" s="626" t="e">
        <v>#N/A</v>
      </c>
    </row>
    <row r="78" spans="1:30" ht="22.35" customHeight="1">
      <c r="A78" s="310" t="s">
        <v>10</v>
      </c>
      <c r="B78" s="310" t="s">
        <v>88</v>
      </c>
      <c r="C78" s="1340">
        <v>46030</v>
      </c>
      <c r="D78" s="665">
        <v>17</v>
      </c>
      <c r="E78" s="310">
        <v>160.88999999999999</v>
      </c>
      <c r="F78" s="392">
        <v>2735.05</v>
      </c>
      <c r="G78" s="310">
        <v>70</v>
      </c>
      <c r="H78" s="310">
        <v>508.72</v>
      </c>
      <c r="I78" s="310">
        <v>501.27</v>
      </c>
      <c r="J78" s="325">
        <v>1725.06</v>
      </c>
      <c r="K78" s="666"/>
      <c r="L78" s="319" t="s">
        <v>276</v>
      </c>
      <c r="M78" s="551"/>
      <c r="N78" s="577" t="s">
        <v>3672</v>
      </c>
      <c r="O78" s="617" t="s">
        <v>283</v>
      </c>
      <c r="P78" s="618" t="s">
        <v>1114</v>
      </c>
      <c r="Q78" s="668">
        <v>45984</v>
      </c>
      <c r="R78" s="669" t="s">
        <v>3673</v>
      </c>
      <c r="S78" s="620"/>
      <c r="T78" s="677">
        <v>18182452850</v>
      </c>
      <c r="U78" s="658"/>
      <c r="V78" s="622">
        <v>1</v>
      </c>
      <c r="W78" s="623"/>
      <c r="X78" s="622">
        <v>0</v>
      </c>
      <c r="Y78" s="623">
        <v>0</v>
      </c>
      <c r="Z78" s="625"/>
      <c r="AA78" s="540" t="e">
        <v>#N/A</v>
      </c>
      <c r="AB78" s="540" t="e">
        <v>#N/A</v>
      </c>
      <c r="AC78" s="310" t="e">
        <v>#N/A</v>
      </c>
      <c r="AD78" s="626" t="e">
        <v>#N/A</v>
      </c>
    </row>
    <row r="79" spans="1:30" ht="22.35" customHeight="1">
      <c r="A79" s="310" t="s">
        <v>15</v>
      </c>
      <c r="B79" s="310" t="s">
        <v>88</v>
      </c>
      <c r="C79" s="1337">
        <v>46030</v>
      </c>
      <c r="D79" s="324">
        <v>142</v>
      </c>
      <c r="E79" s="310">
        <v>89.63</v>
      </c>
      <c r="F79" s="392">
        <v>12727.2</v>
      </c>
      <c r="G79" s="310">
        <v>75</v>
      </c>
      <c r="H79" s="310">
        <v>2367.25</v>
      </c>
      <c r="I79" s="310">
        <v>1161.0899999999999</v>
      </c>
      <c r="J79" s="325">
        <v>9050.76</v>
      </c>
      <c r="K79" s="326"/>
      <c r="L79" s="319">
        <v>1953.43</v>
      </c>
      <c r="M79" s="628"/>
      <c r="N79" s="645" t="s">
        <v>3684</v>
      </c>
      <c r="O79" s="607" t="s">
        <v>278</v>
      </c>
      <c r="P79" s="609" t="s">
        <v>1115</v>
      </c>
      <c r="Q79" s="567">
        <v>45989</v>
      </c>
      <c r="R79" s="321" t="s">
        <v>3685</v>
      </c>
      <c r="S79" s="568"/>
      <c r="T79" s="655">
        <v>971554427751</v>
      </c>
      <c r="U79" s="648"/>
      <c r="V79" s="608">
        <v>1</v>
      </c>
      <c r="W79" s="610"/>
      <c r="X79" s="251">
        <v>0</v>
      </c>
      <c r="Y79" s="251">
        <v>0</v>
      </c>
      <c r="Z79" s="570"/>
      <c r="AA79" s="646" t="e">
        <v>#N/A</v>
      </c>
      <c r="AB79" s="647" t="e">
        <v>#N/A</v>
      </c>
      <c r="AC79" s="310" t="e">
        <v>#N/A</v>
      </c>
      <c r="AD79" s="611" t="e">
        <v>#N/A</v>
      </c>
    </row>
    <row r="80" spans="1:30" ht="22.35" customHeight="1">
      <c r="A80" s="310" t="s">
        <v>8</v>
      </c>
      <c r="B80" s="310" t="s">
        <v>23</v>
      </c>
      <c r="C80" s="1337">
        <v>46030</v>
      </c>
      <c r="D80" s="324">
        <v>3</v>
      </c>
      <c r="E80" s="310">
        <v>282.3</v>
      </c>
      <c r="F80" s="392">
        <v>846.9</v>
      </c>
      <c r="G80" s="310">
        <v>90</v>
      </c>
      <c r="H80" s="310">
        <v>157.55000000000001</v>
      </c>
      <c r="I80" s="310">
        <v>209.87</v>
      </c>
      <c r="J80" s="325">
        <v>479.48</v>
      </c>
      <c r="K80" s="663"/>
      <c r="L80" s="319" t="s">
        <v>276</v>
      </c>
      <c r="M80" s="628">
        <v>10</v>
      </c>
      <c r="N80" s="645" t="s">
        <v>3653</v>
      </c>
      <c r="O80" s="607" t="s">
        <v>283</v>
      </c>
      <c r="P80" s="609" t="s">
        <v>1113</v>
      </c>
      <c r="Q80" s="567">
        <v>45974</v>
      </c>
      <c r="R80" s="321" t="s">
        <v>3654</v>
      </c>
      <c r="S80" s="568"/>
      <c r="T80" s="655">
        <v>18027343958</v>
      </c>
      <c r="U80" s="648"/>
      <c r="V80" s="608">
        <v>4</v>
      </c>
      <c r="W80" s="610"/>
      <c r="X80" s="251">
        <v>0</v>
      </c>
      <c r="Y80" s="251"/>
      <c r="Z80" s="570"/>
      <c r="AA80" s="646" t="e">
        <v>#N/A</v>
      </c>
      <c r="AB80" s="647" t="e">
        <v>#N/A</v>
      </c>
      <c r="AC80" s="310" t="e">
        <v>#N/A</v>
      </c>
      <c r="AD80" s="611" t="e">
        <v>#N/A</v>
      </c>
    </row>
    <row r="81" spans="1:30" ht="22.35" customHeight="1">
      <c r="A81" s="310" t="s">
        <v>10</v>
      </c>
      <c r="B81" s="310" t="s">
        <v>88</v>
      </c>
      <c r="C81" s="1337">
        <v>46026</v>
      </c>
      <c r="D81" s="324">
        <v>4</v>
      </c>
      <c r="E81" s="310">
        <v>164.43</v>
      </c>
      <c r="F81" s="392">
        <v>657.7</v>
      </c>
      <c r="G81" s="310">
        <v>70</v>
      </c>
      <c r="H81" s="310">
        <v>122.33</v>
      </c>
      <c r="I81" s="310">
        <v>163.07</v>
      </c>
      <c r="J81" s="325">
        <v>372.3</v>
      </c>
      <c r="K81" s="326"/>
      <c r="L81" s="319" t="s">
        <v>276</v>
      </c>
      <c r="M81" s="628">
        <v>5</v>
      </c>
      <c r="N81" s="645" t="s">
        <v>3701</v>
      </c>
      <c r="O81" s="607" t="s">
        <v>283</v>
      </c>
      <c r="P81" s="609" t="s">
        <v>1114</v>
      </c>
      <c r="Q81" s="567">
        <v>46013</v>
      </c>
      <c r="R81" s="321" t="s">
        <v>3702</v>
      </c>
      <c r="S81" s="568"/>
      <c r="T81" s="655">
        <v>13343338855</v>
      </c>
      <c r="U81" s="648"/>
      <c r="V81" s="608">
        <v>2</v>
      </c>
      <c r="W81" s="610"/>
      <c r="X81" s="251">
        <v>0</v>
      </c>
      <c r="Y81" s="251">
        <v>0</v>
      </c>
      <c r="Z81" s="570"/>
      <c r="AA81" s="646" t="e">
        <v>#N/A</v>
      </c>
      <c r="AB81" s="647" t="e">
        <v>#N/A</v>
      </c>
      <c r="AC81" s="310" t="e">
        <v>#N/A</v>
      </c>
      <c r="AD81" s="611" t="e">
        <v>#N/A</v>
      </c>
    </row>
    <row r="82" spans="1:30" ht="22.35" customHeight="1">
      <c r="A82" s="310" t="s">
        <v>8</v>
      </c>
      <c r="B82" s="310" t="s">
        <v>23</v>
      </c>
      <c r="C82" s="1337">
        <v>46024</v>
      </c>
      <c r="D82" s="324">
        <v>4</v>
      </c>
      <c r="E82" s="310">
        <v>361.6</v>
      </c>
      <c r="F82" s="392" t="s">
        <v>3460</v>
      </c>
      <c r="G82" s="549">
        <v>90</v>
      </c>
      <c r="H82" s="310">
        <v>267.88</v>
      </c>
      <c r="I82" s="310">
        <v>307.7</v>
      </c>
      <c r="J82" s="325">
        <v>870.81</v>
      </c>
      <c r="K82" s="326"/>
      <c r="L82" s="319" t="s">
        <v>276</v>
      </c>
      <c r="M82" s="628">
        <v>9</v>
      </c>
      <c r="N82" s="630" t="s">
        <v>3384</v>
      </c>
      <c r="O82" s="543" t="s">
        <v>283</v>
      </c>
      <c r="P82" s="544"/>
      <c r="Q82" s="201">
        <v>45899</v>
      </c>
      <c r="R82" s="330" t="s">
        <v>3461</v>
      </c>
      <c r="S82" s="203"/>
      <c r="T82" s="543"/>
      <c r="U82" s="631"/>
      <c r="V82" s="545"/>
      <c r="W82" s="546"/>
      <c r="X82" s="205"/>
      <c r="Y82" s="205"/>
      <c r="Z82" s="206"/>
      <c r="AA82" s="629"/>
      <c r="AB82" s="632"/>
      <c r="AC82" s="394"/>
      <c r="AD82" s="548"/>
    </row>
    <row r="83" spans="1:30" ht="22.35" customHeight="1">
      <c r="A83" s="310" t="s">
        <v>10</v>
      </c>
      <c r="B83" s="323" t="s">
        <v>23</v>
      </c>
      <c r="C83" s="1337">
        <v>46023</v>
      </c>
      <c r="D83" s="324">
        <v>3</v>
      </c>
      <c r="E83" s="310">
        <v>273.33</v>
      </c>
      <c r="F83" s="392" t="s">
        <v>3320</v>
      </c>
      <c r="G83" s="442">
        <v>70</v>
      </c>
      <c r="H83" s="310">
        <v>152.19</v>
      </c>
      <c r="I83" s="310">
        <v>189.56</v>
      </c>
      <c r="J83" s="325">
        <v>478.25</v>
      </c>
      <c r="K83" s="326">
        <v>0</v>
      </c>
      <c r="L83" s="319" t="s">
        <v>276</v>
      </c>
      <c r="M83" s="320"/>
      <c r="N83" s="676" t="s">
        <v>3324</v>
      </c>
      <c r="O83" s="543" t="s">
        <v>283</v>
      </c>
      <c r="P83" s="544"/>
      <c r="Q83" s="201">
        <v>45886</v>
      </c>
      <c r="R83" s="330" t="s">
        <v>3319</v>
      </c>
      <c r="S83" s="203"/>
      <c r="T83" s="543"/>
      <c r="U83" s="631"/>
      <c r="V83" s="545"/>
      <c r="W83" s="546"/>
      <c r="X83" s="205"/>
      <c r="Y83" s="205"/>
      <c r="Z83" s="206"/>
      <c r="AA83" s="328"/>
      <c r="AB83" s="679"/>
      <c r="AC83" s="394"/>
      <c r="AD83" s="548"/>
    </row>
    <row r="84" spans="1:30" ht="22.35" customHeight="1">
      <c r="A84" s="310" t="s">
        <v>10</v>
      </c>
      <c r="B84" s="323" t="s">
        <v>23</v>
      </c>
      <c r="C84" s="1337">
        <v>46019</v>
      </c>
      <c r="D84" s="324">
        <v>3</v>
      </c>
      <c r="E84" s="310">
        <v>283.33</v>
      </c>
      <c r="F84" s="392" t="s">
        <v>1161</v>
      </c>
      <c r="G84" s="310">
        <v>70</v>
      </c>
      <c r="H84" s="310">
        <v>157.71</v>
      </c>
      <c r="I84" s="310">
        <v>194.46</v>
      </c>
      <c r="J84" s="325">
        <v>497.83</v>
      </c>
      <c r="K84" s="326"/>
      <c r="L84" s="319" t="s">
        <v>276</v>
      </c>
      <c r="M84" s="320">
        <v>9</v>
      </c>
      <c r="N84" s="576" t="s">
        <v>2994</v>
      </c>
      <c r="O84" s="543" t="s">
        <v>283</v>
      </c>
      <c r="P84" s="544"/>
      <c r="Q84" s="201">
        <v>45699</v>
      </c>
      <c r="R84" s="330" t="s">
        <v>2289</v>
      </c>
      <c r="S84" s="203"/>
      <c r="T84" s="543"/>
      <c r="U84" s="631"/>
      <c r="V84" s="545"/>
      <c r="W84" s="546"/>
      <c r="X84" s="205"/>
      <c r="Y84" s="205"/>
      <c r="Z84" s="206"/>
      <c r="AA84" s="328"/>
      <c r="AB84" s="328"/>
      <c r="AC84" s="394"/>
      <c r="AD84" s="548"/>
    </row>
    <row r="85" spans="1:30" ht="22.35" customHeight="1">
      <c r="A85" s="310" t="s">
        <v>8</v>
      </c>
      <c r="B85" s="323" t="s">
        <v>23</v>
      </c>
      <c r="C85" s="1337">
        <v>46015</v>
      </c>
      <c r="D85" s="324">
        <v>9</v>
      </c>
      <c r="E85" s="310">
        <v>351.11</v>
      </c>
      <c r="F85" s="392" t="s">
        <v>3462</v>
      </c>
      <c r="G85" s="310">
        <v>90</v>
      </c>
      <c r="H85" s="310">
        <v>588.41999999999996</v>
      </c>
      <c r="I85" s="310">
        <v>586.32000000000005</v>
      </c>
      <c r="J85" s="325">
        <v>1985.26</v>
      </c>
      <c r="K85" s="326"/>
      <c r="L85" s="319" t="s">
        <v>276</v>
      </c>
      <c r="M85" s="320">
        <v>9</v>
      </c>
      <c r="N85" s="576" t="s">
        <v>2995</v>
      </c>
      <c r="O85" s="543" t="s">
        <v>283</v>
      </c>
      <c r="P85" s="544"/>
      <c r="Q85" s="201">
        <v>45625</v>
      </c>
      <c r="R85" s="330" t="s">
        <v>3463</v>
      </c>
      <c r="S85" s="203"/>
      <c r="T85" s="543"/>
      <c r="U85" s="631"/>
      <c r="V85" s="545"/>
      <c r="W85" s="546"/>
      <c r="X85" s="205"/>
      <c r="Y85" s="205"/>
      <c r="Z85" s="206"/>
      <c r="AA85" s="328"/>
      <c r="AB85" s="328"/>
      <c r="AC85" s="394"/>
      <c r="AD85" s="548"/>
    </row>
    <row r="86" spans="1:30" ht="22.35" customHeight="1">
      <c r="A86" s="310" t="s">
        <v>8</v>
      </c>
      <c r="B86" s="310" t="s">
        <v>88</v>
      </c>
      <c r="C86" s="1337">
        <v>46013</v>
      </c>
      <c r="D86" s="324">
        <v>2</v>
      </c>
      <c r="E86" s="310">
        <v>305.72000000000003</v>
      </c>
      <c r="F86" s="392">
        <v>611.44000000000005</v>
      </c>
      <c r="G86" s="310">
        <v>90</v>
      </c>
      <c r="H86" s="310">
        <v>113.72</v>
      </c>
      <c r="I86" s="310">
        <v>171.54</v>
      </c>
      <c r="J86" s="325">
        <v>326.18</v>
      </c>
      <c r="K86" s="326"/>
      <c r="L86" s="319" t="s">
        <v>276</v>
      </c>
      <c r="M86" s="628">
        <v>5</v>
      </c>
      <c r="N86" s="645" t="s">
        <v>3655</v>
      </c>
      <c r="O86" s="607" t="s">
        <v>283</v>
      </c>
      <c r="P86" s="609" t="s">
        <v>1113</v>
      </c>
      <c r="Q86" s="567">
        <v>45975</v>
      </c>
      <c r="R86" s="321" t="s">
        <v>3656</v>
      </c>
      <c r="S86" s="568"/>
      <c r="T86" s="655">
        <v>33608848079</v>
      </c>
      <c r="U86" s="648"/>
      <c r="V86" s="608">
        <v>2</v>
      </c>
      <c r="W86" s="610"/>
      <c r="X86" s="251">
        <v>0</v>
      </c>
      <c r="Y86" s="251">
        <v>0</v>
      </c>
      <c r="Z86" s="570"/>
      <c r="AA86" s="646" t="e">
        <v>#N/A</v>
      </c>
      <c r="AB86" s="647" t="e">
        <v>#N/A</v>
      </c>
      <c r="AC86" s="310" t="e">
        <v>#N/A</v>
      </c>
      <c r="AD86" s="611" t="e">
        <v>#N/A</v>
      </c>
    </row>
    <row r="87" spans="1:30" ht="22.35" customHeight="1">
      <c r="A87" s="310" t="s">
        <v>8</v>
      </c>
      <c r="B87" s="310" t="s">
        <v>88</v>
      </c>
      <c r="C87" s="1337">
        <v>46010</v>
      </c>
      <c r="D87" s="324">
        <v>3</v>
      </c>
      <c r="E87" s="310">
        <v>360</v>
      </c>
      <c r="F87" s="392">
        <v>1080</v>
      </c>
      <c r="G87" s="310">
        <v>90</v>
      </c>
      <c r="H87" s="310">
        <v>194.4</v>
      </c>
      <c r="I87" s="310">
        <v>249.12</v>
      </c>
      <c r="J87" s="325">
        <v>636.48</v>
      </c>
      <c r="K87" s="326"/>
      <c r="L87" s="319" t="s">
        <v>276</v>
      </c>
      <c r="M87" s="628">
        <v>5</v>
      </c>
      <c r="N87" s="630" t="s">
        <v>3073</v>
      </c>
      <c r="O87" s="543" t="s">
        <v>283</v>
      </c>
      <c r="P87" s="544" t="s">
        <v>89</v>
      </c>
      <c r="Q87" s="201">
        <v>45833</v>
      </c>
      <c r="R87" s="327" t="s">
        <v>3069</v>
      </c>
      <c r="S87" s="203">
        <v>9473450</v>
      </c>
      <c r="T87" s="543" t="s">
        <v>3070</v>
      </c>
      <c r="U87" s="631" t="s">
        <v>2973</v>
      </c>
      <c r="V87" s="545">
        <v>4</v>
      </c>
      <c r="W87" s="546">
        <v>0</v>
      </c>
      <c r="X87" s="205">
        <v>0</v>
      </c>
      <c r="Y87" s="205">
        <v>0</v>
      </c>
      <c r="Z87" s="206">
        <v>1138810608</v>
      </c>
      <c r="AA87" s="629"/>
      <c r="AB87" s="632"/>
      <c r="AC87" s="394"/>
      <c r="AD87" s="548"/>
    </row>
    <row r="88" spans="1:30" ht="22.35" customHeight="1">
      <c r="A88" s="310" t="s">
        <v>8</v>
      </c>
      <c r="B88" s="310" t="s">
        <v>88</v>
      </c>
      <c r="C88" s="1337">
        <v>46008</v>
      </c>
      <c r="D88" s="324">
        <v>2</v>
      </c>
      <c r="E88" s="310">
        <v>295.98</v>
      </c>
      <c r="F88" s="392">
        <v>591.96</v>
      </c>
      <c r="G88" s="549">
        <v>90</v>
      </c>
      <c r="H88" s="310">
        <v>106.55</v>
      </c>
      <c r="I88" s="310">
        <v>169.08</v>
      </c>
      <c r="J88" s="325">
        <v>316.33</v>
      </c>
      <c r="K88" s="326"/>
      <c r="L88" s="319" t="s">
        <v>276</v>
      </c>
      <c r="M88" s="628"/>
      <c r="N88" s="630" t="s">
        <v>3422</v>
      </c>
      <c r="O88" s="543" t="s">
        <v>283</v>
      </c>
      <c r="P88" s="544" t="s">
        <v>89</v>
      </c>
      <c r="Q88" s="201">
        <v>45904</v>
      </c>
      <c r="R88" s="327" t="s">
        <v>3419</v>
      </c>
      <c r="S88" s="203">
        <v>170702666</v>
      </c>
      <c r="T88" s="543" t="s">
        <v>3420</v>
      </c>
      <c r="U88" s="631" t="s">
        <v>345</v>
      </c>
      <c r="V88" s="545">
        <v>2</v>
      </c>
      <c r="W88" s="546">
        <v>2</v>
      </c>
      <c r="X88" s="205">
        <v>0</v>
      </c>
      <c r="Y88" s="205">
        <v>0</v>
      </c>
      <c r="Z88" s="206">
        <v>1181919454</v>
      </c>
      <c r="AA88" s="629"/>
      <c r="AB88" s="632"/>
      <c r="AC88" s="394"/>
      <c r="AD88" s="548"/>
    </row>
    <row r="89" spans="1:30" ht="22.35" customHeight="1">
      <c r="A89" s="310" t="s">
        <v>10</v>
      </c>
      <c r="B89" s="310" t="s">
        <v>88</v>
      </c>
      <c r="C89" s="1337">
        <v>46006</v>
      </c>
      <c r="D89" s="550">
        <v>12</v>
      </c>
      <c r="E89" s="310">
        <v>262.94</v>
      </c>
      <c r="F89" s="627">
        <v>3155.33</v>
      </c>
      <c r="G89" s="542">
        <v>70</v>
      </c>
      <c r="H89" s="310">
        <v>567.96</v>
      </c>
      <c r="I89" s="310">
        <v>573.47</v>
      </c>
      <c r="J89" s="325">
        <v>2013.9</v>
      </c>
      <c r="K89" s="326"/>
      <c r="L89" s="319" t="s">
        <v>276</v>
      </c>
      <c r="M89" s="566">
        <v>5</v>
      </c>
      <c r="N89" s="645" t="s">
        <v>3598</v>
      </c>
      <c r="O89" s="617" t="s">
        <v>283</v>
      </c>
      <c r="P89" s="618" t="s">
        <v>1114</v>
      </c>
      <c r="Q89" s="619">
        <v>45929</v>
      </c>
      <c r="R89" s="321" t="s">
        <v>3599</v>
      </c>
      <c r="S89" s="620"/>
      <c r="T89" s="617">
        <v>14802864933</v>
      </c>
      <c r="U89" s="658"/>
      <c r="V89" s="622">
        <v>2</v>
      </c>
      <c r="W89" s="623"/>
      <c r="X89" s="624">
        <v>0</v>
      </c>
      <c r="Y89" s="624">
        <v>0</v>
      </c>
      <c r="Z89" s="625"/>
      <c r="AA89" s="646" t="e">
        <v>#N/A</v>
      </c>
      <c r="AB89" s="647" t="e">
        <v>#N/A</v>
      </c>
      <c r="AC89" s="310" t="e">
        <v>#N/A</v>
      </c>
      <c r="AD89" s="626" t="e">
        <v>#N/A</v>
      </c>
    </row>
    <row r="90" spans="1:30" ht="22.35" customHeight="1">
      <c r="A90" s="310" t="s">
        <v>10</v>
      </c>
      <c r="B90" s="323" t="s">
        <v>23</v>
      </c>
      <c r="C90" s="1337">
        <v>46003</v>
      </c>
      <c r="D90" s="324">
        <v>3</v>
      </c>
      <c r="E90" s="310">
        <v>146.93</v>
      </c>
      <c r="F90" s="392">
        <v>440.8</v>
      </c>
      <c r="G90" s="442">
        <v>70</v>
      </c>
      <c r="H90" s="310">
        <v>86.35</v>
      </c>
      <c r="I90" s="310">
        <v>126.89</v>
      </c>
      <c r="J90" s="325">
        <v>227.56</v>
      </c>
      <c r="K90" s="326"/>
      <c r="L90" s="319" t="s">
        <v>276</v>
      </c>
      <c r="M90" s="320">
        <v>9</v>
      </c>
      <c r="N90" s="656" t="s">
        <v>3692</v>
      </c>
      <c r="O90" s="607" t="s">
        <v>283</v>
      </c>
      <c r="P90" s="609" t="s">
        <v>1114</v>
      </c>
      <c r="Q90" s="567">
        <v>45996</v>
      </c>
      <c r="R90" s="321" t="s">
        <v>3693</v>
      </c>
      <c r="S90" s="568"/>
      <c r="T90" s="664">
        <v>33612284128</v>
      </c>
      <c r="U90" s="227"/>
      <c r="V90" s="608">
        <v>2</v>
      </c>
      <c r="W90" s="610"/>
      <c r="X90" s="251">
        <v>0</v>
      </c>
      <c r="Y90" s="251"/>
      <c r="Z90" s="570"/>
      <c r="AA90" s="540" t="e">
        <v>#N/A</v>
      </c>
      <c r="AB90" s="657" t="e">
        <v>#N/A</v>
      </c>
      <c r="AC90" s="310" t="e">
        <v>#N/A</v>
      </c>
      <c r="AD90" s="611" t="e">
        <v>#N/A</v>
      </c>
    </row>
    <row r="91" spans="1:30" ht="22.35" customHeight="1">
      <c r="A91" s="310" t="s">
        <v>8</v>
      </c>
      <c r="B91" s="310" t="s">
        <v>23</v>
      </c>
      <c r="C91" s="1337">
        <v>46003</v>
      </c>
      <c r="D91" s="324">
        <v>4</v>
      </c>
      <c r="E91" s="310">
        <v>352.5</v>
      </c>
      <c r="F91" s="392" t="s">
        <v>3464</v>
      </c>
      <c r="G91" s="310">
        <v>90</v>
      </c>
      <c r="H91" s="325">
        <v>262.44</v>
      </c>
      <c r="I91" s="542">
        <v>301.51</v>
      </c>
      <c r="J91" s="325">
        <v>846.05</v>
      </c>
      <c r="K91" s="326"/>
      <c r="L91" s="319" t="s">
        <v>276</v>
      </c>
      <c r="M91" s="320">
        <v>9</v>
      </c>
      <c r="N91" s="576" t="s">
        <v>3308</v>
      </c>
      <c r="O91" s="543" t="s">
        <v>283</v>
      </c>
      <c r="P91" s="544"/>
      <c r="Q91" s="201">
        <v>45883</v>
      </c>
      <c r="R91" s="330" t="s">
        <v>3465</v>
      </c>
      <c r="S91" s="203"/>
      <c r="T91" s="199"/>
      <c r="U91" s="204"/>
      <c r="V91" s="545"/>
      <c r="W91" s="546"/>
      <c r="X91" s="205"/>
      <c r="Y91" s="205"/>
      <c r="Z91" s="206"/>
      <c r="AA91" s="328"/>
      <c r="AB91" s="328"/>
      <c r="AC91" s="547"/>
      <c r="AD91" s="548"/>
    </row>
    <row r="92" spans="1:30" ht="22.35" customHeight="1">
      <c r="A92" s="310" t="s">
        <v>8</v>
      </c>
      <c r="B92" s="310" t="s">
        <v>88</v>
      </c>
      <c r="C92" s="1337">
        <v>45999</v>
      </c>
      <c r="D92" s="324">
        <v>3</v>
      </c>
      <c r="E92" s="310">
        <v>223.6</v>
      </c>
      <c r="F92" s="392">
        <v>670.8</v>
      </c>
      <c r="G92" s="310">
        <v>90</v>
      </c>
      <c r="H92" s="325">
        <v>124.76</v>
      </c>
      <c r="I92" s="542">
        <v>162.97</v>
      </c>
      <c r="J92" s="325">
        <v>364.83</v>
      </c>
      <c r="K92" s="326"/>
      <c r="L92" s="319" t="s">
        <v>276</v>
      </c>
      <c r="M92" s="320"/>
      <c r="N92" s="577" t="s">
        <v>3689</v>
      </c>
      <c r="O92" s="607" t="s">
        <v>283</v>
      </c>
      <c r="P92" s="609" t="s">
        <v>1113</v>
      </c>
      <c r="Q92" s="567">
        <v>45992</v>
      </c>
      <c r="R92" s="321" t="s">
        <v>3691</v>
      </c>
      <c r="S92" s="568"/>
      <c r="T92" s="664">
        <v>33664028730</v>
      </c>
      <c r="U92" s="227"/>
      <c r="V92" s="608">
        <v>3</v>
      </c>
      <c r="W92" s="610"/>
      <c r="X92" s="251">
        <v>0</v>
      </c>
      <c r="Y92" s="251">
        <v>0</v>
      </c>
      <c r="Z92" s="570"/>
      <c r="AA92" s="540" t="e">
        <v>#N/A</v>
      </c>
      <c r="AB92" s="540" t="e">
        <v>#N/A</v>
      </c>
      <c r="AC92" s="325" t="e">
        <v>#N/A</v>
      </c>
      <c r="AD92" s="611" t="e">
        <v>#N/A</v>
      </c>
    </row>
    <row r="93" spans="1:30" ht="22.35" customHeight="1">
      <c r="A93" s="310" t="s">
        <v>10</v>
      </c>
      <c r="B93" s="310" t="s">
        <v>88</v>
      </c>
      <c r="C93" s="1337">
        <v>45998</v>
      </c>
      <c r="D93" s="324">
        <v>5</v>
      </c>
      <c r="E93" s="310">
        <v>229.39</v>
      </c>
      <c r="F93" s="392">
        <v>1146.97</v>
      </c>
      <c r="G93" s="310">
        <v>70</v>
      </c>
      <c r="H93" s="325">
        <v>206.46</v>
      </c>
      <c r="I93" s="542">
        <v>244.1</v>
      </c>
      <c r="J93" s="325">
        <v>696.41</v>
      </c>
      <c r="K93" s="326"/>
      <c r="L93" s="319" t="s">
        <v>276</v>
      </c>
      <c r="M93" s="320"/>
      <c r="N93" s="577" t="s">
        <v>3626</v>
      </c>
      <c r="O93" s="607" t="s">
        <v>283</v>
      </c>
      <c r="P93" s="609" t="s">
        <v>1114</v>
      </c>
      <c r="Q93" s="567">
        <v>45944</v>
      </c>
      <c r="R93" s="321" t="s">
        <v>3627</v>
      </c>
      <c r="S93" s="568"/>
      <c r="T93" s="569">
        <v>15702170911</v>
      </c>
      <c r="U93" s="227"/>
      <c r="V93" s="608">
        <v>1</v>
      </c>
      <c r="W93" s="610"/>
      <c r="X93" s="251">
        <v>0</v>
      </c>
      <c r="Y93" s="251">
        <v>0</v>
      </c>
      <c r="Z93" s="570"/>
      <c r="AA93" s="540" t="e">
        <v>#N/A</v>
      </c>
      <c r="AB93" s="540" t="e">
        <v>#N/A</v>
      </c>
      <c r="AC93" s="325" t="e">
        <v>#N/A</v>
      </c>
      <c r="AD93" s="611" t="e">
        <v>#N/A</v>
      </c>
    </row>
    <row r="94" spans="1:30" ht="22.35" customHeight="1">
      <c r="A94" s="310" t="s">
        <v>10</v>
      </c>
      <c r="B94" s="549" t="s">
        <v>88</v>
      </c>
      <c r="C94" s="1337">
        <v>45995</v>
      </c>
      <c r="D94" s="324">
        <v>3</v>
      </c>
      <c r="E94" s="310">
        <v>241.89</v>
      </c>
      <c r="F94" s="392">
        <v>725.68</v>
      </c>
      <c r="G94" s="310">
        <v>70</v>
      </c>
      <c r="H94" s="325">
        <v>134.97999999999999</v>
      </c>
      <c r="I94" s="542">
        <v>174.14</v>
      </c>
      <c r="J94" s="325">
        <v>416.56</v>
      </c>
      <c r="K94" s="326"/>
      <c r="L94" s="319" t="s">
        <v>276</v>
      </c>
      <c r="M94" s="320">
        <v>5</v>
      </c>
      <c r="N94" s="577" t="s">
        <v>3660</v>
      </c>
      <c r="O94" s="607" t="s">
        <v>283</v>
      </c>
      <c r="P94" s="609" t="s">
        <v>1114</v>
      </c>
      <c r="Q94" s="567">
        <v>45979</v>
      </c>
      <c r="R94" s="321" t="s">
        <v>3662</v>
      </c>
      <c r="S94" s="568"/>
      <c r="T94" s="664">
        <v>33763503507</v>
      </c>
      <c r="U94" s="227"/>
      <c r="V94" s="608">
        <v>2</v>
      </c>
      <c r="W94" s="610"/>
      <c r="X94" s="251">
        <v>0</v>
      </c>
      <c r="Y94" s="251">
        <v>0</v>
      </c>
      <c r="Z94" s="570"/>
      <c r="AA94" s="540" t="e">
        <v>#N/A</v>
      </c>
      <c r="AB94" s="540" t="e">
        <v>#N/A</v>
      </c>
      <c r="AC94" s="325" t="e">
        <v>#N/A</v>
      </c>
      <c r="AD94" s="611" t="e">
        <v>#N/A</v>
      </c>
    </row>
    <row r="95" spans="1:30" ht="22.35" customHeight="1">
      <c r="A95" s="325" t="s">
        <v>10</v>
      </c>
      <c r="B95" s="310" t="s">
        <v>23</v>
      </c>
      <c r="C95" s="1337">
        <v>45993</v>
      </c>
      <c r="D95" s="550">
        <v>2</v>
      </c>
      <c r="E95" s="310">
        <v>152</v>
      </c>
      <c r="F95" s="392">
        <v>304</v>
      </c>
      <c r="G95" s="310">
        <v>70</v>
      </c>
      <c r="H95" s="325">
        <v>59.51</v>
      </c>
      <c r="I95" s="542">
        <v>104.9</v>
      </c>
      <c r="J95" s="325">
        <v>139.59</v>
      </c>
      <c r="K95" s="326"/>
      <c r="L95" s="319" t="s">
        <v>276</v>
      </c>
      <c r="M95" s="551"/>
      <c r="N95" s="577" t="s">
        <v>3682</v>
      </c>
      <c r="O95" s="617" t="s">
        <v>283</v>
      </c>
      <c r="P95" s="618" t="s">
        <v>1114</v>
      </c>
      <c r="Q95" s="619">
        <v>45989</v>
      </c>
      <c r="R95" s="321" t="s">
        <v>3683</v>
      </c>
      <c r="S95" s="620"/>
      <c r="T95" s="678">
        <v>33672267345</v>
      </c>
      <c r="U95" s="621"/>
      <c r="V95" s="622">
        <v>2</v>
      </c>
      <c r="W95" s="623"/>
      <c r="X95" s="624">
        <v>0</v>
      </c>
      <c r="Y95" s="624"/>
      <c r="Z95" s="625"/>
      <c r="AA95" s="540" t="e">
        <v>#N/A</v>
      </c>
      <c r="AB95" s="540" t="e">
        <v>#N/A</v>
      </c>
      <c r="AC95" s="325" t="e">
        <v>#N/A</v>
      </c>
      <c r="AD95" s="626" t="e">
        <v>#N/A</v>
      </c>
    </row>
    <row r="96" spans="1:30" ht="22.35" customHeight="1">
      <c r="A96" s="310" t="s">
        <v>8</v>
      </c>
      <c r="B96" s="563" t="s">
        <v>3573</v>
      </c>
      <c r="C96" s="1337">
        <v>45993</v>
      </c>
      <c r="D96" s="324">
        <v>5</v>
      </c>
      <c r="E96" s="310">
        <v>217.6</v>
      </c>
      <c r="F96" s="392">
        <v>1088</v>
      </c>
      <c r="G96" s="310">
        <v>90</v>
      </c>
      <c r="H96" s="310">
        <v>0</v>
      </c>
      <c r="I96" s="442">
        <v>289.60000000000002</v>
      </c>
      <c r="J96" s="325">
        <v>798.4</v>
      </c>
      <c r="K96" s="326"/>
      <c r="L96" s="319" t="s">
        <v>276</v>
      </c>
      <c r="M96" s="320"/>
      <c r="N96" s="577" t="s">
        <v>3574</v>
      </c>
      <c r="O96" s="607" t="s">
        <v>283</v>
      </c>
      <c r="P96" s="650" t="s">
        <v>1113</v>
      </c>
      <c r="Q96" s="567">
        <v>45917.340740740743</v>
      </c>
      <c r="R96" s="321" t="s">
        <v>497</v>
      </c>
      <c r="S96" s="568"/>
      <c r="T96" s="569">
        <v>33683213086</v>
      </c>
      <c r="U96" s="227"/>
      <c r="V96" s="608">
        <v>4</v>
      </c>
      <c r="W96" s="651"/>
      <c r="X96" s="251">
        <v>0</v>
      </c>
      <c r="Y96" s="251">
        <v>0</v>
      </c>
      <c r="Z96" s="570"/>
      <c r="AA96" s="540" t="e">
        <v>#N/A</v>
      </c>
      <c r="AB96" s="540" t="e">
        <v>#N/A</v>
      </c>
      <c r="AC96" s="310" t="e">
        <v>#N/A</v>
      </c>
      <c r="AD96" s="525" t="e">
        <v>#N/A</v>
      </c>
    </row>
    <row r="97" spans="1:30" ht="22.35" customHeight="1">
      <c r="A97" s="310" t="s">
        <v>8</v>
      </c>
      <c r="B97" s="310" t="s">
        <v>88</v>
      </c>
      <c r="C97" s="1337">
        <v>45991</v>
      </c>
      <c r="D97" s="324">
        <v>2</v>
      </c>
      <c r="E97" s="310">
        <v>224.51</v>
      </c>
      <c r="F97" s="392">
        <v>449.01</v>
      </c>
      <c r="G97" s="310">
        <v>90</v>
      </c>
      <c r="H97" s="325">
        <v>83.52</v>
      </c>
      <c r="I97" s="542">
        <v>145.1</v>
      </c>
      <c r="J97" s="325">
        <v>220.39</v>
      </c>
      <c r="K97" s="326"/>
      <c r="L97" s="319" t="s">
        <v>276</v>
      </c>
      <c r="M97" s="320">
        <v>5</v>
      </c>
      <c r="N97" s="577" t="s">
        <v>3680</v>
      </c>
      <c r="O97" s="607" t="s">
        <v>283</v>
      </c>
      <c r="P97" s="609" t="s">
        <v>1113</v>
      </c>
      <c r="Q97" s="567">
        <v>45987</v>
      </c>
      <c r="R97" s="321" t="s">
        <v>3681</v>
      </c>
      <c r="S97" s="568"/>
      <c r="T97" s="664">
        <v>33767604833</v>
      </c>
      <c r="U97" s="227"/>
      <c r="V97" s="608">
        <v>3</v>
      </c>
      <c r="W97" s="610"/>
      <c r="X97" s="251">
        <v>1</v>
      </c>
      <c r="Y97" s="251">
        <v>0</v>
      </c>
      <c r="Z97" s="570"/>
      <c r="AA97" s="540" t="e">
        <v>#N/A</v>
      </c>
      <c r="AB97" s="540" t="e">
        <v>#N/A</v>
      </c>
      <c r="AC97" s="325" t="e">
        <v>#N/A</v>
      </c>
      <c r="AD97" s="611" t="e">
        <v>#N/A</v>
      </c>
    </row>
    <row r="98" spans="1:30" ht="22.35" customHeight="1">
      <c r="A98" s="310" t="s">
        <v>10</v>
      </c>
      <c r="B98" s="310" t="s">
        <v>88</v>
      </c>
      <c r="C98" s="1337">
        <v>45990</v>
      </c>
      <c r="D98" s="324">
        <v>3</v>
      </c>
      <c r="E98" s="310">
        <v>227.75</v>
      </c>
      <c r="F98" s="392">
        <v>683.24</v>
      </c>
      <c r="G98" s="310">
        <v>70</v>
      </c>
      <c r="H98" s="325">
        <v>122.99</v>
      </c>
      <c r="I98" s="542">
        <v>168.05</v>
      </c>
      <c r="J98" s="325">
        <v>392.2</v>
      </c>
      <c r="K98" s="326"/>
      <c r="L98" s="319" t="s">
        <v>276</v>
      </c>
      <c r="M98" s="320">
        <v>5</v>
      </c>
      <c r="N98" s="577" t="s">
        <v>3620</v>
      </c>
      <c r="O98" s="607" t="s">
        <v>283</v>
      </c>
      <c r="P98" s="609" t="s">
        <v>1114</v>
      </c>
      <c r="Q98" s="567">
        <v>45937</v>
      </c>
      <c r="R98" s="321" t="s">
        <v>3621</v>
      </c>
      <c r="S98" s="568"/>
      <c r="T98" s="569">
        <v>16463005163</v>
      </c>
      <c r="U98" s="227"/>
      <c r="V98" s="608">
        <v>2</v>
      </c>
      <c r="W98" s="610"/>
      <c r="X98" s="251">
        <v>0</v>
      </c>
      <c r="Y98" s="251">
        <v>0</v>
      </c>
      <c r="Z98" s="570"/>
      <c r="AA98" s="540" t="e">
        <v>#N/A</v>
      </c>
      <c r="AB98" s="540" t="e">
        <v>#N/A</v>
      </c>
      <c r="AC98" s="325" t="e">
        <v>#N/A</v>
      </c>
      <c r="AD98" s="611" t="e">
        <v>#N/A</v>
      </c>
    </row>
    <row r="99" spans="1:30" ht="22.35" customHeight="1">
      <c r="A99" s="310" t="s">
        <v>8</v>
      </c>
      <c r="B99" s="549" t="s">
        <v>23</v>
      </c>
      <c r="C99" s="1337">
        <v>45989</v>
      </c>
      <c r="D99" s="324">
        <v>2</v>
      </c>
      <c r="E99" s="310">
        <v>314.02</v>
      </c>
      <c r="F99" s="392">
        <v>628.03</v>
      </c>
      <c r="G99" s="310">
        <v>90</v>
      </c>
      <c r="H99" s="325">
        <v>123.07</v>
      </c>
      <c r="I99" s="542">
        <v>172.99</v>
      </c>
      <c r="J99" s="325">
        <v>331.97</v>
      </c>
      <c r="K99" s="326"/>
      <c r="L99" s="319" t="s">
        <v>276</v>
      </c>
      <c r="M99" s="320">
        <v>9</v>
      </c>
      <c r="N99" s="577" t="s">
        <v>3601</v>
      </c>
      <c r="O99" s="607" t="s">
        <v>283</v>
      </c>
      <c r="P99" s="609" t="s">
        <v>1113</v>
      </c>
      <c r="Q99" s="567">
        <v>45935</v>
      </c>
      <c r="R99" s="321" t="s">
        <v>3602</v>
      </c>
      <c r="S99" s="568"/>
      <c r="T99" s="569">
        <v>37068689173</v>
      </c>
      <c r="U99" s="227"/>
      <c r="V99" s="608">
        <v>4</v>
      </c>
      <c r="W99" s="610"/>
      <c r="X99" s="251">
        <v>0</v>
      </c>
      <c r="Y99" s="251"/>
      <c r="Z99" s="570"/>
      <c r="AA99" s="540" t="e">
        <v>#N/A</v>
      </c>
      <c r="AB99" s="540" t="e">
        <v>#N/A</v>
      </c>
      <c r="AC99" s="325" t="e">
        <v>#N/A</v>
      </c>
      <c r="AD99" s="611" t="e">
        <v>#N/A</v>
      </c>
    </row>
    <row r="100" spans="1:30" ht="22.35" customHeight="1">
      <c r="A100" s="310" t="s">
        <v>10</v>
      </c>
      <c r="B100" s="602" t="s">
        <v>88</v>
      </c>
      <c r="C100" s="1337">
        <v>45986</v>
      </c>
      <c r="D100" s="324">
        <v>4</v>
      </c>
      <c r="E100" s="310">
        <v>247.5</v>
      </c>
      <c r="F100" s="392">
        <v>990</v>
      </c>
      <c r="G100" s="310">
        <v>70</v>
      </c>
      <c r="H100" s="325">
        <v>178.2</v>
      </c>
      <c r="I100" s="571">
        <v>218.36</v>
      </c>
      <c r="J100" s="325">
        <v>593.44000000000005</v>
      </c>
      <c r="K100" s="326"/>
      <c r="L100" s="319" t="s">
        <v>276</v>
      </c>
      <c r="M100" s="320"/>
      <c r="N100" s="576" t="s">
        <v>3183</v>
      </c>
      <c r="O100" s="543" t="s">
        <v>283</v>
      </c>
      <c r="P100" s="544" t="s">
        <v>97</v>
      </c>
      <c r="Q100" s="201">
        <v>45853</v>
      </c>
      <c r="R100" s="327" t="s">
        <v>3170</v>
      </c>
      <c r="S100" s="203">
        <v>280018036</v>
      </c>
      <c r="T100" s="199" t="s">
        <v>3171</v>
      </c>
      <c r="U100" s="204" t="s">
        <v>3172</v>
      </c>
      <c r="V100" s="545">
        <v>3</v>
      </c>
      <c r="W100" s="546">
        <v>0</v>
      </c>
      <c r="X100" s="205">
        <v>0</v>
      </c>
      <c r="Y100" s="205">
        <v>0</v>
      </c>
      <c r="Z100" s="206">
        <v>1151322092</v>
      </c>
      <c r="AA100" s="328"/>
      <c r="AB100" s="328"/>
      <c r="AC100" s="547"/>
      <c r="AD100" s="548"/>
    </row>
    <row r="101" spans="1:30" ht="22.35" customHeight="1">
      <c r="A101" s="325" t="s">
        <v>8</v>
      </c>
      <c r="B101" s="310" t="s">
        <v>88</v>
      </c>
      <c r="C101" s="1337">
        <v>45982</v>
      </c>
      <c r="D101" s="550">
        <v>6</v>
      </c>
      <c r="E101" s="310">
        <v>312.26</v>
      </c>
      <c r="F101" s="392">
        <v>1873.56</v>
      </c>
      <c r="G101" s="310">
        <v>90</v>
      </c>
      <c r="H101" s="325">
        <v>337.24</v>
      </c>
      <c r="I101" s="542">
        <v>379.26</v>
      </c>
      <c r="J101" s="325">
        <v>1157.06</v>
      </c>
      <c r="K101" s="326"/>
      <c r="L101" s="319" t="s">
        <v>276</v>
      </c>
      <c r="M101" s="551">
        <v>5</v>
      </c>
      <c r="N101" s="577" t="s">
        <v>3529</v>
      </c>
      <c r="O101" s="617" t="s">
        <v>283</v>
      </c>
      <c r="P101" s="618" t="s">
        <v>1113</v>
      </c>
      <c r="Q101" s="619">
        <v>45910.608634259261</v>
      </c>
      <c r="R101" s="321" t="s">
        <v>3530</v>
      </c>
      <c r="S101" s="620"/>
      <c r="T101" s="652">
        <v>12393228765</v>
      </c>
      <c r="U101" s="621"/>
      <c r="V101" s="622">
        <v>4</v>
      </c>
      <c r="W101" s="623"/>
      <c r="X101" s="624">
        <v>0</v>
      </c>
      <c r="Y101" s="624">
        <v>0</v>
      </c>
      <c r="Z101" s="625"/>
      <c r="AA101" s="540" t="e">
        <v>#N/A</v>
      </c>
      <c r="AB101" s="540" t="e">
        <v>#N/A</v>
      </c>
      <c r="AC101" s="325" t="e">
        <v>#N/A</v>
      </c>
      <c r="AD101" s="626" t="e">
        <v>#N/A</v>
      </c>
    </row>
    <row r="102" spans="1:30" ht="22.35" customHeight="1">
      <c r="A102" s="325" t="s">
        <v>10</v>
      </c>
      <c r="B102" s="442" t="s">
        <v>88</v>
      </c>
      <c r="C102" s="1337">
        <v>45981</v>
      </c>
      <c r="D102" s="550">
        <v>3</v>
      </c>
      <c r="E102" s="310">
        <v>253.33</v>
      </c>
      <c r="F102" s="392">
        <v>760</v>
      </c>
      <c r="G102" s="310">
        <v>70</v>
      </c>
      <c r="H102" s="325">
        <v>136.80000000000001</v>
      </c>
      <c r="I102" s="571">
        <v>180.64</v>
      </c>
      <c r="J102" s="325">
        <v>442.56</v>
      </c>
      <c r="K102" s="326"/>
      <c r="L102" s="319" t="s">
        <v>276</v>
      </c>
      <c r="M102" s="551">
        <v>5</v>
      </c>
      <c r="N102" s="576" t="s">
        <v>3291</v>
      </c>
      <c r="O102" s="552" t="s">
        <v>283</v>
      </c>
      <c r="P102" s="553" t="s">
        <v>97</v>
      </c>
      <c r="Q102" s="554">
        <v>45877</v>
      </c>
      <c r="R102" s="327" t="s">
        <v>3285</v>
      </c>
      <c r="S102" s="555">
        <v>660675143</v>
      </c>
      <c r="T102" s="556" t="s">
        <v>3286</v>
      </c>
      <c r="U102" s="557" t="s">
        <v>3287</v>
      </c>
      <c r="V102" s="558">
        <v>3</v>
      </c>
      <c r="W102" s="559">
        <v>0</v>
      </c>
      <c r="X102" s="560">
        <v>0</v>
      </c>
      <c r="Y102" s="560">
        <v>0</v>
      </c>
      <c r="Z102" s="561">
        <v>1166768543</v>
      </c>
      <c r="AA102" s="328"/>
      <c r="AB102" s="328"/>
      <c r="AC102" s="547"/>
      <c r="AD102" s="562"/>
    </row>
    <row r="103" spans="1:30" ht="22.35" customHeight="1">
      <c r="A103" s="310" t="s">
        <v>10</v>
      </c>
      <c r="B103" s="563" t="s">
        <v>23</v>
      </c>
      <c r="C103" s="1337">
        <v>45977</v>
      </c>
      <c r="D103" s="324">
        <v>4</v>
      </c>
      <c r="E103" s="310">
        <v>212.17</v>
      </c>
      <c r="F103" s="392">
        <v>848.69</v>
      </c>
      <c r="G103" s="310">
        <v>70</v>
      </c>
      <c r="H103" s="310">
        <v>166.39</v>
      </c>
      <c r="I103" s="442">
        <v>192.46</v>
      </c>
      <c r="J103" s="325">
        <v>489.84</v>
      </c>
      <c r="K103" s="326"/>
      <c r="L103" s="319" t="s">
        <v>276</v>
      </c>
      <c r="M103" s="320"/>
      <c r="N103" s="577" t="s">
        <v>3635</v>
      </c>
      <c r="O103" s="607" t="s">
        <v>283</v>
      </c>
      <c r="P103" s="609" t="s">
        <v>1114</v>
      </c>
      <c r="Q103" s="567">
        <v>45955</v>
      </c>
      <c r="R103" s="321" t="s">
        <v>3636</v>
      </c>
      <c r="S103" s="568"/>
      <c r="T103" s="569">
        <v>33608026560</v>
      </c>
      <c r="U103" s="227"/>
      <c r="V103" s="608">
        <v>2</v>
      </c>
      <c r="W103" s="610"/>
      <c r="X103" s="251">
        <v>0</v>
      </c>
      <c r="Y103" s="251"/>
      <c r="Z103" s="570"/>
      <c r="AA103" s="540" t="e">
        <v>#N/A</v>
      </c>
      <c r="AB103" s="540" t="e">
        <v>#N/A</v>
      </c>
      <c r="AC103" s="310" t="e">
        <v>#N/A</v>
      </c>
      <c r="AD103" s="611" t="e">
        <v>#N/A</v>
      </c>
    </row>
    <row r="104" spans="1:30" ht="22.35" customHeight="1">
      <c r="A104" s="310" t="s">
        <v>8</v>
      </c>
      <c r="B104" s="310" t="s">
        <v>88</v>
      </c>
      <c r="C104" s="1337">
        <v>45976</v>
      </c>
      <c r="D104" s="324">
        <v>4</v>
      </c>
      <c r="E104" s="310">
        <v>211.45</v>
      </c>
      <c r="F104" s="392">
        <v>845.78</v>
      </c>
      <c r="G104" s="310">
        <v>90</v>
      </c>
      <c r="H104" s="325">
        <v>157.32</v>
      </c>
      <c r="I104" s="542">
        <v>209.69</v>
      </c>
      <c r="J104" s="325">
        <v>478.77</v>
      </c>
      <c r="K104" s="326"/>
      <c r="L104" s="319" t="s">
        <v>276</v>
      </c>
      <c r="M104" s="320">
        <v>5</v>
      </c>
      <c r="N104" s="577" t="s">
        <v>3639</v>
      </c>
      <c r="O104" s="607" t="s">
        <v>283</v>
      </c>
      <c r="P104" s="609" t="s">
        <v>1113</v>
      </c>
      <c r="Q104" s="567">
        <v>45961</v>
      </c>
      <c r="R104" s="321" t="s">
        <v>3640</v>
      </c>
      <c r="S104" s="568"/>
      <c r="T104" s="569">
        <v>590690572169</v>
      </c>
      <c r="U104" s="227"/>
      <c r="V104" s="608">
        <v>2</v>
      </c>
      <c r="W104" s="610"/>
      <c r="X104" s="251">
        <v>0</v>
      </c>
      <c r="Y104" s="251">
        <v>0</v>
      </c>
      <c r="Z104" s="570"/>
      <c r="AA104" s="540" t="e">
        <v>#N/A</v>
      </c>
      <c r="AB104" s="540" t="e">
        <v>#N/A</v>
      </c>
      <c r="AC104" s="325" t="e">
        <v>#N/A</v>
      </c>
      <c r="AD104" s="611" t="e">
        <v>#N/A</v>
      </c>
    </row>
    <row r="105" spans="1:30" ht="22.35" customHeight="1">
      <c r="A105" s="310" t="s">
        <v>10</v>
      </c>
      <c r="B105" s="549" t="s">
        <v>88</v>
      </c>
      <c r="C105" s="1337">
        <v>45973</v>
      </c>
      <c r="D105" s="324">
        <v>4</v>
      </c>
      <c r="E105" s="310">
        <v>232.5</v>
      </c>
      <c r="F105" s="392">
        <v>930</v>
      </c>
      <c r="G105" s="310">
        <v>70</v>
      </c>
      <c r="H105" s="325">
        <v>167.4</v>
      </c>
      <c r="I105" s="542">
        <v>208.52</v>
      </c>
      <c r="J105" s="325">
        <v>554.08000000000004</v>
      </c>
      <c r="K105" s="326"/>
      <c r="L105" s="319" t="s">
        <v>276</v>
      </c>
      <c r="M105" s="320">
        <v>5</v>
      </c>
      <c r="N105" s="576" t="s">
        <v>3204</v>
      </c>
      <c r="O105" s="543" t="s">
        <v>283</v>
      </c>
      <c r="P105" s="544" t="s">
        <v>97</v>
      </c>
      <c r="Q105" s="201">
        <v>45858</v>
      </c>
      <c r="R105" s="327" t="s">
        <v>3196</v>
      </c>
      <c r="S105" s="203">
        <v>6298836</v>
      </c>
      <c r="T105" s="199" t="s">
        <v>3197</v>
      </c>
      <c r="U105" s="204" t="s">
        <v>3198</v>
      </c>
      <c r="V105" s="545">
        <v>2</v>
      </c>
      <c r="W105" s="546">
        <v>0</v>
      </c>
      <c r="X105" s="205">
        <v>0</v>
      </c>
      <c r="Y105" s="205">
        <v>0</v>
      </c>
      <c r="Z105" s="206">
        <v>1154449675</v>
      </c>
      <c r="AA105" s="328"/>
      <c r="AB105" s="328"/>
      <c r="AC105" s="547"/>
      <c r="AD105" s="548"/>
    </row>
    <row r="106" spans="1:30" ht="22.35" customHeight="1">
      <c r="A106" s="310" t="s">
        <v>10</v>
      </c>
      <c r="B106" s="323" t="s">
        <v>88</v>
      </c>
      <c r="C106" s="1337">
        <v>45971</v>
      </c>
      <c r="D106" s="324">
        <v>2</v>
      </c>
      <c r="E106" s="310">
        <v>194.69</v>
      </c>
      <c r="F106" s="392">
        <v>389.37</v>
      </c>
      <c r="G106" s="310">
        <v>70</v>
      </c>
      <c r="H106" s="310">
        <v>72.42</v>
      </c>
      <c r="I106" s="310">
        <v>119.39</v>
      </c>
      <c r="J106" s="325">
        <v>197.56</v>
      </c>
      <c r="K106" s="326"/>
      <c r="L106" s="319" t="s">
        <v>276</v>
      </c>
      <c r="M106" s="320">
        <v>5</v>
      </c>
      <c r="N106" s="577" t="s">
        <v>3647</v>
      </c>
      <c r="O106" s="569" t="s">
        <v>283</v>
      </c>
      <c r="P106" s="219" t="s">
        <v>1114</v>
      </c>
      <c r="Q106" s="567">
        <v>45969</v>
      </c>
      <c r="R106" s="321" t="s">
        <v>3648</v>
      </c>
      <c r="S106" s="568"/>
      <c r="T106" s="569">
        <v>33669733682</v>
      </c>
      <c r="U106" s="227"/>
      <c r="V106" s="251">
        <v>1</v>
      </c>
      <c r="W106" s="251"/>
      <c r="X106" s="251">
        <v>0</v>
      </c>
      <c r="Y106" s="251">
        <v>0</v>
      </c>
      <c r="Z106" s="570"/>
      <c r="AA106" s="540" t="e">
        <v>#N/A</v>
      </c>
      <c r="AB106" s="540" t="e">
        <v>#N/A</v>
      </c>
      <c r="AC106" s="310" t="e">
        <v>#N/A</v>
      </c>
      <c r="AD106" s="525" t="e">
        <v>#N/A</v>
      </c>
    </row>
    <row r="107" spans="1:30" ht="22.35" customHeight="1">
      <c r="A107" s="310" t="s">
        <v>8</v>
      </c>
      <c r="B107" s="323" t="s">
        <v>88</v>
      </c>
      <c r="C107" s="1337">
        <v>45971</v>
      </c>
      <c r="D107" s="324">
        <v>3</v>
      </c>
      <c r="E107" s="310">
        <v>222.3</v>
      </c>
      <c r="F107" s="392">
        <v>666.9</v>
      </c>
      <c r="G107" s="310">
        <v>90</v>
      </c>
      <c r="H107" s="310">
        <v>120.05</v>
      </c>
      <c r="I107" s="310">
        <v>181.37</v>
      </c>
      <c r="J107" s="325">
        <v>365.48</v>
      </c>
      <c r="K107" s="326"/>
      <c r="L107" s="319" t="s">
        <v>276</v>
      </c>
      <c r="M107" s="320">
        <v>5</v>
      </c>
      <c r="N107" s="577" t="s">
        <v>3616</v>
      </c>
      <c r="O107" s="569" t="s">
        <v>283</v>
      </c>
      <c r="P107" s="219" t="s">
        <v>1113</v>
      </c>
      <c r="Q107" s="567">
        <v>45936</v>
      </c>
      <c r="R107" s="321" t="s">
        <v>3617</v>
      </c>
      <c r="S107" s="568"/>
      <c r="T107" s="569">
        <v>32478253281</v>
      </c>
      <c r="U107" s="227"/>
      <c r="V107" s="251">
        <v>2</v>
      </c>
      <c r="W107" s="251"/>
      <c r="X107" s="251">
        <v>0</v>
      </c>
      <c r="Y107" s="251">
        <v>0</v>
      </c>
      <c r="Z107" s="570"/>
      <c r="AA107" s="540" t="e">
        <v>#N/A</v>
      </c>
      <c r="AB107" s="540" t="e">
        <v>#N/A</v>
      </c>
      <c r="AC107" s="310" t="e">
        <v>#N/A</v>
      </c>
      <c r="AD107" s="525" t="e">
        <v>#N/A</v>
      </c>
    </row>
    <row r="108" spans="1:30" ht="22.35" customHeight="1">
      <c r="A108" s="310" t="s">
        <v>10</v>
      </c>
      <c r="B108" s="323" t="s">
        <v>23</v>
      </c>
      <c r="C108" s="1337">
        <v>45967</v>
      </c>
      <c r="D108" s="324">
        <v>3</v>
      </c>
      <c r="E108" s="310">
        <v>250.08</v>
      </c>
      <c r="F108" s="392">
        <v>750.24</v>
      </c>
      <c r="G108" s="310">
        <v>70</v>
      </c>
      <c r="H108" s="310">
        <v>146.85</v>
      </c>
      <c r="I108" s="310">
        <v>176.68</v>
      </c>
      <c r="J108" s="325">
        <v>426.71</v>
      </c>
      <c r="K108" s="326"/>
      <c r="L108" s="319" t="s">
        <v>276</v>
      </c>
      <c r="M108" s="320"/>
      <c r="N108" s="577" t="s">
        <v>3622</v>
      </c>
      <c r="O108" s="569" t="s">
        <v>283</v>
      </c>
      <c r="P108" s="219" t="s">
        <v>1114</v>
      </c>
      <c r="Q108" s="567">
        <v>45937</v>
      </c>
      <c r="R108" s="321" t="s">
        <v>3623</v>
      </c>
      <c r="S108" s="568"/>
      <c r="T108" s="569">
        <v>33650470706</v>
      </c>
      <c r="U108" s="227"/>
      <c r="V108" s="251">
        <v>2</v>
      </c>
      <c r="W108" s="251"/>
      <c r="X108" s="251">
        <v>0</v>
      </c>
      <c r="Y108" s="251"/>
      <c r="Z108" s="570"/>
      <c r="AA108" s="540" t="e">
        <v>#N/A</v>
      </c>
      <c r="AB108" s="540" t="e">
        <v>#N/A</v>
      </c>
      <c r="AC108" s="310" t="e">
        <v>#N/A</v>
      </c>
      <c r="AD108" s="525" t="e">
        <v>#N/A</v>
      </c>
    </row>
    <row r="109" spans="1:30" ht="22.35" customHeight="1">
      <c r="A109" s="310" t="s">
        <v>8</v>
      </c>
      <c r="B109" s="323" t="s">
        <v>88</v>
      </c>
      <c r="C109" s="1337">
        <v>45967</v>
      </c>
      <c r="D109" s="324">
        <v>4</v>
      </c>
      <c r="E109" s="310">
        <v>332.5</v>
      </c>
      <c r="F109" s="392">
        <v>1330</v>
      </c>
      <c r="G109" s="310">
        <v>90</v>
      </c>
      <c r="H109" s="310">
        <v>239.4</v>
      </c>
      <c r="I109" s="310">
        <v>290.12</v>
      </c>
      <c r="J109" s="325">
        <v>800.48</v>
      </c>
      <c r="K109" s="326"/>
      <c r="L109" s="319" t="s">
        <v>276</v>
      </c>
      <c r="M109" s="320">
        <v>5</v>
      </c>
      <c r="N109" s="576" t="s">
        <v>3314</v>
      </c>
      <c r="O109" s="199" t="s">
        <v>283</v>
      </c>
      <c r="P109" s="200" t="s">
        <v>89</v>
      </c>
      <c r="Q109" s="201">
        <v>45884</v>
      </c>
      <c r="R109" s="327" t="s">
        <v>3310</v>
      </c>
      <c r="S109" s="203">
        <v>271778354</v>
      </c>
      <c r="T109" s="199" t="s">
        <v>3311</v>
      </c>
      <c r="U109" s="204" t="s">
        <v>267</v>
      </c>
      <c r="V109" s="205">
        <v>2</v>
      </c>
      <c r="W109" s="205">
        <v>2</v>
      </c>
      <c r="X109" s="205">
        <v>0</v>
      </c>
      <c r="Y109" s="205">
        <v>0</v>
      </c>
      <c r="Z109" s="206">
        <v>1170688713</v>
      </c>
      <c r="AA109" s="328"/>
      <c r="AB109" s="328"/>
      <c r="AC109" s="394"/>
      <c r="AD109" s="72"/>
    </row>
    <row r="110" spans="1:30" ht="22.35" customHeight="1">
      <c r="A110" s="310" t="s">
        <v>10</v>
      </c>
      <c r="B110" s="323" t="s">
        <v>23</v>
      </c>
      <c r="C110" s="1337">
        <v>45963</v>
      </c>
      <c r="D110" s="324">
        <v>4</v>
      </c>
      <c r="E110" s="310">
        <v>262.5</v>
      </c>
      <c r="F110" s="392" t="s">
        <v>1854</v>
      </c>
      <c r="G110" s="310">
        <v>70</v>
      </c>
      <c r="H110" s="310">
        <v>194.87</v>
      </c>
      <c r="I110" s="310">
        <v>227.03</v>
      </c>
      <c r="J110" s="325">
        <v>628.1</v>
      </c>
      <c r="K110" s="326"/>
      <c r="L110" s="319" t="s">
        <v>276</v>
      </c>
      <c r="M110" s="320"/>
      <c r="N110" s="576" t="s">
        <v>2996</v>
      </c>
      <c r="O110" s="199" t="s">
        <v>283</v>
      </c>
      <c r="P110" s="200"/>
      <c r="Q110" s="201">
        <v>45674</v>
      </c>
      <c r="R110" s="330" t="s">
        <v>1853</v>
      </c>
      <c r="S110" s="203"/>
      <c r="T110" s="199"/>
      <c r="U110" s="204"/>
      <c r="V110" s="205"/>
      <c r="W110" s="205"/>
      <c r="X110" s="205"/>
      <c r="Y110" s="205"/>
      <c r="Z110" s="206"/>
      <c r="AA110" s="328"/>
      <c r="AB110" s="328"/>
      <c r="AC110" s="394"/>
      <c r="AD110" s="72"/>
    </row>
    <row r="111" spans="1:30" ht="22.35" customHeight="1">
      <c r="A111" s="310" t="s">
        <v>10</v>
      </c>
      <c r="B111" s="323" t="s">
        <v>23</v>
      </c>
      <c r="C111" s="1337">
        <v>45961</v>
      </c>
      <c r="D111" s="324">
        <v>2</v>
      </c>
      <c r="E111" s="310">
        <v>224.91</v>
      </c>
      <c r="F111" s="392">
        <v>449.81</v>
      </c>
      <c r="G111" s="310">
        <v>70</v>
      </c>
      <c r="H111" s="310">
        <v>88.13</v>
      </c>
      <c r="I111" s="310">
        <v>128.34</v>
      </c>
      <c r="J111" s="325">
        <v>233.34</v>
      </c>
      <c r="K111" s="326"/>
      <c r="L111" s="319" t="s">
        <v>276</v>
      </c>
      <c r="M111" s="320"/>
      <c r="N111" s="577" t="s">
        <v>3579</v>
      </c>
      <c r="O111" s="569" t="s">
        <v>283</v>
      </c>
      <c r="P111" s="219" t="s">
        <v>1114</v>
      </c>
      <c r="Q111" s="567">
        <v>45921</v>
      </c>
      <c r="R111" s="321" t="s">
        <v>3580</v>
      </c>
      <c r="S111" s="568"/>
      <c r="T111" s="569">
        <v>393394514819</v>
      </c>
      <c r="U111" s="227"/>
      <c r="V111" s="251">
        <v>2</v>
      </c>
      <c r="W111" s="251"/>
      <c r="X111" s="251">
        <v>0</v>
      </c>
      <c r="Y111" s="251"/>
      <c r="Z111" s="570"/>
      <c r="AA111" s="540" t="e">
        <v>#N/A</v>
      </c>
      <c r="AB111" s="540" t="e">
        <v>#N/A</v>
      </c>
      <c r="AC111" s="310" t="e">
        <v>#N/A</v>
      </c>
      <c r="AD111" s="525" t="e">
        <v>#N/A</v>
      </c>
    </row>
    <row r="112" spans="1:30" ht="22.35" customHeight="1">
      <c r="A112" s="310" t="s">
        <v>15</v>
      </c>
      <c r="B112" s="323" t="s">
        <v>88</v>
      </c>
      <c r="C112" s="1337">
        <v>45961</v>
      </c>
      <c r="D112" s="324">
        <v>33</v>
      </c>
      <c r="E112" s="310">
        <v>82.12</v>
      </c>
      <c r="F112" s="392">
        <v>2710</v>
      </c>
      <c r="G112" s="310">
        <v>75</v>
      </c>
      <c r="H112" s="310">
        <v>400</v>
      </c>
      <c r="I112" s="310">
        <v>365.55</v>
      </c>
      <c r="J112" s="325">
        <v>1944.45</v>
      </c>
      <c r="K112" s="326"/>
      <c r="L112" s="319" t="s">
        <v>276</v>
      </c>
      <c r="M112" s="320"/>
      <c r="N112" s="576" t="s">
        <v>1712</v>
      </c>
      <c r="O112" s="199" t="s">
        <v>283</v>
      </c>
      <c r="P112" s="200" t="s">
        <v>114</v>
      </c>
      <c r="Q112" s="201">
        <v>45671</v>
      </c>
      <c r="R112" s="327" t="s">
        <v>1713</v>
      </c>
      <c r="S112" s="203">
        <v>28888727</v>
      </c>
      <c r="T112" s="199" t="s">
        <v>1714</v>
      </c>
      <c r="U112" s="204" t="s">
        <v>554</v>
      </c>
      <c r="V112" s="205">
        <v>2</v>
      </c>
      <c r="W112" s="205">
        <v>0</v>
      </c>
      <c r="X112" s="205">
        <v>0</v>
      </c>
      <c r="Y112" s="205">
        <v>0</v>
      </c>
      <c r="Z112" s="206">
        <v>1046148802</v>
      </c>
      <c r="AA112" s="328"/>
      <c r="AB112" s="328"/>
      <c r="AC112" s="394"/>
      <c r="AD112" s="72"/>
    </row>
    <row r="113" spans="1:30" ht="22.35" customHeight="1">
      <c r="A113" s="310" t="s">
        <v>8</v>
      </c>
      <c r="B113" s="323" t="s">
        <v>23</v>
      </c>
      <c r="C113" s="1337">
        <v>45960</v>
      </c>
      <c r="D113" s="324">
        <v>3</v>
      </c>
      <c r="E113" s="310">
        <v>393.33</v>
      </c>
      <c r="F113" s="392" t="s">
        <v>3466</v>
      </c>
      <c r="G113" s="310">
        <v>90</v>
      </c>
      <c r="H113" s="310">
        <v>218.43</v>
      </c>
      <c r="I113" s="310">
        <v>264.31</v>
      </c>
      <c r="J113" s="325">
        <v>697.26</v>
      </c>
      <c r="K113" s="326"/>
      <c r="L113" s="319" t="s">
        <v>276</v>
      </c>
      <c r="M113" s="320">
        <v>10</v>
      </c>
      <c r="N113" s="576" t="s">
        <v>3083</v>
      </c>
      <c r="O113" s="199" t="s">
        <v>283</v>
      </c>
      <c r="P113" s="200"/>
      <c r="Q113" s="201">
        <v>45840</v>
      </c>
      <c r="R113" s="330" t="s">
        <v>3467</v>
      </c>
      <c r="S113" s="203"/>
      <c r="T113" s="199"/>
      <c r="U113" s="204"/>
      <c r="V113" s="205"/>
      <c r="W113" s="205"/>
      <c r="X113" s="205"/>
      <c r="Y113" s="205"/>
      <c r="Z113" s="206"/>
      <c r="AA113" s="328"/>
      <c r="AB113" s="328"/>
      <c r="AC113" s="394"/>
      <c r="AD113" s="72"/>
    </row>
    <row r="114" spans="1:30" ht="22.35" customHeight="1">
      <c r="A114" s="310" t="s">
        <v>8</v>
      </c>
      <c r="B114" s="323" t="s">
        <v>88</v>
      </c>
      <c r="C114" s="1337">
        <v>45957</v>
      </c>
      <c r="D114" s="324">
        <v>3</v>
      </c>
      <c r="E114" s="310">
        <v>285.79000000000002</v>
      </c>
      <c r="F114" s="392">
        <v>857.38</v>
      </c>
      <c r="G114" s="310">
        <v>90</v>
      </c>
      <c r="H114" s="310">
        <v>154.34</v>
      </c>
      <c r="I114" s="310">
        <v>212.61</v>
      </c>
      <c r="J114" s="325">
        <v>490.43</v>
      </c>
      <c r="K114" s="326"/>
      <c r="L114" s="319" t="s">
        <v>276</v>
      </c>
      <c r="M114" s="320">
        <v>5</v>
      </c>
      <c r="N114" s="577" t="s">
        <v>3575</v>
      </c>
      <c r="O114" s="569" t="s">
        <v>283</v>
      </c>
      <c r="P114" s="219" t="s">
        <v>1113</v>
      </c>
      <c r="Q114" s="567">
        <v>45917.403854166667</v>
      </c>
      <c r="R114" s="321" t="s">
        <v>3576</v>
      </c>
      <c r="S114" s="568"/>
      <c r="T114" s="569">
        <v>31657846649</v>
      </c>
      <c r="U114" s="227"/>
      <c r="V114" s="251">
        <v>3</v>
      </c>
      <c r="W114" s="251"/>
      <c r="X114" s="251">
        <v>0</v>
      </c>
      <c r="Y114" s="251">
        <v>0</v>
      </c>
      <c r="Z114" s="570"/>
      <c r="AA114" s="540" t="e">
        <v>#N/A</v>
      </c>
      <c r="AB114" s="540" t="e">
        <v>#N/A</v>
      </c>
      <c r="AC114" s="310" t="e">
        <v>#N/A</v>
      </c>
      <c r="AD114" s="525" t="e">
        <v>#N/A</v>
      </c>
    </row>
    <row r="115" spans="1:30" ht="22.35" customHeight="1">
      <c r="A115" s="310" t="s">
        <v>10</v>
      </c>
      <c r="B115" s="323" t="s">
        <v>88</v>
      </c>
      <c r="C115" s="1337">
        <v>45955</v>
      </c>
      <c r="D115" s="324">
        <v>5</v>
      </c>
      <c r="E115" s="310">
        <v>234.06</v>
      </c>
      <c r="F115" s="392">
        <v>1170.31</v>
      </c>
      <c r="G115" s="310">
        <v>70</v>
      </c>
      <c r="H115" s="310">
        <v>210.66</v>
      </c>
      <c r="I115" s="310">
        <v>247.93</v>
      </c>
      <c r="J115" s="325">
        <v>711.72</v>
      </c>
      <c r="K115" s="326"/>
      <c r="L115" s="319" t="s">
        <v>276</v>
      </c>
      <c r="M115" s="320">
        <v>5</v>
      </c>
      <c r="N115" s="577" t="s">
        <v>3577</v>
      </c>
      <c r="O115" s="569" t="s">
        <v>283</v>
      </c>
      <c r="P115" s="219" t="s">
        <v>1114</v>
      </c>
      <c r="Q115" s="567">
        <v>45921.175752314812</v>
      </c>
      <c r="R115" s="321" t="s">
        <v>3578</v>
      </c>
      <c r="S115" s="568"/>
      <c r="T115" s="569">
        <v>61416005877</v>
      </c>
      <c r="U115" s="227"/>
      <c r="V115" s="251">
        <v>3</v>
      </c>
      <c r="W115" s="251"/>
      <c r="X115" s="251">
        <v>0</v>
      </c>
      <c r="Y115" s="251">
        <v>0</v>
      </c>
      <c r="Z115" s="570"/>
      <c r="AA115" s="540" t="e">
        <v>#N/A</v>
      </c>
      <c r="AB115" s="540" t="e">
        <v>#N/A</v>
      </c>
      <c r="AC115" s="310" t="e">
        <v>#N/A</v>
      </c>
      <c r="AD115" s="525" t="e">
        <v>#N/A</v>
      </c>
    </row>
    <row r="116" spans="1:30" ht="22.35" customHeight="1">
      <c r="A116" s="310" t="s">
        <v>8</v>
      </c>
      <c r="B116" s="323" t="s">
        <v>23</v>
      </c>
      <c r="C116" s="1337">
        <v>45953</v>
      </c>
      <c r="D116" s="324">
        <v>4</v>
      </c>
      <c r="E116" s="310">
        <v>377.43</v>
      </c>
      <c r="F116" s="392" t="s">
        <v>3468</v>
      </c>
      <c r="G116" s="310">
        <v>90</v>
      </c>
      <c r="H116" s="310">
        <v>296.11</v>
      </c>
      <c r="I116" s="310">
        <v>314.72000000000003</v>
      </c>
      <c r="J116" s="325">
        <v>898.88</v>
      </c>
      <c r="K116" s="326"/>
      <c r="L116" s="319" t="s">
        <v>276</v>
      </c>
      <c r="M116" s="320">
        <v>10</v>
      </c>
      <c r="N116" s="576" t="s">
        <v>3385</v>
      </c>
      <c r="O116" s="199" t="s">
        <v>283</v>
      </c>
      <c r="P116" s="200"/>
      <c r="Q116" s="201">
        <v>45901</v>
      </c>
      <c r="R116" s="330" t="s">
        <v>3469</v>
      </c>
      <c r="S116" s="203"/>
      <c r="T116" s="199"/>
      <c r="U116" s="204"/>
      <c r="V116" s="205"/>
      <c r="W116" s="205"/>
      <c r="X116" s="205"/>
      <c r="Y116" s="205"/>
      <c r="Z116" s="206"/>
      <c r="AA116" s="328"/>
      <c r="AB116" s="328"/>
      <c r="AC116" s="394"/>
      <c r="AD116" s="72"/>
    </row>
    <row r="117" spans="1:30" ht="22.35" customHeight="1">
      <c r="A117" s="310" t="s">
        <v>10</v>
      </c>
      <c r="B117" s="323" t="s">
        <v>88</v>
      </c>
      <c r="C117" s="1337">
        <v>45948</v>
      </c>
      <c r="D117" s="324">
        <v>7</v>
      </c>
      <c r="E117" s="310">
        <v>268</v>
      </c>
      <c r="F117" s="392">
        <v>1876</v>
      </c>
      <c r="G117" s="310">
        <v>70</v>
      </c>
      <c r="H117" s="310">
        <v>337.68</v>
      </c>
      <c r="I117" s="310">
        <v>363.66</v>
      </c>
      <c r="J117" s="325">
        <v>1174.6600000000001</v>
      </c>
      <c r="K117" s="326"/>
      <c r="L117" s="319" t="s">
        <v>276</v>
      </c>
      <c r="M117" s="320">
        <v>3</v>
      </c>
      <c r="N117" s="576" t="s">
        <v>3226</v>
      </c>
      <c r="O117" s="199" t="s">
        <v>283</v>
      </c>
      <c r="P117" s="200" t="s">
        <v>97</v>
      </c>
      <c r="Q117" s="201">
        <v>45864</v>
      </c>
      <c r="R117" s="327" t="s">
        <v>3220</v>
      </c>
      <c r="S117" s="203">
        <v>491260232</v>
      </c>
      <c r="T117" s="199" t="s">
        <v>3221</v>
      </c>
      <c r="U117" s="204" t="s">
        <v>366</v>
      </c>
      <c r="V117" s="205">
        <v>2</v>
      </c>
      <c r="W117" s="205">
        <v>1</v>
      </c>
      <c r="X117" s="205">
        <v>0</v>
      </c>
      <c r="Y117" s="205">
        <v>0</v>
      </c>
      <c r="Z117" s="206">
        <v>1158434871</v>
      </c>
      <c r="AA117" s="328"/>
      <c r="AB117" s="328"/>
      <c r="AC117" s="394"/>
      <c r="AD117" s="72"/>
    </row>
    <row r="118" spans="1:30" ht="22.35" customHeight="1">
      <c r="A118" s="310" t="s">
        <v>8</v>
      </c>
      <c r="B118" s="323" t="s">
        <v>88</v>
      </c>
      <c r="C118" s="1337">
        <v>45945</v>
      </c>
      <c r="D118" s="324">
        <v>7</v>
      </c>
      <c r="E118" s="310">
        <v>363.86</v>
      </c>
      <c r="F118" s="392">
        <v>2547</v>
      </c>
      <c r="G118" s="310">
        <v>90</v>
      </c>
      <c r="H118" s="310">
        <v>458.46</v>
      </c>
      <c r="I118" s="310">
        <v>489.71</v>
      </c>
      <c r="J118" s="325">
        <v>1598.83</v>
      </c>
      <c r="K118" s="326"/>
      <c r="L118" s="319" t="s">
        <v>276</v>
      </c>
      <c r="M118" s="320">
        <v>5</v>
      </c>
      <c r="N118" s="576" t="s">
        <v>3088</v>
      </c>
      <c r="O118" s="199" t="s">
        <v>283</v>
      </c>
      <c r="P118" s="200" t="s">
        <v>89</v>
      </c>
      <c r="Q118" s="201">
        <v>45841</v>
      </c>
      <c r="R118" s="327" t="s">
        <v>3085</v>
      </c>
      <c r="S118" s="203">
        <v>307335188</v>
      </c>
      <c r="T118" s="199" t="s">
        <v>3086</v>
      </c>
      <c r="U118" s="204" t="s">
        <v>122</v>
      </c>
      <c r="V118" s="205">
        <v>2</v>
      </c>
      <c r="W118" s="205">
        <v>0</v>
      </c>
      <c r="X118" s="205">
        <v>0</v>
      </c>
      <c r="Y118" s="205">
        <v>0</v>
      </c>
      <c r="Z118" s="206">
        <v>1143879356</v>
      </c>
      <c r="AA118" s="328"/>
      <c r="AB118" s="328"/>
      <c r="AC118" s="394"/>
      <c r="AD118" s="72"/>
    </row>
    <row r="119" spans="1:30" ht="22.35" customHeight="1">
      <c r="A119" s="310" t="s">
        <v>8</v>
      </c>
      <c r="B119" s="323" t="s">
        <v>23</v>
      </c>
      <c r="C119" s="1337">
        <v>45943</v>
      </c>
      <c r="D119" s="324">
        <v>2</v>
      </c>
      <c r="E119" s="310">
        <v>316</v>
      </c>
      <c r="F119" s="392">
        <v>632</v>
      </c>
      <c r="G119" s="310">
        <v>90</v>
      </c>
      <c r="H119" s="310">
        <v>123.48</v>
      </c>
      <c r="I119" s="310">
        <v>173.7</v>
      </c>
      <c r="J119" s="325">
        <v>334.82</v>
      </c>
      <c r="K119" s="326"/>
      <c r="L119" s="319" t="s">
        <v>276</v>
      </c>
      <c r="M119" s="320"/>
      <c r="N119" s="577" t="s">
        <v>3618</v>
      </c>
      <c r="O119" s="569" t="s">
        <v>283</v>
      </c>
      <c r="P119" s="219" t="s">
        <v>1113</v>
      </c>
      <c r="Q119" s="567">
        <v>45936</v>
      </c>
      <c r="R119" s="321" t="s">
        <v>3619</v>
      </c>
      <c r="S119" s="568"/>
      <c r="T119" s="569">
        <v>491784428842</v>
      </c>
      <c r="U119" s="227"/>
      <c r="V119" s="251">
        <v>2</v>
      </c>
      <c r="W119" s="251"/>
      <c r="X119" s="251">
        <v>0</v>
      </c>
      <c r="Y119" s="251"/>
      <c r="Z119" s="570"/>
      <c r="AA119" s="540" t="e">
        <v>#N/A</v>
      </c>
      <c r="AB119" s="540" t="e">
        <v>#N/A</v>
      </c>
      <c r="AC119" s="310" t="e">
        <v>#N/A</v>
      </c>
      <c r="AD119" s="525" t="e">
        <v>#N/A</v>
      </c>
    </row>
    <row r="120" spans="1:30" ht="22.35" customHeight="1">
      <c r="A120" s="310" t="s">
        <v>10</v>
      </c>
      <c r="B120" s="323" t="s">
        <v>88</v>
      </c>
      <c r="C120" s="1337">
        <v>45943</v>
      </c>
      <c r="D120" s="324">
        <v>4</v>
      </c>
      <c r="E120" s="310">
        <v>317.5</v>
      </c>
      <c r="F120" s="392">
        <v>1270</v>
      </c>
      <c r="G120" s="310">
        <v>70</v>
      </c>
      <c r="H120" s="310">
        <v>228.6</v>
      </c>
      <c r="I120" s="310">
        <v>264.27999999999997</v>
      </c>
      <c r="J120" s="325">
        <v>777.12</v>
      </c>
      <c r="K120" s="326"/>
      <c r="L120" s="319" t="s">
        <v>276</v>
      </c>
      <c r="M120" s="320">
        <v>5</v>
      </c>
      <c r="N120" s="576" t="s">
        <v>3448</v>
      </c>
      <c r="O120" s="199" t="s">
        <v>283</v>
      </c>
      <c r="P120" s="200" t="s">
        <v>97</v>
      </c>
      <c r="Q120" s="201">
        <v>45788</v>
      </c>
      <c r="R120" s="327" t="s">
        <v>2893</v>
      </c>
      <c r="S120" s="203">
        <v>501659229</v>
      </c>
      <c r="T120" s="199" t="s">
        <v>2894</v>
      </c>
      <c r="U120" s="204" t="s">
        <v>213</v>
      </c>
      <c r="V120" s="205">
        <v>2</v>
      </c>
      <c r="W120" s="205">
        <v>2</v>
      </c>
      <c r="X120" s="205">
        <v>0</v>
      </c>
      <c r="Y120" s="205">
        <v>0</v>
      </c>
      <c r="Z120" s="206">
        <v>1112158430</v>
      </c>
      <c r="AA120" s="328"/>
      <c r="AB120" s="328"/>
      <c r="AC120" s="394"/>
      <c r="AD120" s="72"/>
    </row>
    <row r="121" spans="1:30" ht="22.35" customHeight="1">
      <c r="A121" s="310" t="s">
        <v>8</v>
      </c>
      <c r="B121" s="323" t="s">
        <v>23</v>
      </c>
      <c r="C121" s="1337">
        <v>45940</v>
      </c>
      <c r="D121" s="324">
        <v>3</v>
      </c>
      <c r="E121" s="310">
        <v>470</v>
      </c>
      <c r="F121" s="392" t="s">
        <v>3464</v>
      </c>
      <c r="G121" s="310">
        <v>90</v>
      </c>
      <c r="H121" s="310">
        <v>261.32</v>
      </c>
      <c r="I121" s="310">
        <v>301.74</v>
      </c>
      <c r="J121" s="325">
        <v>846.94</v>
      </c>
      <c r="K121" s="326"/>
      <c r="L121" s="319" t="s">
        <v>276</v>
      </c>
      <c r="M121" s="320"/>
      <c r="N121" s="576" t="s">
        <v>2997</v>
      </c>
      <c r="O121" s="199" t="s">
        <v>283</v>
      </c>
      <c r="P121" s="200"/>
      <c r="Q121" s="201">
        <v>45675</v>
      </c>
      <c r="R121" s="330" t="s">
        <v>3470</v>
      </c>
      <c r="S121" s="203"/>
      <c r="T121" s="199"/>
      <c r="U121" s="204"/>
      <c r="V121" s="205"/>
      <c r="W121" s="205"/>
      <c r="X121" s="205"/>
      <c r="Y121" s="205"/>
      <c r="Z121" s="206"/>
      <c r="AA121" s="328"/>
      <c r="AB121" s="328"/>
      <c r="AC121" s="394"/>
      <c r="AD121" s="72"/>
    </row>
    <row r="122" spans="1:30" ht="22.35" customHeight="1">
      <c r="A122" s="310" t="s">
        <v>8</v>
      </c>
      <c r="B122" s="323" t="s">
        <v>23</v>
      </c>
      <c r="C122" s="1337">
        <v>45936</v>
      </c>
      <c r="D122" s="324">
        <v>4</v>
      </c>
      <c r="E122" s="310">
        <v>462.5</v>
      </c>
      <c r="F122" s="392" t="s">
        <v>3471</v>
      </c>
      <c r="G122" s="310">
        <v>90</v>
      </c>
      <c r="H122" s="310">
        <v>343.02</v>
      </c>
      <c r="I122" s="310">
        <v>373.4</v>
      </c>
      <c r="J122" s="325">
        <v>1133.58</v>
      </c>
      <c r="K122" s="326"/>
      <c r="L122" s="319" t="s">
        <v>276</v>
      </c>
      <c r="M122" s="320">
        <v>10</v>
      </c>
      <c r="N122" s="576" t="s">
        <v>2998</v>
      </c>
      <c r="O122" s="199" t="s">
        <v>283</v>
      </c>
      <c r="P122" s="200"/>
      <c r="Q122" s="201">
        <v>45689</v>
      </c>
      <c r="R122" s="330" t="s">
        <v>3472</v>
      </c>
      <c r="S122" s="203"/>
      <c r="T122" s="199"/>
      <c r="U122" s="204"/>
      <c r="V122" s="205"/>
      <c r="W122" s="205"/>
      <c r="X122" s="205"/>
      <c r="Y122" s="205"/>
      <c r="Z122" s="206"/>
      <c r="AA122" s="328"/>
      <c r="AB122" s="328"/>
      <c r="AC122" s="394"/>
      <c r="AD122" s="72"/>
    </row>
    <row r="123" spans="1:30" ht="22.35" customHeight="1">
      <c r="A123" s="310" t="s">
        <v>10</v>
      </c>
      <c r="B123" s="323" t="s">
        <v>88</v>
      </c>
      <c r="C123" s="1337">
        <v>45936</v>
      </c>
      <c r="D123" s="324">
        <v>7</v>
      </c>
      <c r="E123" s="310">
        <v>268</v>
      </c>
      <c r="F123" s="392">
        <v>1876</v>
      </c>
      <c r="G123" s="310">
        <v>70</v>
      </c>
      <c r="H123" s="310">
        <v>337.68</v>
      </c>
      <c r="I123" s="310">
        <v>363.66</v>
      </c>
      <c r="J123" s="325">
        <v>1174.6600000000001</v>
      </c>
      <c r="K123" s="326"/>
      <c r="L123" s="319" t="s">
        <v>276</v>
      </c>
      <c r="M123" s="320">
        <v>5</v>
      </c>
      <c r="N123" s="576" t="s">
        <v>3331</v>
      </c>
      <c r="O123" s="199" t="s">
        <v>283</v>
      </c>
      <c r="P123" s="200" t="s">
        <v>97</v>
      </c>
      <c r="Q123" s="201">
        <v>45887</v>
      </c>
      <c r="R123" s="327" t="s">
        <v>3326</v>
      </c>
      <c r="S123" s="203">
        <v>172742</v>
      </c>
      <c r="T123" s="199" t="s">
        <v>3327</v>
      </c>
      <c r="U123" s="204" t="s">
        <v>2973</v>
      </c>
      <c r="V123" s="205">
        <v>2</v>
      </c>
      <c r="W123" s="205">
        <v>1</v>
      </c>
      <c r="X123" s="205">
        <v>0</v>
      </c>
      <c r="Y123" s="205">
        <v>0</v>
      </c>
      <c r="Z123" s="206">
        <v>1171970876</v>
      </c>
      <c r="AA123" s="328"/>
      <c r="AB123" s="328"/>
      <c r="AC123" s="394"/>
      <c r="AD123" s="72"/>
    </row>
    <row r="124" spans="1:30" ht="22.35" customHeight="1">
      <c r="A124" s="310" t="s">
        <v>10</v>
      </c>
      <c r="B124" s="323" t="s">
        <v>23</v>
      </c>
      <c r="C124" s="1337">
        <v>45932</v>
      </c>
      <c r="D124" s="324">
        <v>4</v>
      </c>
      <c r="E124" s="310">
        <v>287.5</v>
      </c>
      <c r="F124" s="392" t="s">
        <v>2395</v>
      </c>
      <c r="G124" s="310">
        <v>70</v>
      </c>
      <c r="H124" s="310">
        <v>213.35</v>
      </c>
      <c r="I124" s="310">
        <v>243.33</v>
      </c>
      <c r="J124" s="325">
        <v>693.32</v>
      </c>
      <c r="K124" s="326"/>
      <c r="L124" s="319" t="s">
        <v>276</v>
      </c>
      <c r="M124" s="320"/>
      <c r="N124" s="576" t="s">
        <v>2999</v>
      </c>
      <c r="O124" s="199" t="s">
        <v>283</v>
      </c>
      <c r="P124" s="200"/>
      <c r="Q124" s="201">
        <v>45713</v>
      </c>
      <c r="R124" s="330" t="s">
        <v>2394</v>
      </c>
      <c r="S124" s="203"/>
      <c r="T124" s="199"/>
      <c r="U124" s="204"/>
      <c r="V124" s="205"/>
      <c r="W124" s="205"/>
      <c r="X124" s="205"/>
      <c r="Y124" s="205"/>
      <c r="Z124" s="206"/>
      <c r="AA124" s="328"/>
      <c r="AB124" s="328"/>
      <c r="AC124" s="394"/>
      <c r="AD124" s="72"/>
    </row>
    <row r="125" spans="1:30" ht="22.35" customHeight="1">
      <c r="A125" s="310" t="s">
        <v>15</v>
      </c>
      <c r="B125" s="323" t="s">
        <v>88</v>
      </c>
      <c r="C125" s="1337">
        <v>45931</v>
      </c>
      <c r="D125" s="324">
        <v>30</v>
      </c>
      <c r="E125" s="310">
        <v>77.5</v>
      </c>
      <c r="F125" s="392">
        <v>2325</v>
      </c>
      <c r="G125" s="310">
        <v>75</v>
      </c>
      <c r="H125" s="310">
        <v>343.18</v>
      </c>
      <c r="I125" s="310">
        <v>322.88</v>
      </c>
      <c r="J125" s="325">
        <v>1658.94</v>
      </c>
      <c r="K125" s="326"/>
      <c r="L125" s="319" t="s">
        <v>276</v>
      </c>
      <c r="M125" s="320"/>
      <c r="N125" s="576" t="s">
        <v>1116</v>
      </c>
      <c r="O125" s="199" t="s">
        <v>283</v>
      </c>
      <c r="P125" s="200" t="s">
        <v>114</v>
      </c>
      <c r="Q125" s="201">
        <v>45605</v>
      </c>
      <c r="R125" s="327" t="s">
        <v>1117</v>
      </c>
      <c r="S125" s="203">
        <v>133708</v>
      </c>
      <c r="T125" s="199" t="s">
        <v>1118</v>
      </c>
      <c r="U125" s="204" t="s">
        <v>1119</v>
      </c>
      <c r="V125" s="205">
        <v>2</v>
      </c>
      <c r="W125" s="205">
        <v>0</v>
      </c>
      <c r="X125" s="205">
        <v>0</v>
      </c>
      <c r="Y125" s="205">
        <v>0</v>
      </c>
      <c r="Z125" s="206">
        <v>1016825531</v>
      </c>
      <c r="AA125" s="328"/>
      <c r="AB125" s="328"/>
      <c r="AC125" s="394"/>
      <c r="AD125" s="72"/>
    </row>
    <row r="126" spans="1:30" ht="22.35" customHeight="1">
      <c r="A126" s="310" t="s">
        <v>10</v>
      </c>
      <c r="B126" s="323" t="s">
        <v>88</v>
      </c>
      <c r="C126" s="1337">
        <v>45929</v>
      </c>
      <c r="D126" s="324">
        <v>3</v>
      </c>
      <c r="E126" s="310">
        <v>293.33</v>
      </c>
      <c r="F126" s="392">
        <v>880</v>
      </c>
      <c r="G126" s="310">
        <v>70</v>
      </c>
      <c r="H126" s="310">
        <v>158.4</v>
      </c>
      <c r="I126" s="310">
        <v>200.32</v>
      </c>
      <c r="J126" s="325">
        <v>521.28</v>
      </c>
      <c r="K126" s="326"/>
      <c r="L126" s="319" t="s">
        <v>276</v>
      </c>
      <c r="M126" s="320"/>
      <c r="N126" s="576" t="s">
        <v>3269</v>
      </c>
      <c r="O126" s="199" t="s">
        <v>283</v>
      </c>
      <c r="P126" s="200" t="s">
        <v>97</v>
      </c>
      <c r="Q126" s="201">
        <v>45874</v>
      </c>
      <c r="R126" s="327" t="s">
        <v>3266</v>
      </c>
      <c r="S126" s="203">
        <v>58380614</v>
      </c>
      <c r="T126" s="199" t="s">
        <v>3267</v>
      </c>
      <c r="U126" s="204" t="s">
        <v>127</v>
      </c>
      <c r="V126" s="205">
        <v>1</v>
      </c>
      <c r="W126" s="205">
        <v>0</v>
      </c>
      <c r="X126" s="205">
        <v>0</v>
      </c>
      <c r="Y126" s="205">
        <v>0</v>
      </c>
      <c r="Z126" s="206">
        <v>1164602641</v>
      </c>
      <c r="AA126" s="328"/>
      <c r="AB126" s="328"/>
      <c r="AC126" s="394"/>
      <c r="AD126" s="72"/>
    </row>
    <row r="127" spans="1:30" ht="22.35" customHeight="1">
      <c r="A127" s="310" t="s">
        <v>10</v>
      </c>
      <c r="B127" s="323" t="s">
        <v>3594</v>
      </c>
      <c r="C127" s="1337">
        <v>45927</v>
      </c>
      <c r="D127" s="324">
        <v>2</v>
      </c>
      <c r="E127" s="310">
        <v>225</v>
      </c>
      <c r="F127" s="392">
        <v>450</v>
      </c>
      <c r="G127" s="310">
        <v>70</v>
      </c>
      <c r="H127" s="310">
        <v>76.88</v>
      </c>
      <c r="I127" s="310">
        <v>130.62</v>
      </c>
      <c r="J127" s="325">
        <v>242.5</v>
      </c>
      <c r="K127" s="326"/>
      <c r="L127" s="319" t="s">
        <v>276</v>
      </c>
      <c r="M127" s="320"/>
      <c r="N127" s="577" t="s">
        <v>3592</v>
      </c>
      <c r="O127" s="569" t="s">
        <v>283</v>
      </c>
      <c r="P127" s="219" t="s">
        <v>1114</v>
      </c>
      <c r="Q127" s="567">
        <v>45922</v>
      </c>
      <c r="R127" s="321" t="s">
        <v>3593</v>
      </c>
      <c r="S127" s="568"/>
      <c r="T127" s="569">
        <v>12109013568</v>
      </c>
      <c r="U127" s="227"/>
      <c r="V127" s="251">
        <v>1</v>
      </c>
      <c r="W127" s="251"/>
      <c r="X127" s="251">
        <v>0</v>
      </c>
      <c r="Y127" s="251">
        <v>0</v>
      </c>
      <c r="Z127" s="570"/>
      <c r="AA127" s="540" t="e">
        <v>#N/A</v>
      </c>
      <c r="AB127" s="540" t="e">
        <v>#N/A</v>
      </c>
      <c r="AC127" s="310" t="e">
        <v>#N/A</v>
      </c>
      <c r="AD127" s="525" t="e">
        <v>#N/A</v>
      </c>
    </row>
    <row r="128" spans="1:30" ht="22.35" customHeight="1">
      <c r="A128" s="310" t="s">
        <v>10</v>
      </c>
      <c r="B128" s="323" t="s">
        <v>88</v>
      </c>
      <c r="C128" s="1337">
        <v>45921</v>
      </c>
      <c r="D128" s="324">
        <v>6</v>
      </c>
      <c r="E128" s="310">
        <v>296.67</v>
      </c>
      <c r="F128" s="392">
        <v>1780</v>
      </c>
      <c r="G128" s="310">
        <v>70</v>
      </c>
      <c r="H128" s="310">
        <v>320.39999999999998</v>
      </c>
      <c r="I128" s="310">
        <v>347.92</v>
      </c>
      <c r="J128" s="325">
        <v>1111.68</v>
      </c>
      <c r="K128" s="326"/>
      <c r="L128" s="319" t="s">
        <v>276</v>
      </c>
      <c r="M128" s="320">
        <v>5</v>
      </c>
      <c r="N128" s="576" t="s">
        <v>3000</v>
      </c>
      <c r="O128" s="199" t="s">
        <v>283</v>
      </c>
      <c r="P128" s="200" t="s">
        <v>97</v>
      </c>
      <c r="Q128" s="201">
        <v>45816</v>
      </c>
      <c r="R128" s="327" t="s">
        <v>2971</v>
      </c>
      <c r="S128" s="203">
        <v>56340674</v>
      </c>
      <c r="T128" s="199" t="s">
        <v>2972</v>
      </c>
      <c r="U128" s="204" t="s">
        <v>2973</v>
      </c>
      <c r="V128" s="205">
        <v>3</v>
      </c>
      <c r="W128" s="205">
        <v>0</v>
      </c>
      <c r="X128" s="205">
        <v>0</v>
      </c>
      <c r="Y128" s="205">
        <v>0</v>
      </c>
      <c r="Z128" s="206">
        <v>1128798894</v>
      </c>
      <c r="AA128" s="328"/>
      <c r="AB128" s="328"/>
      <c r="AC128" s="394"/>
      <c r="AD128" s="72"/>
    </row>
    <row r="129" spans="1:30" ht="22.35" customHeight="1">
      <c r="A129" s="310" t="s">
        <v>8</v>
      </c>
      <c r="B129" s="323" t="s">
        <v>88</v>
      </c>
      <c r="C129" s="1337">
        <v>45919</v>
      </c>
      <c r="D129" s="324">
        <v>16</v>
      </c>
      <c r="E129" s="310">
        <v>356.62</v>
      </c>
      <c r="F129" s="392">
        <v>5706</v>
      </c>
      <c r="G129" s="310">
        <v>90</v>
      </c>
      <c r="H129" s="310">
        <v>1027.08</v>
      </c>
      <c r="I129" s="310">
        <v>1007.78</v>
      </c>
      <c r="J129" s="325">
        <v>3671.14</v>
      </c>
      <c r="K129" s="326"/>
      <c r="L129" s="319" t="s">
        <v>276</v>
      </c>
      <c r="M129" s="320"/>
      <c r="N129" s="576" t="s">
        <v>3449</v>
      </c>
      <c r="O129" s="199" t="s">
        <v>283</v>
      </c>
      <c r="P129" s="200" t="s">
        <v>89</v>
      </c>
      <c r="Q129" s="201">
        <v>45704</v>
      </c>
      <c r="R129" s="327" t="s">
        <v>2342</v>
      </c>
      <c r="S129" s="203">
        <v>113909009</v>
      </c>
      <c r="T129" s="199" t="s">
        <v>2343</v>
      </c>
      <c r="U129" s="204" t="s">
        <v>2344</v>
      </c>
      <c r="V129" s="205">
        <v>2</v>
      </c>
      <c r="W129" s="205">
        <v>2</v>
      </c>
      <c r="X129" s="205">
        <v>0</v>
      </c>
      <c r="Y129" s="205">
        <v>0</v>
      </c>
      <c r="Z129" s="206">
        <v>1064426225</v>
      </c>
      <c r="AA129" s="328"/>
      <c r="AB129" s="328"/>
      <c r="AC129" s="394"/>
      <c r="AD129" s="72"/>
    </row>
    <row r="130" spans="1:30" ht="22.35" customHeight="1">
      <c r="A130" s="310" t="s">
        <v>8</v>
      </c>
      <c r="B130" s="323" t="s">
        <v>23</v>
      </c>
      <c r="C130" s="1337">
        <v>45916</v>
      </c>
      <c r="D130" s="324">
        <v>3</v>
      </c>
      <c r="E130" s="310">
        <v>420</v>
      </c>
      <c r="F130" s="392" t="s">
        <v>3473</v>
      </c>
      <c r="G130" s="310">
        <v>90</v>
      </c>
      <c r="H130" s="310">
        <v>233.1</v>
      </c>
      <c r="I130" s="310">
        <v>277.38</v>
      </c>
      <c r="J130" s="325">
        <v>749.52</v>
      </c>
      <c r="K130" s="326"/>
      <c r="L130" s="319" t="s">
        <v>276</v>
      </c>
      <c r="M130" s="320">
        <v>9</v>
      </c>
      <c r="N130" s="576" t="s">
        <v>3001</v>
      </c>
      <c r="O130" s="199" t="s">
        <v>283</v>
      </c>
      <c r="P130" s="200"/>
      <c r="Q130" s="201">
        <v>45665</v>
      </c>
      <c r="R130" s="330" t="s">
        <v>3474</v>
      </c>
      <c r="S130" s="203"/>
      <c r="T130" s="199"/>
      <c r="U130" s="204"/>
      <c r="V130" s="205"/>
      <c r="W130" s="205"/>
      <c r="X130" s="205"/>
      <c r="Y130" s="205"/>
      <c r="Z130" s="206"/>
      <c r="AA130" s="328"/>
      <c r="AB130" s="328"/>
      <c r="AC130" s="394"/>
      <c r="AD130" s="72"/>
    </row>
    <row r="131" spans="1:30" ht="22.35" customHeight="1">
      <c r="A131" s="310" t="s">
        <v>10</v>
      </c>
      <c r="B131" s="323" t="s">
        <v>88</v>
      </c>
      <c r="C131" s="1337">
        <v>45916</v>
      </c>
      <c r="D131" s="324">
        <v>5</v>
      </c>
      <c r="E131" s="310">
        <v>284</v>
      </c>
      <c r="F131" s="392">
        <v>1420</v>
      </c>
      <c r="G131" s="310">
        <v>70</v>
      </c>
      <c r="H131" s="310">
        <v>255.6</v>
      </c>
      <c r="I131" s="310">
        <v>288.88</v>
      </c>
      <c r="J131" s="325">
        <v>875.52</v>
      </c>
      <c r="K131" s="326"/>
      <c r="L131" s="319" t="s">
        <v>276</v>
      </c>
      <c r="M131" s="320">
        <v>5</v>
      </c>
      <c r="N131" s="576" t="s">
        <v>3002</v>
      </c>
      <c r="O131" s="199" t="s">
        <v>283</v>
      </c>
      <c r="P131" s="200" t="s">
        <v>97</v>
      </c>
      <c r="Q131" s="201">
        <v>45814</v>
      </c>
      <c r="R131" s="327" t="s">
        <v>2966</v>
      </c>
      <c r="S131" s="203">
        <v>18268136</v>
      </c>
      <c r="T131" s="199" t="s">
        <v>2967</v>
      </c>
      <c r="U131" s="204" t="s">
        <v>486</v>
      </c>
      <c r="V131" s="205">
        <v>2</v>
      </c>
      <c r="W131" s="205">
        <v>0</v>
      </c>
      <c r="X131" s="205">
        <v>0</v>
      </c>
      <c r="Y131" s="205">
        <v>0</v>
      </c>
      <c r="Z131" s="206">
        <v>1127370080</v>
      </c>
      <c r="AA131" s="328"/>
      <c r="AB131" s="328"/>
      <c r="AC131" s="394"/>
      <c r="AD131" s="72"/>
    </row>
    <row r="132" spans="1:30" ht="22.35" customHeight="1">
      <c r="A132" s="310" t="s">
        <v>8</v>
      </c>
      <c r="B132" s="323" t="s">
        <v>23</v>
      </c>
      <c r="C132" s="1337">
        <v>45914</v>
      </c>
      <c r="D132" s="324">
        <v>2</v>
      </c>
      <c r="E132" s="310">
        <v>202.44</v>
      </c>
      <c r="F132" s="392">
        <v>404.88</v>
      </c>
      <c r="G132" s="310">
        <v>90</v>
      </c>
      <c r="H132" s="310">
        <v>79.260000000000005</v>
      </c>
      <c r="I132" s="310">
        <v>137.12</v>
      </c>
      <c r="J132" s="325">
        <v>188.5</v>
      </c>
      <c r="K132" s="326"/>
      <c r="L132" s="319" t="s">
        <v>276</v>
      </c>
      <c r="M132" s="320">
        <v>10</v>
      </c>
      <c r="N132" s="577" t="s">
        <v>3558</v>
      </c>
      <c r="O132" s="569" t="s">
        <v>283</v>
      </c>
      <c r="P132" s="219" t="s">
        <v>1113</v>
      </c>
      <c r="Q132" s="567">
        <v>45912.31077546296</v>
      </c>
      <c r="R132" s="321" t="s">
        <v>3559</v>
      </c>
      <c r="S132" s="568"/>
      <c r="T132" s="569">
        <v>359887885382</v>
      </c>
      <c r="U132" s="227"/>
      <c r="V132" s="251">
        <v>4</v>
      </c>
      <c r="W132" s="251"/>
      <c r="X132" s="251">
        <v>0</v>
      </c>
      <c r="Y132" s="251"/>
      <c r="Z132" s="570"/>
      <c r="AA132" s="540" t="e">
        <v>#N/A</v>
      </c>
      <c r="AB132" s="540" t="e">
        <v>#N/A</v>
      </c>
      <c r="AC132" s="310" t="e">
        <v>#N/A</v>
      </c>
      <c r="AD132" s="525" t="e">
        <v>#N/A</v>
      </c>
    </row>
    <row r="133" spans="1:30" ht="22.35" customHeight="1">
      <c r="A133" s="310" t="s">
        <v>10</v>
      </c>
      <c r="B133" s="323" t="s">
        <v>88</v>
      </c>
      <c r="C133" s="1337">
        <v>45912</v>
      </c>
      <c r="D133" s="324">
        <v>4</v>
      </c>
      <c r="E133" s="310">
        <v>287.5</v>
      </c>
      <c r="F133" s="392">
        <v>1150</v>
      </c>
      <c r="G133" s="310">
        <v>70</v>
      </c>
      <c r="H133" s="310">
        <v>207</v>
      </c>
      <c r="I133" s="310">
        <v>244.6</v>
      </c>
      <c r="J133" s="325">
        <v>698.4</v>
      </c>
      <c r="K133" s="326"/>
      <c r="L133" s="319" t="s">
        <v>276</v>
      </c>
      <c r="M133" s="320">
        <v>5</v>
      </c>
      <c r="N133" s="576" t="s">
        <v>3098</v>
      </c>
      <c r="O133" s="199" t="s">
        <v>283</v>
      </c>
      <c r="P133" s="200" t="s">
        <v>97</v>
      </c>
      <c r="Q133" s="201">
        <v>45843</v>
      </c>
      <c r="R133" s="327" t="s">
        <v>3092</v>
      </c>
      <c r="S133" s="203">
        <v>20569778</v>
      </c>
      <c r="T133" s="199" t="s">
        <v>3093</v>
      </c>
      <c r="U133" s="204" t="s">
        <v>3094</v>
      </c>
      <c r="V133" s="205">
        <v>2</v>
      </c>
      <c r="W133" s="205">
        <v>0</v>
      </c>
      <c r="X133" s="205">
        <v>0</v>
      </c>
      <c r="Y133" s="205">
        <v>0</v>
      </c>
      <c r="Z133" s="206">
        <v>1144802054</v>
      </c>
      <c r="AA133" s="328"/>
      <c r="AB133" s="328"/>
      <c r="AC133" s="394"/>
      <c r="AD133" s="72"/>
    </row>
    <row r="134" spans="1:30" ht="22.35" customHeight="1">
      <c r="A134" s="310" t="s">
        <v>8</v>
      </c>
      <c r="B134" s="323" t="s">
        <v>88</v>
      </c>
      <c r="C134" s="1337">
        <v>45911</v>
      </c>
      <c r="D134" s="324">
        <v>3</v>
      </c>
      <c r="E134" s="310">
        <v>420</v>
      </c>
      <c r="F134" s="392">
        <v>1260</v>
      </c>
      <c r="G134" s="310">
        <v>90</v>
      </c>
      <c r="H134" s="310">
        <v>226.8</v>
      </c>
      <c r="I134" s="310">
        <v>278.64</v>
      </c>
      <c r="J134" s="325">
        <v>754.56</v>
      </c>
      <c r="K134" s="326"/>
      <c r="L134" s="319" t="s">
        <v>276</v>
      </c>
      <c r="M134" s="320">
        <v>5</v>
      </c>
      <c r="N134" s="576" t="s">
        <v>3168</v>
      </c>
      <c r="O134" s="199" t="s">
        <v>283</v>
      </c>
      <c r="P134" s="200" t="s">
        <v>89</v>
      </c>
      <c r="Q134" s="201">
        <v>45852</v>
      </c>
      <c r="R134" s="327" t="s">
        <v>3158</v>
      </c>
      <c r="S134" s="203">
        <v>426700392</v>
      </c>
      <c r="T134" s="199" t="s">
        <v>3159</v>
      </c>
      <c r="U134" s="204" t="s">
        <v>773</v>
      </c>
      <c r="V134" s="205">
        <v>3</v>
      </c>
      <c r="W134" s="205">
        <v>0</v>
      </c>
      <c r="X134" s="205">
        <v>0</v>
      </c>
      <c r="Y134" s="205">
        <v>0</v>
      </c>
      <c r="Z134" s="206">
        <v>1151072988</v>
      </c>
      <c r="AA134" s="328"/>
      <c r="AB134" s="328"/>
      <c r="AC134" s="394"/>
      <c r="AD134" s="72"/>
    </row>
    <row r="135" spans="1:30" ht="22.35" customHeight="1">
      <c r="A135" s="310" t="s">
        <v>10</v>
      </c>
      <c r="B135" s="323" t="s">
        <v>88</v>
      </c>
      <c r="C135" s="1337">
        <v>45908</v>
      </c>
      <c r="D135" s="324">
        <v>3</v>
      </c>
      <c r="E135" s="310">
        <v>293.33</v>
      </c>
      <c r="F135" s="392">
        <v>880</v>
      </c>
      <c r="G135" s="310">
        <v>70</v>
      </c>
      <c r="H135" s="310">
        <v>158.4</v>
      </c>
      <c r="I135" s="310">
        <v>200.32</v>
      </c>
      <c r="J135" s="325">
        <v>521.28</v>
      </c>
      <c r="K135" s="326"/>
      <c r="L135" s="319" t="s">
        <v>276</v>
      </c>
      <c r="M135" s="320"/>
      <c r="N135" s="576" t="s">
        <v>3131</v>
      </c>
      <c r="O135" s="199" t="s">
        <v>283</v>
      </c>
      <c r="P135" s="200" t="s">
        <v>97</v>
      </c>
      <c r="Q135" s="201">
        <v>45848</v>
      </c>
      <c r="R135" s="327" t="s">
        <v>3117</v>
      </c>
      <c r="S135" s="203">
        <v>60075608</v>
      </c>
      <c r="T135" s="199" t="s">
        <v>3118</v>
      </c>
      <c r="U135" s="204" t="s">
        <v>3119</v>
      </c>
      <c r="V135" s="205">
        <v>2</v>
      </c>
      <c r="W135" s="205">
        <v>0</v>
      </c>
      <c r="X135" s="205">
        <v>0</v>
      </c>
      <c r="Y135" s="205">
        <v>0</v>
      </c>
      <c r="Z135" s="206">
        <v>1148410819</v>
      </c>
      <c r="AA135" s="328"/>
      <c r="AB135" s="328"/>
      <c r="AC135" s="394"/>
      <c r="AD135" s="72"/>
    </row>
    <row r="136" spans="1:30" ht="22.35" customHeight="1">
      <c r="A136" s="310" t="s">
        <v>8</v>
      </c>
      <c r="B136" s="323" t="s">
        <v>23</v>
      </c>
      <c r="C136" s="1337">
        <v>45907</v>
      </c>
      <c r="D136" s="324">
        <v>4</v>
      </c>
      <c r="E136" s="310">
        <v>184.06</v>
      </c>
      <c r="F136" s="392" t="s">
        <v>3475</v>
      </c>
      <c r="G136" s="310">
        <v>90</v>
      </c>
      <c r="H136" s="310">
        <v>144.30000000000001</v>
      </c>
      <c r="I136" s="310">
        <v>190.39</v>
      </c>
      <c r="J136" s="325">
        <v>401.54</v>
      </c>
      <c r="K136" s="326"/>
      <c r="L136" s="319" t="s">
        <v>276</v>
      </c>
      <c r="M136" s="320">
        <v>10</v>
      </c>
      <c r="N136" s="576" t="s">
        <v>3410</v>
      </c>
      <c r="O136" s="199" t="s">
        <v>283</v>
      </c>
      <c r="P136" s="200"/>
      <c r="Q136" s="201">
        <v>45901</v>
      </c>
      <c r="R136" s="330" t="s">
        <v>3390</v>
      </c>
      <c r="S136" s="203"/>
      <c r="T136" s="199"/>
      <c r="U136" s="204"/>
      <c r="V136" s="205"/>
      <c r="W136" s="205"/>
      <c r="X136" s="205"/>
      <c r="Y136" s="205"/>
      <c r="Z136" s="206"/>
      <c r="AA136" s="328"/>
      <c r="AB136" s="328"/>
      <c r="AC136" s="394"/>
      <c r="AD136" s="72"/>
    </row>
    <row r="137" spans="1:30" ht="22.35" customHeight="1">
      <c r="A137" s="310" t="s">
        <v>10</v>
      </c>
      <c r="B137" s="323" t="s">
        <v>88</v>
      </c>
      <c r="C137" s="1337">
        <v>45905</v>
      </c>
      <c r="D137" s="324">
        <v>3</v>
      </c>
      <c r="E137" s="310">
        <v>248.33</v>
      </c>
      <c r="F137" s="392">
        <v>745</v>
      </c>
      <c r="G137" s="310">
        <v>70</v>
      </c>
      <c r="H137" s="310">
        <v>134.1</v>
      </c>
      <c r="I137" s="310">
        <v>178.18</v>
      </c>
      <c r="J137" s="325">
        <v>432.72</v>
      </c>
      <c r="K137" s="326"/>
      <c r="L137" s="319" t="s">
        <v>276</v>
      </c>
      <c r="M137" s="320">
        <v>5</v>
      </c>
      <c r="N137" s="576" t="s">
        <v>3253</v>
      </c>
      <c r="O137" s="199" t="s">
        <v>283</v>
      </c>
      <c r="P137" s="200" t="s">
        <v>97</v>
      </c>
      <c r="Q137" s="201">
        <v>45869</v>
      </c>
      <c r="R137" s="327" t="s">
        <v>3248</v>
      </c>
      <c r="S137" s="203">
        <v>353337913</v>
      </c>
      <c r="T137" s="199" t="s">
        <v>3249</v>
      </c>
      <c r="U137" s="204" t="s">
        <v>3250</v>
      </c>
      <c r="V137" s="205">
        <v>2</v>
      </c>
      <c r="W137" s="205">
        <v>0</v>
      </c>
      <c r="X137" s="205">
        <v>0</v>
      </c>
      <c r="Y137" s="205">
        <v>0</v>
      </c>
      <c r="Z137" s="206">
        <v>1161198677</v>
      </c>
      <c r="AA137" s="328"/>
      <c r="AB137" s="328"/>
      <c r="AC137" s="394"/>
      <c r="AD137" s="72"/>
    </row>
    <row r="138" spans="1:30" ht="22.35" customHeight="1">
      <c r="A138" s="310" t="s">
        <v>8</v>
      </c>
      <c r="B138" s="323" t="s">
        <v>23</v>
      </c>
      <c r="C138" s="1337">
        <v>45903</v>
      </c>
      <c r="D138" s="324">
        <v>4</v>
      </c>
      <c r="E138" s="310">
        <v>412.5</v>
      </c>
      <c r="F138" s="392" t="s">
        <v>3476</v>
      </c>
      <c r="G138" s="310">
        <v>90</v>
      </c>
      <c r="H138" s="310">
        <v>305.35000000000002</v>
      </c>
      <c r="I138" s="310">
        <v>340.93</v>
      </c>
      <c r="J138" s="325">
        <v>1003.72</v>
      </c>
      <c r="K138" s="326"/>
      <c r="L138" s="319" t="s">
        <v>276</v>
      </c>
      <c r="M138" s="320">
        <v>9</v>
      </c>
      <c r="N138" s="576" t="s">
        <v>3003</v>
      </c>
      <c r="O138" s="199" t="s">
        <v>283</v>
      </c>
      <c r="P138" s="200"/>
      <c r="Q138" s="201">
        <v>45696</v>
      </c>
      <c r="R138" s="330" t="s">
        <v>3477</v>
      </c>
      <c r="S138" s="203"/>
      <c r="T138" s="199"/>
      <c r="U138" s="204"/>
      <c r="V138" s="205"/>
      <c r="W138" s="205"/>
      <c r="X138" s="205"/>
      <c r="Y138" s="205"/>
      <c r="Z138" s="206"/>
      <c r="AA138" s="328"/>
      <c r="AB138" s="328"/>
      <c r="AC138" s="394"/>
      <c r="AD138" s="72"/>
    </row>
    <row r="139" spans="1:30" ht="22.35" customHeight="1">
      <c r="A139" s="310" t="s">
        <v>10</v>
      </c>
      <c r="B139" s="323" t="s">
        <v>88</v>
      </c>
      <c r="C139" s="1337">
        <v>45900.583333333336</v>
      </c>
      <c r="D139" s="324">
        <v>5</v>
      </c>
      <c r="E139" s="310">
        <v>263</v>
      </c>
      <c r="F139" s="392">
        <v>1315</v>
      </c>
      <c r="G139" s="310">
        <v>70</v>
      </c>
      <c r="H139" s="310">
        <v>236.7</v>
      </c>
      <c r="I139" s="310">
        <v>271.66000000000003</v>
      </c>
      <c r="J139" s="325">
        <v>806.64</v>
      </c>
      <c r="K139" s="326"/>
      <c r="L139" s="319" t="s">
        <v>276</v>
      </c>
      <c r="M139" s="320">
        <v>5</v>
      </c>
      <c r="N139" s="577" t="s">
        <v>3004</v>
      </c>
      <c r="O139" s="569" t="s">
        <v>283</v>
      </c>
      <c r="P139" s="219" t="s">
        <v>1114</v>
      </c>
      <c r="Q139" s="567">
        <v>45817.592662037037</v>
      </c>
      <c r="R139" s="321" t="s">
        <v>2975</v>
      </c>
      <c r="S139" s="568"/>
      <c r="T139" s="569">
        <v>16155455990</v>
      </c>
      <c r="U139" s="227"/>
      <c r="V139" s="251">
        <v>2</v>
      </c>
      <c r="W139" s="251"/>
      <c r="X139" s="251">
        <v>0</v>
      </c>
      <c r="Y139" s="251">
        <v>0</v>
      </c>
      <c r="Z139" s="570"/>
      <c r="AA139" s="540" t="e">
        <v>#N/A</v>
      </c>
      <c r="AB139" s="540" t="e">
        <v>#N/A</v>
      </c>
      <c r="AC139" s="310" t="e">
        <v>#N/A</v>
      </c>
      <c r="AD139" s="525" t="e">
        <v>#N/A</v>
      </c>
    </row>
    <row r="140" spans="1:30" ht="22.35" customHeight="1">
      <c r="A140" s="310" t="s">
        <v>10</v>
      </c>
      <c r="B140" s="323" t="s">
        <v>88</v>
      </c>
      <c r="C140" s="1337">
        <v>45898</v>
      </c>
      <c r="D140" s="324">
        <v>0</v>
      </c>
      <c r="E140" s="310">
        <v>0</v>
      </c>
      <c r="F140" s="392">
        <v>390</v>
      </c>
      <c r="G140" s="310">
        <v>0</v>
      </c>
      <c r="H140" s="310">
        <v>70.2</v>
      </c>
      <c r="I140" s="310">
        <v>31.8</v>
      </c>
      <c r="J140" s="325">
        <v>99.92</v>
      </c>
      <c r="K140" s="326"/>
      <c r="L140" s="319" t="s">
        <v>276</v>
      </c>
      <c r="M140" s="320"/>
      <c r="N140" s="576"/>
      <c r="O140" s="199" t="s">
        <v>283</v>
      </c>
      <c r="P140" s="200" t="s">
        <v>97</v>
      </c>
      <c r="Q140" s="201">
        <v>45890</v>
      </c>
      <c r="R140" s="327" t="s">
        <v>3478</v>
      </c>
      <c r="S140" s="203">
        <v>183152700</v>
      </c>
      <c r="T140" s="199" t="s">
        <v>3479</v>
      </c>
      <c r="U140" s="204" t="s">
        <v>3287</v>
      </c>
      <c r="V140" s="205">
        <v>2</v>
      </c>
      <c r="W140" s="205">
        <v>0</v>
      </c>
      <c r="X140" s="205">
        <v>0</v>
      </c>
      <c r="Y140" s="205">
        <v>0</v>
      </c>
      <c r="Z140" s="206">
        <v>1174165134</v>
      </c>
      <c r="AA140" s="328"/>
      <c r="AB140" s="328"/>
      <c r="AC140" s="394"/>
      <c r="AD140" s="72"/>
    </row>
    <row r="141" spans="1:30" ht="22.35" customHeight="1">
      <c r="A141" s="310" t="s">
        <v>8</v>
      </c>
      <c r="B141" s="323" t="s">
        <v>88</v>
      </c>
      <c r="C141" s="1337">
        <v>45897</v>
      </c>
      <c r="D141" s="324">
        <v>6</v>
      </c>
      <c r="E141" s="310">
        <v>365</v>
      </c>
      <c r="F141" s="392">
        <v>2190</v>
      </c>
      <c r="G141" s="310">
        <v>90</v>
      </c>
      <c r="H141" s="310">
        <v>394.2</v>
      </c>
      <c r="I141" s="310">
        <v>431.16</v>
      </c>
      <c r="J141" s="325">
        <v>1364.64</v>
      </c>
      <c r="K141" s="326"/>
      <c r="L141" s="319" t="s">
        <v>276</v>
      </c>
      <c r="M141" s="320">
        <v>5</v>
      </c>
      <c r="N141" s="576" t="s">
        <v>3005</v>
      </c>
      <c r="O141" s="199" t="s">
        <v>283</v>
      </c>
      <c r="P141" s="200" t="s">
        <v>89</v>
      </c>
      <c r="Q141" s="201">
        <v>45816</v>
      </c>
      <c r="R141" s="327" t="s">
        <v>2979</v>
      </c>
      <c r="S141" s="203">
        <v>15246452</v>
      </c>
      <c r="T141" s="199" t="s">
        <v>2980</v>
      </c>
      <c r="U141" s="204" t="s">
        <v>122</v>
      </c>
      <c r="V141" s="205">
        <v>4</v>
      </c>
      <c r="W141" s="205">
        <v>0</v>
      </c>
      <c r="X141" s="205">
        <v>0</v>
      </c>
      <c r="Y141" s="205">
        <v>0</v>
      </c>
      <c r="Z141" s="206">
        <v>1128703158</v>
      </c>
      <c r="AA141" s="328"/>
      <c r="AB141" s="328"/>
      <c r="AC141" s="394"/>
      <c r="AD141" s="72"/>
    </row>
    <row r="142" spans="1:30" ht="22.35" customHeight="1">
      <c r="A142" s="310" t="s">
        <v>10</v>
      </c>
      <c r="B142" s="323" t="s">
        <v>88</v>
      </c>
      <c r="C142" s="1337">
        <v>45892</v>
      </c>
      <c r="D142" s="324">
        <v>6</v>
      </c>
      <c r="E142" s="310">
        <v>256.67</v>
      </c>
      <c r="F142" s="392">
        <v>1540</v>
      </c>
      <c r="G142" s="310">
        <v>70</v>
      </c>
      <c r="H142" s="310">
        <v>277.2</v>
      </c>
      <c r="I142" s="310">
        <v>308.56</v>
      </c>
      <c r="J142" s="325">
        <v>954.24</v>
      </c>
      <c r="K142" s="326"/>
      <c r="L142" s="319" t="s">
        <v>276</v>
      </c>
      <c r="M142" s="320"/>
      <c r="N142" s="576" t="s">
        <v>3006</v>
      </c>
      <c r="O142" s="199" t="s">
        <v>283</v>
      </c>
      <c r="P142" s="200" t="s">
        <v>97</v>
      </c>
      <c r="Q142" s="201">
        <v>45797</v>
      </c>
      <c r="R142" s="327" t="s">
        <v>2919</v>
      </c>
      <c r="S142" s="203">
        <v>87299703</v>
      </c>
      <c r="T142" s="199" t="s">
        <v>2920</v>
      </c>
      <c r="U142" s="204" t="s">
        <v>2921</v>
      </c>
      <c r="V142" s="205">
        <v>2</v>
      </c>
      <c r="W142" s="205">
        <v>0</v>
      </c>
      <c r="X142" s="205">
        <v>0</v>
      </c>
      <c r="Y142" s="205">
        <v>0</v>
      </c>
      <c r="Z142" s="206">
        <v>1116899787</v>
      </c>
      <c r="AA142" s="328"/>
      <c r="AB142" s="328"/>
      <c r="AC142" s="394"/>
      <c r="AD142" s="72"/>
    </row>
    <row r="143" spans="1:30" ht="22.35" customHeight="1">
      <c r="A143" s="310" t="s">
        <v>8</v>
      </c>
      <c r="B143" s="323" t="s">
        <v>88</v>
      </c>
      <c r="C143" s="1337">
        <v>45890</v>
      </c>
      <c r="D143" s="324">
        <v>6</v>
      </c>
      <c r="E143" s="310">
        <v>371.67</v>
      </c>
      <c r="F143" s="392">
        <v>2230</v>
      </c>
      <c r="G143" s="310">
        <v>90</v>
      </c>
      <c r="H143" s="310">
        <v>401.4</v>
      </c>
      <c r="I143" s="310">
        <v>437.72</v>
      </c>
      <c r="J143" s="325">
        <v>1390.88</v>
      </c>
      <c r="K143" s="326"/>
      <c r="L143" s="319" t="s">
        <v>276</v>
      </c>
      <c r="M143" s="320">
        <v>5</v>
      </c>
      <c r="N143" s="576" t="s">
        <v>3153</v>
      </c>
      <c r="O143" s="199" t="s">
        <v>283</v>
      </c>
      <c r="P143" s="200" t="s">
        <v>89</v>
      </c>
      <c r="Q143" s="201">
        <v>45852</v>
      </c>
      <c r="R143" s="327" t="s">
        <v>3143</v>
      </c>
      <c r="S143" s="203">
        <v>582734</v>
      </c>
      <c r="T143" s="199" t="s">
        <v>3144</v>
      </c>
      <c r="U143" s="204" t="s">
        <v>127</v>
      </c>
      <c r="V143" s="205">
        <v>2</v>
      </c>
      <c r="W143" s="205">
        <v>2</v>
      </c>
      <c r="X143" s="205">
        <v>0</v>
      </c>
      <c r="Y143" s="205">
        <v>0</v>
      </c>
      <c r="Z143" s="206">
        <v>1150596754</v>
      </c>
      <c r="AA143" s="328"/>
      <c r="AB143" s="328"/>
      <c r="AC143" s="394"/>
      <c r="AD143" s="72"/>
    </row>
    <row r="144" spans="1:30" ht="22.35" customHeight="1">
      <c r="A144" s="310" t="s">
        <v>8</v>
      </c>
      <c r="B144" s="323" t="s">
        <v>23</v>
      </c>
      <c r="C144" s="1337">
        <v>45887</v>
      </c>
      <c r="D144" s="324">
        <v>3</v>
      </c>
      <c r="E144" s="310">
        <v>340</v>
      </c>
      <c r="F144" s="392" t="s">
        <v>3480</v>
      </c>
      <c r="G144" s="310">
        <v>90</v>
      </c>
      <c r="H144" s="310">
        <v>189.65</v>
      </c>
      <c r="I144" s="310">
        <v>238.07</v>
      </c>
      <c r="J144" s="325">
        <v>592.28</v>
      </c>
      <c r="K144" s="326"/>
      <c r="L144" s="319" t="s">
        <v>276</v>
      </c>
      <c r="M144" s="320">
        <v>10</v>
      </c>
      <c r="N144" s="576" t="s">
        <v>3279</v>
      </c>
      <c r="O144" s="199" t="s">
        <v>283</v>
      </c>
      <c r="P144" s="200"/>
      <c r="Q144" s="201">
        <v>45876</v>
      </c>
      <c r="R144" s="330" t="s">
        <v>3481</v>
      </c>
      <c r="S144" s="203"/>
      <c r="T144" s="199"/>
      <c r="U144" s="204"/>
      <c r="V144" s="205"/>
      <c r="W144" s="205"/>
      <c r="X144" s="205"/>
      <c r="Y144" s="205"/>
      <c r="Z144" s="206"/>
      <c r="AA144" s="328"/>
      <c r="AB144" s="328"/>
      <c r="AC144" s="394"/>
      <c r="AD144" s="72"/>
    </row>
    <row r="145" spans="1:30" ht="22.35" customHeight="1">
      <c r="A145" s="310" t="s">
        <v>10</v>
      </c>
      <c r="B145" s="323" t="s">
        <v>88</v>
      </c>
      <c r="C145" s="1337">
        <v>45886</v>
      </c>
      <c r="D145" s="324">
        <v>4</v>
      </c>
      <c r="E145" s="310">
        <v>262.5</v>
      </c>
      <c r="F145" s="392">
        <v>1050</v>
      </c>
      <c r="G145" s="310">
        <v>70</v>
      </c>
      <c r="H145" s="310">
        <v>189</v>
      </c>
      <c r="I145" s="310">
        <v>228.2</v>
      </c>
      <c r="J145" s="325">
        <v>632.79999999999995</v>
      </c>
      <c r="K145" s="326"/>
      <c r="L145" s="319" t="s">
        <v>276</v>
      </c>
      <c r="M145" s="320"/>
      <c r="N145" s="576" t="s">
        <v>3007</v>
      </c>
      <c r="O145" s="199" t="s">
        <v>283</v>
      </c>
      <c r="P145" s="200" t="s">
        <v>97</v>
      </c>
      <c r="Q145" s="201">
        <v>45705</v>
      </c>
      <c r="R145" s="327" t="s">
        <v>886</v>
      </c>
      <c r="S145" s="203">
        <v>206251893</v>
      </c>
      <c r="T145" s="199" t="s">
        <v>887</v>
      </c>
      <c r="U145" s="204" t="s">
        <v>888</v>
      </c>
      <c r="V145" s="205">
        <v>2</v>
      </c>
      <c r="W145" s="205">
        <v>0</v>
      </c>
      <c r="X145" s="205">
        <v>0</v>
      </c>
      <c r="Y145" s="205">
        <v>0</v>
      </c>
      <c r="Z145" s="206">
        <v>1064669490</v>
      </c>
      <c r="AA145" s="328"/>
      <c r="AB145" s="328"/>
      <c r="AC145" s="394"/>
      <c r="AD145" s="72"/>
    </row>
    <row r="146" spans="1:30" ht="22.35" customHeight="1">
      <c r="A146" s="310" t="s">
        <v>10</v>
      </c>
      <c r="B146" s="323" t="s">
        <v>88</v>
      </c>
      <c r="C146" s="1337">
        <v>45884</v>
      </c>
      <c r="D146" s="324">
        <v>2</v>
      </c>
      <c r="E146" s="310">
        <v>255</v>
      </c>
      <c r="F146" s="392">
        <v>510</v>
      </c>
      <c r="G146" s="310">
        <v>70</v>
      </c>
      <c r="H146" s="310">
        <v>91.8</v>
      </c>
      <c r="I146" s="310">
        <v>139.63999999999999</v>
      </c>
      <c r="J146" s="325">
        <v>278.56</v>
      </c>
      <c r="K146" s="326"/>
      <c r="L146" s="319" t="s">
        <v>276</v>
      </c>
      <c r="M146" s="320">
        <v>5</v>
      </c>
      <c r="N146" s="576" t="s">
        <v>3254</v>
      </c>
      <c r="O146" s="199" t="s">
        <v>283</v>
      </c>
      <c r="P146" s="200" t="s">
        <v>97</v>
      </c>
      <c r="Q146" s="201">
        <v>45868</v>
      </c>
      <c r="R146" s="327" t="s">
        <v>3243</v>
      </c>
      <c r="S146" s="203">
        <v>706334098</v>
      </c>
      <c r="T146" s="199" t="s">
        <v>3482</v>
      </c>
      <c r="U146" s="204" t="s">
        <v>36</v>
      </c>
      <c r="V146" s="205">
        <v>2</v>
      </c>
      <c r="W146" s="205">
        <v>2</v>
      </c>
      <c r="X146" s="205">
        <v>0</v>
      </c>
      <c r="Y146" s="205">
        <v>0</v>
      </c>
      <c r="Z146" s="206">
        <v>1160856908</v>
      </c>
      <c r="AA146" s="328"/>
      <c r="AB146" s="328"/>
      <c r="AC146" s="394"/>
      <c r="AD146" s="72"/>
    </row>
    <row r="147" spans="1:30" ht="22.35" customHeight="1">
      <c r="A147" s="310" t="s">
        <v>8</v>
      </c>
      <c r="B147" s="323" t="s">
        <v>88</v>
      </c>
      <c r="C147" s="1337">
        <v>45882</v>
      </c>
      <c r="D147" s="324">
        <v>3</v>
      </c>
      <c r="E147" s="310">
        <v>360</v>
      </c>
      <c r="F147" s="392">
        <v>1080</v>
      </c>
      <c r="G147" s="310">
        <v>90</v>
      </c>
      <c r="H147" s="310">
        <v>194.4</v>
      </c>
      <c r="I147" s="310">
        <v>249.12</v>
      </c>
      <c r="J147" s="325">
        <v>636.48</v>
      </c>
      <c r="K147" s="326"/>
      <c r="L147" s="319" t="s">
        <v>276</v>
      </c>
      <c r="M147" s="320">
        <v>5</v>
      </c>
      <c r="N147" s="576" t="s">
        <v>3154</v>
      </c>
      <c r="O147" s="199" t="s">
        <v>283</v>
      </c>
      <c r="P147" s="200" t="s">
        <v>89</v>
      </c>
      <c r="Q147" s="201">
        <v>45851</v>
      </c>
      <c r="R147" s="327" t="s">
        <v>3139</v>
      </c>
      <c r="S147" s="203">
        <v>93349530</v>
      </c>
      <c r="T147" s="199" t="s">
        <v>3483</v>
      </c>
      <c r="U147" s="204" t="s">
        <v>393</v>
      </c>
      <c r="V147" s="205">
        <v>4</v>
      </c>
      <c r="W147" s="205">
        <v>0</v>
      </c>
      <c r="X147" s="205">
        <v>0</v>
      </c>
      <c r="Y147" s="205">
        <v>0</v>
      </c>
      <c r="Z147" s="206">
        <v>1150221562</v>
      </c>
      <c r="AA147" s="328"/>
      <c r="AB147" s="328"/>
      <c r="AC147" s="394"/>
      <c r="AD147" s="72"/>
    </row>
    <row r="148" spans="1:30" ht="22.35" customHeight="1">
      <c r="A148" s="310" t="s">
        <v>10</v>
      </c>
      <c r="B148" s="323" t="s">
        <v>88</v>
      </c>
      <c r="C148" s="1337">
        <v>45881</v>
      </c>
      <c r="D148" s="324">
        <v>0</v>
      </c>
      <c r="E148" s="310">
        <v>235</v>
      </c>
      <c r="F148" s="392">
        <v>705</v>
      </c>
      <c r="G148" s="310"/>
      <c r="H148" s="310">
        <v>139.5</v>
      </c>
      <c r="I148" s="310">
        <v>113.1</v>
      </c>
      <c r="J148" s="325">
        <v>452.4</v>
      </c>
      <c r="K148" s="326"/>
      <c r="L148" s="319" t="s">
        <v>276</v>
      </c>
      <c r="M148" s="320"/>
      <c r="N148" s="576"/>
      <c r="O148" s="199" t="s">
        <v>283</v>
      </c>
      <c r="P148" s="200" t="s">
        <v>97</v>
      </c>
      <c r="Q148" s="201">
        <v>45852</v>
      </c>
      <c r="R148" s="327" t="s">
        <v>3484</v>
      </c>
      <c r="S148" s="203">
        <v>2547797</v>
      </c>
      <c r="T148" s="199" t="s">
        <v>3485</v>
      </c>
      <c r="U148" s="204" t="s">
        <v>122</v>
      </c>
      <c r="V148" s="205">
        <v>2</v>
      </c>
      <c r="W148" s="205">
        <v>1</v>
      </c>
      <c r="X148" s="205">
        <v>0</v>
      </c>
      <c r="Y148" s="205">
        <v>0</v>
      </c>
      <c r="Z148" s="206">
        <v>1150611524</v>
      </c>
      <c r="AA148" s="328"/>
      <c r="AB148" s="328"/>
      <c r="AC148" s="394"/>
      <c r="AD148" s="72"/>
    </row>
    <row r="149" spans="1:30" ht="22.35" customHeight="1">
      <c r="A149" s="310" t="s">
        <v>8</v>
      </c>
      <c r="B149" s="323" t="s">
        <v>23</v>
      </c>
      <c r="C149" s="1337">
        <v>45878</v>
      </c>
      <c r="D149" s="324">
        <v>3</v>
      </c>
      <c r="E149" s="310">
        <v>390</v>
      </c>
      <c r="F149" s="392" t="s">
        <v>3486</v>
      </c>
      <c r="G149" s="310">
        <v>90</v>
      </c>
      <c r="H149" s="310">
        <v>217.74</v>
      </c>
      <c r="I149" s="310">
        <v>262.45</v>
      </c>
      <c r="J149" s="325">
        <v>689.81</v>
      </c>
      <c r="K149" s="326"/>
      <c r="L149" s="319" t="s">
        <v>276</v>
      </c>
      <c r="M149" s="320">
        <v>9</v>
      </c>
      <c r="N149" s="576" t="s">
        <v>3061</v>
      </c>
      <c r="O149" s="199" t="s">
        <v>283</v>
      </c>
      <c r="P149" s="200"/>
      <c r="Q149" s="201">
        <v>45830</v>
      </c>
      <c r="R149" s="330" t="s">
        <v>3487</v>
      </c>
      <c r="S149" s="203"/>
      <c r="T149" s="199"/>
      <c r="U149" s="204"/>
      <c r="V149" s="205"/>
      <c r="W149" s="205"/>
      <c r="X149" s="205"/>
      <c r="Y149" s="205"/>
      <c r="Z149" s="206"/>
      <c r="AA149" s="328"/>
      <c r="AB149" s="328"/>
      <c r="AC149" s="394"/>
      <c r="AD149" s="72"/>
    </row>
    <row r="150" spans="1:30" ht="22.35" customHeight="1">
      <c r="A150" s="310" t="s">
        <v>10</v>
      </c>
      <c r="B150" s="323" t="s">
        <v>23</v>
      </c>
      <c r="C150" s="1337">
        <v>45878</v>
      </c>
      <c r="D150" s="324">
        <v>3</v>
      </c>
      <c r="E150" s="310">
        <v>298.33</v>
      </c>
      <c r="F150" s="392" t="s">
        <v>1788</v>
      </c>
      <c r="G150" s="310">
        <v>70</v>
      </c>
      <c r="H150" s="310">
        <v>165.94</v>
      </c>
      <c r="I150" s="310">
        <v>201.81</v>
      </c>
      <c r="J150" s="325">
        <v>527.25</v>
      </c>
      <c r="K150" s="326"/>
      <c r="L150" s="319" t="s">
        <v>276</v>
      </c>
      <c r="M150" s="320">
        <v>7</v>
      </c>
      <c r="N150" s="576" t="s">
        <v>3008</v>
      </c>
      <c r="O150" s="199" t="s">
        <v>283</v>
      </c>
      <c r="P150" s="200"/>
      <c r="Q150" s="201">
        <v>45676</v>
      </c>
      <c r="R150" s="330" t="s">
        <v>1923</v>
      </c>
      <c r="S150" s="203"/>
      <c r="T150" s="199"/>
      <c r="U150" s="204"/>
      <c r="V150" s="205"/>
      <c r="W150" s="205"/>
      <c r="X150" s="205"/>
      <c r="Y150" s="205"/>
      <c r="Z150" s="206"/>
      <c r="AA150" s="328"/>
      <c r="AB150" s="328"/>
      <c r="AC150" s="394"/>
      <c r="AD150" s="72"/>
    </row>
    <row r="151" spans="1:30" ht="22.35" customHeight="1">
      <c r="A151" s="310" t="s">
        <v>13</v>
      </c>
      <c r="B151" s="323" t="s">
        <v>88</v>
      </c>
      <c r="C151" s="1337">
        <v>45878</v>
      </c>
      <c r="D151" s="324">
        <v>7</v>
      </c>
      <c r="E151" s="310">
        <v>541.42999999999995</v>
      </c>
      <c r="F151" s="392">
        <v>3790</v>
      </c>
      <c r="G151" s="310">
        <v>150</v>
      </c>
      <c r="H151" s="310">
        <v>682.2</v>
      </c>
      <c r="I151" s="310">
        <v>741.56</v>
      </c>
      <c r="J151" s="325">
        <v>2366.2399999999998</v>
      </c>
      <c r="K151" s="326"/>
      <c r="L151" s="319" t="s">
        <v>276</v>
      </c>
      <c r="M151" s="320">
        <v>5</v>
      </c>
      <c r="N151" s="576" t="s">
        <v>2697</v>
      </c>
      <c r="O151" s="199" t="s">
        <v>283</v>
      </c>
      <c r="P151" s="200" t="s">
        <v>143</v>
      </c>
      <c r="Q151" s="201">
        <v>45732</v>
      </c>
      <c r="R151" s="327" t="s">
        <v>3488</v>
      </c>
      <c r="S151" s="203">
        <v>4781117</v>
      </c>
      <c r="T151" s="199" t="s">
        <v>3489</v>
      </c>
      <c r="U151" s="204" t="s">
        <v>2698</v>
      </c>
      <c r="V151" s="205">
        <v>4</v>
      </c>
      <c r="W151" s="205">
        <v>1</v>
      </c>
      <c r="X151" s="205">
        <v>0</v>
      </c>
      <c r="Y151" s="205">
        <v>0</v>
      </c>
      <c r="Z151" s="206">
        <v>1079969411</v>
      </c>
      <c r="AA151" s="328"/>
      <c r="AB151" s="328"/>
      <c r="AC151" s="394"/>
      <c r="AD151" s="72"/>
    </row>
    <row r="152" spans="1:30" ht="22.35" customHeight="1">
      <c r="A152" s="310" t="s">
        <v>8</v>
      </c>
      <c r="B152" s="323" t="s">
        <v>23</v>
      </c>
      <c r="C152" s="1337">
        <v>45875</v>
      </c>
      <c r="D152" s="324">
        <v>3</v>
      </c>
      <c r="E152" s="310">
        <v>440</v>
      </c>
      <c r="F152" s="392" t="s">
        <v>3490</v>
      </c>
      <c r="G152" s="310">
        <v>90</v>
      </c>
      <c r="H152" s="310">
        <v>245.5</v>
      </c>
      <c r="I152" s="310">
        <v>286.89999999999998</v>
      </c>
      <c r="J152" s="325">
        <v>787.6</v>
      </c>
      <c r="K152" s="326"/>
      <c r="L152" s="319" t="s">
        <v>276</v>
      </c>
      <c r="M152" s="320">
        <v>10</v>
      </c>
      <c r="N152" s="576" t="s">
        <v>3107</v>
      </c>
      <c r="O152" s="199" t="s">
        <v>283</v>
      </c>
      <c r="P152" s="200"/>
      <c r="Q152" s="201">
        <v>45845</v>
      </c>
      <c r="R152" s="330" t="s">
        <v>3491</v>
      </c>
      <c r="S152" s="203"/>
      <c r="T152" s="199"/>
      <c r="U152" s="204"/>
      <c r="V152" s="205"/>
      <c r="W152" s="205"/>
      <c r="X152" s="205"/>
      <c r="Y152" s="205"/>
      <c r="Z152" s="206"/>
      <c r="AA152" s="328"/>
      <c r="AB152" s="328"/>
      <c r="AC152" s="394"/>
      <c r="AD152" s="72"/>
    </row>
    <row r="153" spans="1:30" ht="22.35" customHeight="1">
      <c r="A153" s="310" t="s">
        <v>15</v>
      </c>
      <c r="B153" s="323" t="s">
        <v>88</v>
      </c>
      <c r="C153" s="1337">
        <v>45874</v>
      </c>
      <c r="D153" s="324">
        <v>56</v>
      </c>
      <c r="E153" s="310">
        <v>81.34</v>
      </c>
      <c r="F153" s="392">
        <v>4555</v>
      </c>
      <c r="G153" s="310">
        <v>75</v>
      </c>
      <c r="H153" s="310">
        <v>672.32</v>
      </c>
      <c r="I153" s="310">
        <v>570</v>
      </c>
      <c r="J153" s="325">
        <v>3312.68</v>
      </c>
      <c r="K153" s="326"/>
      <c r="L153" s="564" t="s">
        <v>276</v>
      </c>
      <c r="M153" s="320">
        <v>5</v>
      </c>
      <c r="N153" s="576" t="s">
        <v>1688</v>
      </c>
      <c r="O153" s="199" t="s">
        <v>283</v>
      </c>
      <c r="P153" s="200" t="s">
        <v>114</v>
      </c>
      <c r="Q153" s="201">
        <v>45670</v>
      </c>
      <c r="R153" s="327" t="s">
        <v>1689</v>
      </c>
      <c r="S153" s="203">
        <v>182312755</v>
      </c>
      <c r="T153" s="199" t="s">
        <v>1690</v>
      </c>
      <c r="U153" s="204" t="s">
        <v>486</v>
      </c>
      <c r="V153" s="205">
        <v>2</v>
      </c>
      <c r="W153" s="205">
        <v>0</v>
      </c>
      <c r="X153" s="205">
        <v>0</v>
      </c>
      <c r="Y153" s="205">
        <v>0</v>
      </c>
      <c r="Z153" s="206">
        <v>1045672685</v>
      </c>
      <c r="AA153" s="328"/>
      <c r="AB153" s="328"/>
      <c r="AC153" s="394"/>
      <c r="AD153" s="72" t="s">
        <v>3492</v>
      </c>
    </row>
    <row r="154" spans="1:30" ht="22.35" customHeight="1">
      <c r="A154" s="310" t="s">
        <v>10</v>
      </c>
      <c r="B154" s="323" t="s">
        <v>88</v>
      </c>
      <c r="C154" s="1337">
        <v>45871</v>
      </c>
      <c r="D154" s="324">
        <v>7</v>
      </c>
      <c r="E154" s="310">
        <v>230.5</v>
      </c>
      <c r="F154" s="392">
        <v>1613.5</v>
      </c>
      <c r="G154" s="310">
        <v>70</v>
      </c>
      <c r="H154" s="310">
        <v>290.42</v>
      </c>
      <c r="I154" s="310">
        <v>320.62</v>
      </c>
      <c r="J154" s="325">
        <v>1002.46</v>
      </c>
      <c r="K154" s="326"/>
      <c r="L154" s="319" t="s">
        <v>276</v>
      </c>
      <c r="M154" s="320">
        <v>5</v>
      </c>
      <c r="N154" s="576" t="s">
        <v>3009</v>
      </c>
      <c r="O154" s="199" t="s">
        <v>283</v>
      </c>
      <c r="P154" s="200" t="s">
        <v>97</v>
      </c>
      <c r="Q154" s="201">
        <v>45778</v>
      </c>
      <c r="R154" s="327" t="s">
        <v>2865</v>
      </c>
      <c r="S154" s="203">
        <v>542354220</v>
      </c>
      <c r="T154" s="199" t="s">
        <v>3493</v>
      </c>
      <c r="U154" s="204" t="s">
        <v>2866</v>
      </c>
      <c r="V154" s="205">
        <v>2</v>
      </c>
      <c r="W154" s="205">
        <v>0</v>
      </c>
      <c r="X154" s="205">
        <v>0</v>
      </c>
      <c r="Y154" s="205">
        <v>0</v>
      </c>
      <c r="Z154" s="206">
        <v>1106122370</v>
      </c>
      <c r="AA154" s="328"/>
      <c r="AB154" s="328"/>
      <c r="AC154" s="394"/>
      <c r="AD154" s="72"/>
    </row>
    <row r="155" spans="1:30" ht="22.35" customHeight="1">
      <c r="A155" s="310" t="s">
        <v>8</v>
      </c>
      <c r="B155" s="323" t="s">
        <v>23</v>
      </c>
      <c r="C155" s="1337">
        <v>45870</v>
      </c>
      <c r="D155" s="324">
        <v>5</v>
      </c>
      <c r="E155" s="334">
        <v>459</v>
      </c>
      <c r="F155" s="392" t="s">
        <v>3494</v>
      </c>
      <c r="G155" s="334">
        <v>90</v>
      </c>
      <c r="H155" s="334">
        <v>417.04</v>
      </c>
      <c r="I155" s="334">
        <v>447.59</v>
      </c>
      <c r="J155" s="335">
        <v>1430.37</v>
      </c>
      <c r="K155" s="335"/>
      <c r="L155" s="340" t="s">
        <v>276</v>
      </c>
      <c r="M155" s="320"/>
      <c r="N155" s="576" t="s">
        <v>3010</v>
      </c>
      <c r="O155" s="210" t="s">
        <v>283</v>
      </c>
      <c r="P155" s="200"/>
      <c r="Q155" s="201">
        <v>45543</v>
      </c>
      <c r="R155" s="330" t="s">
        <v>3495</v>
      </c>
      <c r="S155" s="203"/>
      <c r="T155" s="210"/>
      <c r="U155" s="565"/>
      <c r="V155" s="205"/>
      <c r="W155" s="205"/>
      <c r="X155" s="205"/>
      <c r="Y155" s="205"/>
      <c r="Z155" s="206"/>
      <c r="AA155" s="322">
        <v>327</v>
      </c>
      <c r="AB155" s="333" t="s">
        <v>3496</v>
      </c>
      <c r="AC155" s="300" t="s">
        <v>940</v>
      </c>
      <c r="AD155" s="70"/>
    </row>
    <row r="156" spans="1:30" ht="22.35" customHeight="1">
      <c r="A156" s="310" t="s">
        <v>8</v>
      </c>
      <c r="B156" s="323" t="s">
        <v>23</v>
      </c>
      <c r="C156" s="1337">
        <v>45868</v>
      </c>
      <c r="D156" s="324">
        <v>2</v>
      </c>
      <c r="E156" s="310">
        <v>345</v>
      </c>
      <c r="F156" s="392" t="s">
        <v>3434</v>
      </c>
      <c r="G156" s="310">
        <v>90</v>
      </c>
      <c r="H156" s="310">
        <v>127.83</v>
      </c>
      <c r="I156" s="310">
        <v>184.43</v>
      </c>
      <c r="J156" s="325">
        <v>377.74</v>
      </c>
      <c r="K156" s="326"/>
      <c r="L156" s="319" t="s">
        <v>276</v>
      </c>
      <c r="M156" s="320"/>
      <c r="N156" s="576" t="s">
        <v>3108</v>
      </c>
      <c r="O156" s="199" t="s">
        <v>283</v>
      </c>
      <c r="P156" s="200"/>
      <c r="Q156" s="201">
        <v>45845</v>
      </c>
      <c r="R156" s="330" t="s">
        <v>3435</v>
      </c>
      <c r="S156" s="203"/>
      <c r="T156" s="199"/>
      <c r="U156" s="204"/>
      <c r="V156" s="205"/>
      <c r="W156" s="205"/>
      <c r="X156" s="205"/>
      <c r="Y156" s="205"/>
      <c r="Z156" s="206"/>
      <c r="AA156" s="328"/>
      <c r="AB156" s="328"/>
      <c r="AC156" s="394"/>
      <c r="AD156" s="72"/>
    </row>
    <row r="157" spans="1:30" ht="22.35" customHeight="1">
      <c r="A157" s="310" t="s">
        <v>10</v>
      </c>
      <c r="B157" s="323" t="s">
        <v>88</v>
      </c>
      <c r="C157" s="1337">
        <v>45866</v>
      </c>
      <c r="D157" s="324">
        <v>4</v>
      </c>
      <c r="E157" s="310">
        <v>292.5</v>
      </c>
      <c r="F157" s="392">
        <v>1170</v>
      </c>
      <c r="G157" s="310">
        <v>70</v>
      </c>
      <c r="H157" s="310">
        <v>210.6</v>
      </c>
      <c r="I157" s="310">
        <v>247.88</v>
      </c>
      <c r="J157" s="325">
        <v>711.52</v>
      </c>
      <c r="K157" s="326"/>
      <c r="L157" s="319" t="s">
        <v>276</v>
      </c>
      <c r="M157" s="320">
        <v>4</v>
      </c>
      <c r="N157" s="576" t="s">
        <v>3011</v>
      </c>
      <c r="O157" s="199" t="s">
        <v>283</v>
      </c>
      <c r="P157" s="200" t="s">
        <v>97</v>
      </c>
      <c r="Q157" s="201">
        <v>45745</v>
      </c>
      <c r="R157" s="327" t="s">
        <v>2754</v>
      </c>
      <c r="S157" s="203">
        <v>686964080</v>
      </c>
      <c r="T157" s="199" t="s">
        <v>3497</v>
      </c>
      <c r="U157" s="204" t="s">
        <v>2755</v>
      </c>
      <c r="V157" s="205">
        <v>2</v>
      </c>
      <c r="W157" s="205">
        <v>2</v>
      </c>
      <c r="X157" s="205">
        <v>0</v>
      </c>
      <c r="Y157" s="205">
        <v>0</v>
      </c>
      <c r="Z157" s="206">
        <v>1087129165</v>
      </c>
      <c r="AA157" s="322"/>
      <c r="AB157" s="322"/>
      <c r="AC157" s="300"/>
      <c r="AD157" s="70"/>
    </row>
    <row r="158" spans="1:30" ht="22.35" customHeight="1">
      <c r="A158" s="310" t="s">
        <v>13</v>
      </c>
      <c r="B158" s="323" t="s">
        <v>88</v>
      </c>
      <c r="C158" s="1337">
        <v>45865</v>
      </c>
      <c r="D158" s="324">
        <v>7</v>
      </c>
      <c r="E158" s="310">
        <v>547.92999999999995</v>
      </c>
      <c r="F158" s="392">
        <v>3835.5</v>
      </c>
      <c r="G158" s="310">
        <v>150</v>
      </c>
      <c r="H158" s="310">
        <v>690.38</v>
      </c>
      <c r="I158" s="310">
        <v>749.03</v>
      </c>
      <c r="J158" s="325">
        <v>2396.09</v>
      </c>
      <c r="K158" s="326"/>
      <c r="L158" s="319" t="s">
        <v>276</v>
      </c>
      <c r="M158" s="320">
        <v>5</v>
      </c>
      <c r="N158" s="576" t="s">
        <v>2875</v>
      </c>
      <c r="O158" s="199" t="s">
        <v>283</v>
      </c>
      <c r="P158" s="200" t="s">
        <v>143</v>
      </c>
      <c r="Q158" s="201">
        <v>45779</v>
      </c>
      <c r="R158" s="327" t="s">
        <v>2876</v>
      </c>
      <c r="S158" s="203">
        <v>306603090</v>
      </c>
      <c r="T158" s="199" t="s">
        <v>3498</v>
      </c>
      <c r="U158" s="204" t="s">
        <v>354</v>
      </c>
      <c r="V158" s="205">
        <v>5</v>
      </c>
      <c r="W158" s="205">
        <v>0</v>
      </c>
      <c r="X158" s="205">
        <v>0</v>
      </c>
      <c r="Y158" s="205">
        <v>0</v>
      </c>
      <c r="Z158" s="206">
        <v>1106579862</v>
      </c>
      <c r="AA158" s="322"/>
      <c r="AB158" s="322"/>
      <c r="AC158" s="300"/>
      <c r="AD158" s="70"/>
    </row>
    <row r="159" spans="1:30" ht="22.35" customHeight="1">
      <c r="A159" s="310" t="s">
        <v>8</v>
      </c>
      <c r="B159" s="323" t="s">
        <v>88</v>
      </c>
      <c r="C159" s="1337">
        <v>45865</v>
      </c>
      <c r="D159" s="324">
        <v>3</v>
      </c>
      <c r="E159" s="310">
        <v>390</v>
      </c>
      <c r="F159" s="392">
        <v>1170</v>
      </c>
      <c r="G159" s="310">
        <v>90</v>
      </c>
      <c r="H159" s="310">
        <v>210.6</v>
      </c>
      <c r="I159" s="310">
        <v>263.88</v>
      </c>
      <c r="J159" s="325">
        <v>695.52</v>
      </c>
      <c r="K159" s="326"/>
      <c r="L159" s="319" t="s">
        <v>276</v>
      </c>
      <c r="M159" s="320">
        <v>5</v>
      </c>
      <c r="N159" s="576" t="s">
        <v>3012</v>
      </c>
      <c r="O159" s="199" t="s">
        <v>283</v>
      </c>
      <c r="P159" s="200" t="s">
        <v>89</v>
      </c>
      <c r="Q159" s="201">
        <v>45745</v>
      </c>
      <c r="R159" s="327" t="s">
        <v>2757</v>
      </c>
      <c r="S159" s="203">
        <v>57200618</v>
      </c>
      <c r="T159" s="199" t="s">
        <v>3436</v>
      </c>
      <c r="U159" s="204" t="s">
        <v>2758</v>
      </c>
      <c r="V159" s="205">
        <v>2</v>
      </c>
      <c r="W159" s="205">
        <v>2</v>
      </c>
      <c r="X159" s="205">
        <v>0</v>
      </c>
      <c r="Y159" s="205">
        <v>0</v>
      </c>
      <c r="Z159" s="206">
        <v>1087150986</v>
      </c>
      <c r="AA159" s="322"/>
      <c r="AB159" s="322"/>
      <c r="AC159" s="300"/>
      <c r="AD159" s="70"/>
    </row>
    <row r="160" spans="1:30" ht="22.35" customHeight="1">
      <c r="A160" s="187" t="s">
        <v>10</v>
      </c>
      <c r="B160" s="195" t="s">
        <v>23</v>
      </c>
      <c r="C160" s="1341">
        <v>45864</v>
      </c>
      <c r="D160" s="194">
        <v>2</v>
      </c>
      <c r="E160" s="187">
        <v>265</v>
      </c>
      <c r="F160" s="246" t="s">
        <v>3499</v>
      </c>
      <c r="G160" s="187">
        <v>70</v>
      </c>
      <c r="H160" s="187">
        <v>98.39</v>
      </c>
      <c r="I160" s="187">
        <v>142.32</v>
      </c>
      <c r="J160" s="196">
        <v>289.29000000000002</v>
      </c>
      <c r="K160" s="213"/>
      <c r="L160" s="197" t="s">
        <v>276</v>
      </c>
      <c r="M160" s="194">
        <v>9</v>
      </c>
      <c r="N160" s="238" t="s">
        <v>3029</v>
      </c>
      <c r="O160" s="199" t="s">
        <v>283</v>
      </c>
      <c r="P160" s="200"/>
      <c r="Q160" s="201">
        <v>45822</v>
      </c>
      <c r="R160" s="410" t="s">
        <v>3500</v>
      </c>
      <c r="S160" s="203"/>
      <c r="T160" s="199"/>
      <c r="U160" s="204"/>
      <c r="V160" s="205"/>
      <c r="W160" s="205"/>
      <c r="X160" s="205"/>
      <c r="Y160" s="205"/>
      <c r="Z160" s="206"/>
      <c r="AA160" s="593"/>
      <c r="AB160" s="593"/>
      <c r="AC160" s="207"/>
      <c r="AD160" s="72"/>
    </row>
    <row r="161" spans="1:30" ht="22.35" customHeight="1">
      <c r="A161" s="310" t="s">
        <v>8</v>
      </c>
      <c r="B161" s="323" t="s">
        <v>88</v>
      </c>
      <c r="C161" s="1337">
        <v>45860</v>
      </c>
      <c r="D161" s="324">
        <v>5</v>
      </c>
      <c r="E161" s="310">
        <v>318</v>
      </c>
      <c r="F161" s="392">
        <v>1590</v>
      </c>
      <c r="G161" s="310">
        <v>90</v>
      </c>
      <c r="H161" s="310">
        <v>286.2</v>
      </c>
      <c r="I161" s="310">
        <v>332.76</v>
      </c>
      <c r="J161" s="325">
        <v>971.04</v>
      </c>
      <c r="K161" s="326"/>
      <c r="L161" s="319" t="s">
        <v>276</v>
      </c>
      <c r="M161" s="320">
        <v>4</v>
      </c>
      <c r="N161" s="576" t="s">
        <v>3132</v>
      </c>
      <c r="O161" s="199" t="s">
        <v>283</v>
      </c>
      <c r="P161" s="200" t="s">
        <v>89</v>
      </c>
      <c r="Q161" s="201">
        <v>45848</v>
      </c>
      <c r="R161" s="327" t="s">
        <v>3127</v>
      </c>
      <c r="S161" s="203">
        <v>737327</v>
      </c>
      <c r="T161" s="199" t="s">
        <v>3437</v>
      </c>
      <c r="U161" s="204" t="s">
        <v>122</v>
      </c>
      <c r="V161" s="205">
        <v>3</v>
      </c>
      <c r="W161" s="205">
        <v>0</v>
      </c>
      <c r="X161" s="205">
        <v>0</v>
      </c>
      <c r="Y161" s="205">
        <v>0</v>
      </c>
      <c r="Z161" s="206">
        <v>1148678236</v>
      </c>
      <c r="AA161" s="328"/>
      <c r="AB161" s="328"/>
      <c r="AC161" s="394"/>
      <c r="AD161" s="72"/>
    </row>
    <row r="162" spans="1:30" ht="22.35" customHeight="1">
      <c r="A162" s="310" t="s">
        <v>8</v>
      </c>
      <c r="B162" s="323" t="s">
        <v>23</v>
      </c>
      <c r="C162" s="1337">
        <v>45857</v>
      </c>
      <c r="D162" s="324">
        <v>3</v>
      </c>
      <c r="E162" s="310">
        <v>490</v>
      </c>
      <c r="F162" s="392" t="s">
        <v>3438</v>
      </c>
      <c r="G162" s="310">
        <v>90</v>
      </c>
      <c r="H162" s="310">
        <v>273.62</v>
      </c>
      <c r="I162" s="310">
        <v>311.27999999999997</v>
      </c>
      <c r="J162" s="325">
        <v>885.1</v>
      </c>
      <c r="K162" s="326"/>
      <c r="L162" s="319" t="s">
        <v>276</v>
      </c>
      <c r="M162" s="320">
        <v>10</v>
      </c>
      <c r="N162" s="576" t="s">
        <v>3014</v>
      </c>
      <c r="O162" s="199" t="s">
        <v>283</v>
      </c>
      <c r="P162" s="200"/>
      <c r="Q162" s="201">
        <v>45772</v>
      </c>
      <c r="R162" s="330" t="s">
        <v>3439</v>
      </c>
      <c r="S162" s="203"/>
      <c r="T162" s="199"/>
      <c r="U162" s="204"/>
      <c r="V162" s="205"/>
      <c r="W162" s="205"/>
      <c r="X162" s="205"/>
      <c r="Y162" s="205"/>
      <c r="Z162" s="206"/>
      <c r="AA162" s="322"/>
      <c r="AB162" s="322"/>
      <c r="AC162" s="300"/>
      <c r="AD162" s="70"/>
    </row>
    <row r="163" spans="1:30" ht="22.35" customHeight="1">
      <c r="A163" s="310" t="s">
        <v>10</v>
      </c>
      <c r="B163" s="323" t="s">
        <v>88</v>
      </c>
      <c r="C163" s="1337">
        <v>45857</v>
      </c>
      <c r="D163" s="324">
        <v>7</v>
      </c>
      <c r="E163" s="310">
        <v>291.60000000000002</v>
      </c>
      <c r="F163" s="392">
        <v>2041.23</v>
      </c>
      <c r="G163" s="310">
        <v>70</v>
      </c>
      <c r="H163" s="310">
        <v>63.76</v>
      </c>
      <c r="I163" s="310">
        <v>397.44</v>
      </c>
      <c r="J163" s="325">
        <v>1309.8</v>
      </c>
      <c r="K163" s="326"/>
      <c r="L163" s="319" t="s">
        <v>276</v>
      </c>
      <c r="M163" s="320"/>
      <c r="N163" s="576" t="s">
        <v>3013</v>
      </c>
      <c r="O163" s="199" t="s">
        <v>283</v>
      </c>
      <c r="P163" s="200" t="s">
        <v>97</v>
      </c>
      <c r="Q163" s="201">
        <v>45586</v>
      </c>
      <c r="R163" s="327" t="s">
        <v>1069</v>
      </c>
      <c r="S163" s="203">
        <v>33593424</v>
      </c>
      <c r="T163" s="199" t="s">
        <v>3501</v>
      </c>
      <c r="U163" s="204" t="s">
        <v>1070</v>
      </c>
      <c r="V163" s="205">
        <v>1</v>
      </c>
      <c r="W163" s="205">
        <v>0</v>
      </c>
      <c r="X163" s="205">
        <v>0</v>
      </c>
      <c r="Y163" s="205">
        <v>0</v>
      </c>
      <c r="Z163" s="206">
        <v>1008476374</v>
      </c>
      <c r="AA163" s="322"/>
      <c r="AB163" s="322"/>
      <c r="AC163" s="300"/>
      <c r="AD163" s="70"/>
    </row>
    <row r="164" spans="1:30" ht="22.35" customHeight="1">
      <c r="A164" s="310" t="s">
        <v>10</v>
      </c>
      <c r="B164" s="323" t="s">
        <v>88</v>
      </c>
      <c r="C164" s="1337">
        <v>45855</v>
      </c>
      <c r="D164" s="324">
        <v>2</v>
      </c>
      <c r="E164" s="310">
        <v>225</v>
      </c>
      <c r="F164" s="392">
        <v>450</v>
      </c>
      <c r="G164" s="310">
        <v>70</v>
      </c>
      <c r="H164" s="310">
        <v>81</v>
      </c>
      <c r="I164" s="310">
        <v>129.80000000000001</v>
      </c>
      <c r="J164" s="325">
        <v>239.2</v>
      </c>
      <c r="K164" s="326"/>
      <c r="L164" s="319" t="s">
        <v>276</v>
      </c>
      <c r="M164" s="320">
        <v>5</v>
      </c>
      <c r="N164" s="576" t="s">
        <v>3184</v>
      </c>
      <c r="O164" s="199" t="s">
        <v>283</v>
      </c>
      <c r="P164" s="200" t="s">
        <v>97</v>
      </c>
      <c r="Q164" s="201">
        <v>45853</v>
      </c>
      <c r="R164" s="327" t="s">
        <v>3176</v>
      </c>
      <c r="S164" s="203">
        <v>4321431</v>
      </c>
      <c r="T164" s="199" t="s">
        <v>3502</v>
      </c>
      <c r="U164" s="204" t="s">
        <v>3177</v>
      </c>
      <c r="V164" s="205">
        <v>2</v>
      </c>
      <c r="W164" s="205">
        <v>2</v>
      </c>
      <c r="X164" s="205">
        <v>0</v>
      </c>
      <c r="Y164" s="205">
        <v>0</v>
      </c>
      <c r="Z164" s="206">
        <v>1151588853</v>
      </c>
      <c r="AA164" s="322"/>
      <c r="AB164" s="322"/>
      <c r="AC164" s="300"/>
      <c r="AD164" s="70"/>
    </row>
    <row r="165" spans="1:30" ht="22.35" customHeight="1">
      <c r="A165" s="310" t="s">
        <v>8</v>
      </c>
      <c r="B165" s="323" t="s">
        <v>88</v>
      </c>
      <c r="C165" s="1337">
        <v>45853</v>
      </c>
      <c r="D165" s="324">
        <v>3</v>
      </c>
      <c r="E165" s="310">
        <v>390</v>
      </c>
      <c r="F165" s="392">
        <v>1170</v>
      </c>
      <c r="G165" s="310">
        <v>90</v>
      </c>
      <c r="H165" s="310">
        <v>210.6</v>
      </c>
      <c r="I165" s="310">
        <v>263.88</v>
      </c>
      <c r="J165" s="325">
        <v>695.52</v>
      </c>
      <c r="K165" s="326"/>
      <c r="L165" s="319" t="s">
        <v>276</v>
      </c>
      <c r="M165" s="320">
        <v>5</v>
      </c>
      <c r="N165" s="576" t="s">
        <v>3015</v>
      </c>
      <c r="O165" s="199" t="s">
        <v>283</v>
      </c>
      <c r="P165" s="200" t="s">
        <v>89</v>
      </c>
      <c r="Q165" s="201">
        <v>45749</v>
      </c>
      <c r="R165" s="327" t="s">
        <v>2775</v>
      </c>
      <c r="S165" s="203">
        <v>24661817</v>
      </c>
      <c r="T165" s="199" t="s">
        <v>3440</v>
      </c>
      <c r="U165" s="204" t="s">
        <v>2776</v>
      </c>
      <c r="V165" s="205">
        <v>4</v>
      </c>
      <c r="W165" s="205">
        <v>0</v>
      </c>
      <c r="X165" s="205">
        <v>0</v>
      </c>
      <c r="Y165" s="205">
        <v>0</v>
      </c>
      <c r="Z165" s="206">
        <v>1089766271</v>
      </c>
      <c r="AA165" s="322"/>
      <c r="AB165" s="322"/>
      <c r="AC165" s="300"/>
      <c r="AD165" s="70"/>
    </row>
    <row r="166" spans="1:30" ht="22.35" customHeight="1">
      <c r="A166" s="310" t="s">
        <v>10</v>
      </c>
      <c r="B166" s="323" t="s">
        <v>23</v>
      </c>
      <c r="C166" s="1337">
        <v>45852</v>
      </c>
      <c r="D166" s="324">
        <v>3</v>
      </c>
      <c r="E166" s="310">
        <v>283.33</v>
      </c>
      <c r="F166" s="392" t="s">
        <v>1161</v>
      </c>
      <c r="G166" s="310">
        <v>70</v>
      </c>
      <c r="H166" s="310">
        <v>157.66</v>
      </c>
      <c r="I166" s="310">
        <v>194.47</v>
      </c>
      <c r="J166" s="325">
        <v>497.87</v>
      </c>
      <c r="K166" s="326"/>
      <c r="L166" s="319" t="s">
        <v>276</v>
      </c>
      <c r="M166" s="320">
        <v>10</v>
      </c>
      <c r="N166" s="576" t="s">
        <v>3016</v>
      </c>
      <c r="O166" s="199" t="s">
        <v>283</v>
      </c>
      <c r="P166" s="200"/>
      <c r="Q166" s="201">
        <v>45630</v>
      </c>
      <c r="R166" s="330" t="s">
        <v>3503</v>
      </c>
      <c r="S166" s="203"/>
      <c r="T166" s="199"/>
      <c r="U166" s="204"/>
      <c r="V166" s="205"/>
      <c r="W166" s="205"/>
      <c r="X166" s="205"/>
      <c r="Y166" s="205"/>
      <c r="Z166" s="206"/>
      <c r="AA166" s="322"/>
      <c r="AB166" s="322"/>
      <c r="AC166" s="300"/>
      <c r="AD166" s="70"/>
    </row>
    <row r="167" spans="1:30" ht="22.35" customHeight="1">
      <c r="A167" s="310" t="s">
        <v>8</v>
      </c>
      <c r="B167" s="323" t="s">
        <v>88</v>
      </c>
      <c r="C167" s="1337">
        <v>45850</v>
      </c>
      <c r="D167" s="324">
        <v>3</v>
      </c>
      <c r="E167" s="310">
        <v>390</v>
      </c>
      <c r="F167" s="392">
        <v>1170</v>
      </c>
      <c r="G167" s="310">
        <v>90</v>
      </c>
      <c r="H167" s="310">
        <v>210.6</v>
      </c>
      <c r="I167" s="310">
        <v>263.88</v>
      </c>
      <c r="J167" s="325">
        <v>695.52</v>
      </c>
      <c r="K167" s="326"/>
      <c r="L167" s="319" t="s">
        <v>276</v>
      </c>
      <c r="M167" s="320">
        <v>5</v>
      </c>
      <c r="N167" s="576" t="s">
        <v>3017</v>
      </c>
      <c r="O167" s="199" t="s">
        <v>283</v>
      </c>
      <c r="P167" s="200" t="s">
        <v>89</v>
      </c>
      <c r="Q167" s="201">
        <v>45790</v>
      </c>
      <c r="R167" s="327" t="s">
        <v>2901</v>
      </c>
      <c r="S167" s="203">
        <v>523407260</v>
      </c>
      <c r="T167" s="199" t="s">
        <v>3441</v>
      </c>
      <c r="U167" s="204" t="s">
        <v>773</v>
      </c>
      <c r="V167" s="205">
        <v>4</v>
      </c>
      <c r="W167" s="205">
        <v>0</v>
      </c>
      <c r="X167" s="205">
        <v>0</v>
      </c>
      <c r="Y167" s="205">
        <v>0</v>
      </c>
      <c r="Z167" s="206">
        <v>1113170412</v>
      </c>
      <c r="AA167" s="322"/>
      <c r="AB167" s="322"/>
      <c r="AC167" s="300"/>
      <c r="AD167" s="70"/>
    </row>
    <row r="168" spans="1:30" ht="22.35" customHeight="1">
      <c r="A168" s="310" t="s">
        <v>8</v>
      </c>
      <c r="B168" s="323" t="s">
        <v>23</v>
      </c>
      <c r="C168" s="1337">
        <v>45847</v>
      </c>
      <c r="D168" s="324">
        <v>3</v>
      </c>
      <c r="E168" s="310">
        <v>462</v>
      </c>
      <c r="F168" s="392" t="s">
        <v>3442</v>
      </c>
      <c r="G168" s="310">
        <v>90</v>
      </c>
      <c r="H168" s="310">
        <v>256.33</v>
      </c>
      <c r="I168" s="310">
        <v>297.93</v>
      </c>
      <c r="J168" s="325">
        <v>831.74</v>
      </c>
      <c r="K168" s="326"/>
      <c r="L168" s="319" t="s">
        <v>276</v>
      </c>
      <c r="M168" s="320">
        <v>9</v>
      </c>
      <c r="N168" s="576" t="s">
        <v>3443</v>
      </c>
      <c r="O168" s="199" t="s">
        <v>283</v>
      </c>
      <c r="P168" s="200"/>
      <c r="Q168" s="201">
        <v>45747</v>
      </c>
      <c r="R168" s="330" t="s">
        <v>3444</v>
      </c>
      <c r="S168" s="203"/>
      <c r="T168" s="199"/>
      <c r="U168" s="204"/>
      <c r="V168" s="205"/>
      <c r="W168" s="205"/>
      <c r="X168" s="205"/>
      <c r="Y168" s="205"/>
      <c r="Z168" s="206"/>
      <c r="AA168" s="322"/>
      <c r="AB168" s="322"/>
      <c r="AC168" s="300"/>
      <c r="AD168" s="70"/>
    </row>
    <row r="169" spans="1:30" ht="22.35" customHeight="1">
      <c r="A169" s="310" t="s">
        <v>10</v>
      </c>
      <c r="B169" s="323" t="s">
        <v>88</v>
      </c>
      <c r="C169" s="1337">
        <v>45847</v>
      </c>
      <c r="D169" s="324">
        <v>5</v>
      </c>
      <c r="E169" s="310">
        <v>289</v>
      </c>
      <c r="F169" s="392">
        <v>1445</v>
      </c>
      <c r="G169" s="310">
        <v>70</v>
      </c>
      <c r="H169" s="310">
        <v>260.10000000000002</v>
      </c>
      <c r="I169" s="310">
        <v>292.98</v>
      </c>
      <c r="J169" s="325">
        <v>891.92</v>
      </c>
      <c r="K169" s="326"/>
      <c r="L169" s="319" t="s">
        <v>276</v>
      </c>
      <c r="M169" s="320">
        <v>5</v>
      </c>
      <c r="N169" s="576" t="s">
        <v>2375</v>
      </c>
      <c r="O169" s="199" t="s">
        <v>283</v>
      </c>
      <c r="P169" s="200" t="s">
        <v>97</v>
      </c>
      <c r="Q169" s="201">
        <v>45708</v>
      </c>
      <c r="R169" s="327" t="s">
        <v>2376</v>
      </c>
      <c r="S169" s="203">
        <v>97830183</v>
      </c>
      <c r="T169" s="199" t="s">
        <v>3504</v>
      </c>
      <c r="U169" s="204" t="s">
        <v>801</v>
      </c>
      <c r="V169" s="205">
        <v>2</v>
      </c>
      <c r="W169" s="205">
        <v>2</v>
      </c>
      <c r="X169" s="205">
        <v>0</v>
      </c>
      <c r="Y169" s="205">
        <v>0</v>
      </c>
      <c r="Z169" s="206">
        <v>1066400186</v>
      </c>
      <c r="AA169" s="322"/>
      <c r="AB169" s="322"/>
      <c r="AC169" s="300"/>
      <c r="AD169" s="70"/>
    </row>
    <row r="170" spans="1:30" ht="22.35" customHeight="1">
      <c r="A170" s="310" t="s">
        <v>8</v>
      </c>
      <c r="B170" s="323" t="s">
        <v>88</v>
      </c>
      <c r="C170" s="1337">
        <v>45845</v>
      </c>
      <c r="D170" s="324">
        <v>2</v>
      </c>
      <c r="E170" s="310">
        <v>335</v>
      </c>
      <c r="F170" s="392">
        <v>670</v>
      </c>
      <c r="G170" s="310">
        <v>90</v>
      </c>
      <c r="H170" s="310">
        <v>120.6</v>
      </c>
      <c r="I170" s="310">
        <v>181.88</v>
      </c>
      <c r="J170" s="325">
        <v>367.52</v>
      </c>
      <c r="K170" s="326"/>
      <c r="L170" s="319" t="s">
        <v>276</v>
      </c>
      <c r="M170" s="320">
        <v>5</v>
      </c>
      <c r="N170" s="576" t="s">
        <v>3054</v>
      </c>
      <c r="O170" s="199" t="s">
        <v>283</v>
      </c>
      <c r="P170" s="200" t="s">
        <v>89</v>
      </c>
      <c r="Q170" s="201">
        <v>45831</v>
      </c>
      <c r="R170" s="327" t="s">
        <v>3055</v>
      </c>
      <c r="S170" s="203">
        <v>140476710</v>
      </c>
      <c r="T170" s="199" t="s">
        <v>3445</v>
      </c>
      <c r="U170" s="204" t="s">
        <v>486</v>
      </c>
      <c r="V170" s="205">
        <v>5</v>
      </c>
      <c r="W170" s="205">
        <v>0</v>
      </c>
      <c r="X170" s="205">
        <v>0</v>
      </c>
      <c r="Y170" s="205">
        <v>0</v>
      </c>
      <c r="Z170" s="206">
        <v>1137812308</v>
      </c>
      <c r="AA170" s="328"/>
      <c r="AB170" s="328"/>
      <c r="AC170" s="394"/>
      <c r="AD170" s="72"/>
    </row>
    <row r="171" spans="1:30" ht="22.35" customHeight="1">
      <c r="A171" s="310" t="s">
        <v>10</v>
      </c>
      <c r="B171" s="323" t="s">
        <v>23</v>
      </c>
      <c r="C171" s="1337">
        <v>45844</v>
      </c>
      <c r="D171" s="324">
        <v>3</v>
      </c>
      <c r="E171" s="310">
        <v>298.33</v>
      </c>
      <c r="F171" s="392" t="s">
        <v>1788</v>
      </c>
      <c r="G171" s="310">
        <v>70</v>
      </c>
      <c r="H171" s="310">
        <v>166.56</v>
      </c>
      <c r="I171" s="310">
        <v>201.69</v>
      </c>
      <c r="J171" s="325">
        <v>526.75</v>
      </c>
      <c r="K171" s="326"/>
      <c r="L171" s="319" t="s">
        <v>276</v>
      </c>
      <c r="M171" s="320">
        <v>10</v>
      </c>
      <c r="N171" s="576" t="s">
        <v>3505</v>
      </c>
      <c r="O171" s="199" t="s">
        <v>283</v>
      </c>
      <c r="P171" s="200"/>
      <c r="Q171" s="201">
        <v>45672</v>
      </c>
      <c r="R171" s="330" t="s">
        <v>3506</v>
      </c>
      <c r="S171" s="203"/>
      <c r="T171" s="199"/>
      <c r="U171" s="204"/>
      <c r="V171" s="205"/>
      <c r="W171" s="205"/>
      <c r="X171" s="205"/>
      <c r="Y171" s="205"/>
      <c r="Z171" s="206"/>
      <c r="AA171" s="322"/>
      <c r="AB171" s="322"/>
      <c r="AC171" s="300"/>
      <c r="AD171" s="70"/>
    </row>
    <row r="172" spans="1:30" ht="22.35" customHeight="1">
      <c r="A172" s="310" t="s">
        <v>10</v>
      </c>
      <c r="B172" s="323" t="s">
        <v>88</v>
      </c>
      <c r="C172" s="1337">
        <v>45842</v>
      </c>
      <c r="D172" s="324">
        <v>2</v>
      </c>
      <c r="E172" s="310">
        <v>280</v>
      </c>
      <c r="F172" s="392">
        <v>560</v>
      </c>
      <c r="G172" s="310">
        <v>70</v>
      </c>
      <c r="H172" s="310">
        <v>100.8</v>
      </c>
      <c r="I172" s="310">
        <v>147.84</v>
      </c>
      <c r="J172" s="325">
        <v>311.36</v>
      </c>
      <c r="K172" s="326"/>
      <c r="L172" s="319" t="s">
        <v>276</v>
      </c>
      <c r="M172" s="320"/>
      <c r="N172" s="576" t="s">
        <v>2902</v>
      </c>
      <c r="O172" s="199" t="s">
        <v>283</v>
      </c>
      <c r="P172" s="200" t="s">
        <v>97</v>
      </c>
      <c r="Q172" s="201">
        <v>45790</v>
      </c>
      <c r="R172" s="327" t="s">
        <v>2903</v>
      </c>
      <c r="S172" s="203">
        <v>522848576</v>
      </c>
      <c r="T172" s="199" t="s">
        <v>3507</v>
      </c>
      <c r="U172" s="204" t="s">
        <v>2904</v>
      </c>
      <c r="V172" s="205">
        <v>2</v>
      </c>
      <c r="W172" s="205">
        <v>0</v>
      </c>
      <c r="X172" s="205">
        <v>0</v>
      </c>
      <c r="Y172" s="205">
        <v>0</v>
      </c>
      <c r="Z172" s="206">
        <v>1113042910</v>
      </c>
      <c r="AA172" s="322"/>
      <c r="AB172" s="322"/>
      <c r="AC172" s="300"/>
      <c r="AD172" s="70"/>
    </row>
    <row r="173" spans="1:30" ht="22.35" customHeight="1">
      <c r="A173" s="310" t="s">
        <v>8</v>
      </c>
      <c r="B173" s="323" t="s">
        <v>88</v>
      </c>
      <c r="C173" s="1337">
        <v>45842</v>
      </c>
      <c r="D173" s="324">
        <v>3</v>
      </c>
      <c r="E173" s="310">
        <v>390</v>
      </c>
      <c r="F173" s="392">
        <v>1170</v>
      </c>
      <c r="G173" s="310">
        <v>90</v>
      </c>
      <c r="H173" s="310">
        <v>210.6</v>
      </c>
      <c r="I173" s="310">
        <v>263.88</v>
      </c>
      <c r="J173" s="325">
        <v>695.52</v>
      </c>
      <c r="K173" s="326"/>
      <c r="L173" s="319" t="s">
        <v>276</v>
      </c>
      <c r="M173" s="320">
        <v>5</v>
      </c>
      <c r="N173" s="576" t="s">
        <v>2825</v>
      </c>
      <c r="O173" s="199" t="s">
        <v>283</v>
      </c>
      <c r="P173" s="200" t="s">
        <v>89</v>
      </c>
      <c r="Q173" s="201">
        <v>45767</v>
      </c>
      <c r="R173" s="327" t="s">
        <v>2826</v>
      </c>
      <c r="S173" s="203">
        <v>88330341</v>
      </c>
      <c r="T173" s="199" t="s">
        <v>3446</v>
      </c>
      <c r="U173" s="204" t="s">
        <v>2827</v>
      </c>
      <c r="V173" s="205">
        <v>3</v>
      </c>
      <c r="W173" s="205">
        <v>1</v>
      </c>
      <c r="X173" s="205">
        <v>0</v>
      </c>
      <c r="Y173" s="205">
        <v>0</v>
      </c>
      <c r="Z173" s="206">
        <v>1099661469</v>
      </c>
      <c r="AA173" s="322"/>
      <c r="AB173" s="322"/>
      <c r="AC173" s="300"/>
      <c r="AD173" s="70"/>
    </row>
    <row r="174" spans="1:30" ht="22.35" customHeight="1">
      <c r="A174" s="310" t="s">
        <v>15</v>
      </c>
      <c r="B174" s="323" t="s">
        <v>88</v>
      </c>
      <c r="C174" s="1337">
        <v>45841</v>
      </c>
      <c r="D174" s="324">
        <v>31</v>
      </c>
      <c r="E174" s="310">
        <v>82.42</v>
      </c>
      <c r="F174" s="392">
        <v>2555</v>
      </c>
      <c r="G174" s="310">
        <v>75</v>
      </c>
      <c r="H174" s="310">
        <v>377.11</v>
      </c>
      <c r="I174" s="310">
        <v>348.38</v>
      </c>
      <c r="J174" s="325">
        <v>1829.51</v>
      </c>
      <c r="K174" s="326"/>
      <c r="L174" s="319" t="s">
        <v>276</v>
      </c>
      <c r="M174" s="320">
        <v>5</v>
      </c>
      <c r="N174" s="576" t="s">
        <v>2922</v>
      </c>
      <c r="O174" s="199" t="s">
        <v>283</v>
      </c>
      <c r="P174" s="200" t="s">
        <v>114</v>
      </c>
      <c r="Q174" s="201">
        <v>45795</v>
      </c>
      <c r="R174" s="327" t="s">
        <v>2923</v>
      </c>
      <c r="S174" s="203">
        <v>384651127</v>
      </c>
      <c r="T174" s="199" t="s">
        <v>2924</v>
      </c>
      <c r="U174" s="204" t="s">
        <v>1065</v>
      </c>
      <c r="V174" s="205">
        <v>2</v>
      </c>
      <c r="W174" s="205">
        <v>0</v>
      </c>
      <c r="X174" s="205">
        <v>0</v>
      </c>
      <c r="Y174" s="205">
        <v>0</v>
      </c>
      <c r="Z174" s="206">
        <v>1115824336</v>
      </c>
      <c r="AA174" s="322"/>
      <c r="AB174" s="322"/>
      <c r="AC174" s="300"/>
      <c r="AD174" s="70"/>
    </row>
    <row r="175" spans="1:30" ht="22.35" customHeight="1">
      <c r="A175" s="310" t="s">
        <v>8</v>
      </c>
      <c r="B175" s="323" t="s">
        <v>88</v>
      </c>
      <c r="C175" s="1337">
        <v>45840</v>
      </c>
      <c r="D175" s="324">
        <v>2</v>
      </c>
      <c r="E175" s="310">
        <v>305</v>
      </c>
      <c r="F175" s="392">
        <v>610</v>
      </c>
      <c r="G175" s="310">
        <v>90</v>
      </c>
      <c r="H175" s="310">
        <v>109.8</v>
      </c>
      <c r="I175" s="310">
        <v>172.04</v>
      </c>
      <c r="J175" s="325">
        <v>328.16</v>
      </c>
      <c r="K175" s="326"/>
      <c r="L175" s="319" t="s">
        <v>276</v>
      </c>
      <c r="M175" s="320"/>
      <c r="N175" s="576" t="s">
        <v>3036</v>
      </c>
      <c r="O175" s="199" t="s">
        <v>283</v>
      </c>
      <c r="P175" s="200" t="s">
        <v>89</v>
      </c>
      <c r="Q175" s="201">
        <v>45826</v>
      </c>
      <c r="R175" s="327" t="s">
        <v>3037</v>
      </c>
      <c r="S175" s="203">
        <v>52441364</v>
      </c>
      <c r="T175" s="199" t="s">
        <v>3447</v>
      </c>
      <c r="U175" s="204" t="s">
        <v>3038</v>
      </c>
      <c r="V175" s="205">
        <v>3</v>
      </c>
      <c r="W175" s="205">
        <v>0</v>
      </c>
      <c r="X175" s="205">
        <v>0</v>
      </c>
      <c r="Y175" s="205">
        <v>0</v>
      </c>
      <c r="Z175" s="206">
        <v>1134798347</v>
      </c>
      <c r="AA175" s="328"/>
      <c r="AB175" s="328"/>
      <c r="AC175" s="394"/>
      <c r="AD175" s="72"/>
    </row>
    <row r="176" spans="1:30" ht="22.35" customHeight="1">
      <c r="A176" s="310" t="s">
        <v>10</v>
      </c>
      <c r="B176" s="323" t="s">
        <v>23</v>
      </c>
      <c r="C176" s="1337">
        <v>45838</v>
      </c>
      <c r="D176" s="324">
        <v>4</v>
      </c>
      <c r="E176" s="310">
        <v>297.5</v>
      </c>
      <c r="F176" s="392" t="s">
        <v>1160</v>
      </c>
      <c r="G176" s="310">
        <v>70</v>
      </c>
      <c r="H176" s="310">
        <v>236.31</v>
      </c>
      <c r="I176" s="310">
        <v>246.74</v>
      </c>
      <c r="J176" s="325">
        <v>706.95</v>
      </c>
      <c r="K176" s="326"/>
      <c r="L176" s="319" t="s">
        <v>276</v>
      </c>
      <c r="M176" s="320"/>
      <c r="N176" s="576" t="s">
        <v>3508</v>
      </c>
      <c r="O176" s="199" t="s">
        <v>283</v>
      </c>
      <c r="P176" s="200"/>
      <c r="Q176" s="201">
        <v>45628</v>
      </c>
      <c r="R176" s="330" t="s">
        <v>3509</v>
      </c>
      <c r="S176" s="203"/>
      <c r="T176" s="199"/>
      <c r="U176" s="204"/>
      <c r="V176" s="205"/>
      <c r="W176" s="205"/>
      <c r="X176" s="205"/>
      <c r="Y176" s="205"/>
      <c r="Z176" s="206"/>
      <c r="AA176" s="322"/>
      <c r="AB176" s="322"/>
      <c r="AC176" s="300"/>
      <c r="AD176" s="70"/>
    </row>
    <row r="177" spans="1:30" ht="22.35" customHeight="1">
      <c r="A177" s="310" t="s">
        <v>8</v>
      </c>
      <c r="B177" s="323" t="s">
        <v>88</v>
      </c>
      <c r="C177" s="1337">
        <v>45837</v>
      </c>
      <c r="D177" s="324">
        <v>3</v>
      </c>
      <c r="E177" s="310">
        <v>410</v>
      </c>
      <c r="F177" s="392">
        <v>1230</v>
      </c>
      <c r="G177" s="310">
        <v>90</v>
      </c>
      <c r="H177" s="310">
        <v>221.4</v>
      </c>
      <c r="I177" s="310">
        <v>273.72000000000003</v>
      </c>
      <c r="J177" s="325">
        <v>734.88</v>
      </c>
      <c r="K177" s="326"/>
      <c r="L177" s="319" t="s">
        <v>276</v>
      </c>
      <c r="M177" s="320">
        <v>5</v>
      </c>
      <c r="N177" s="576" t="s">
        <v>2161</v>
      </c>
      <c r="O177" s="199" t="s">
        <v>283</v>
      </c>
      <c r="P177" s="200" t="s">
        <v>89</v>
      </c>
      <c r="Q177" s="201">
        <v>45686</v>
      </c>
      <c r="R177" s="327" t="s">
        <v>2162</v>
      </c>
      <c r="S177" s="203">
        <v>23884136</v>
      </c>
      <c r="T177" s="199" t="s">
        <v>2163</v>
      </c>
      <c r="U177" s="204" t="s">
        <v>2164</v>
      </c>
      <c r="V177" s="205">
        <v>2</v>
      </c>
      <c r="W177" s="205">
        <v>2</v>
      </c>
      <c r="X177" s="205">
        <v>0</v>
      </c>
      <c r="Y177" s="205">
        <v>0</v>
      </c>
      <c r="Z177" s="206">
        <v>1054077044</v>
      </c>
      <c r="AA177" s="322"/>
      <c r="AB177" s="322"/>
      <c r="AC177" s="300"/>
      <c r="AD177" s="70"/>
    </row>
    <row r="178" spans="1:30" ht="22.35" customHeight="1">
      <c r="A178" s="310" t="s">
        <v>10</v>
      </c>
      <c r="B178" s="323" t="s">
        <v>88</v>
      </c>
      <c r="C178" s="1337">
        <v>45831</v>
      </c>
      <c r="D178" s="324">
        <v>6</v>
      </c>
      <c r="E178" s="310">
        <v>291.67</v>
      </c>
      <c r="F178" s="392">
        <v>1750</v>
      </c>
      <c r="G178" s="310">
        <v>70</v>
      </c>
      <c r="H178" s="310">
        <v>315</v>
      </c>
      <c r="I178" s="310">
        <v>343</v>
      </c>
      <c r="J178" s="325">
        <v>1092</v>
      </c>
      <c r="K178" s="326"/>
      <c r="L178" s="319" t="s">
        <v>276</v>
      </c>
      <c r="M178" s="320">
        <v>5</v>
      </c>
      <c r="N178" s="576" t="s">
        <v>2277</v>
      </c>
      <c r="O178" s="199" t="s">
        <v>283</v>
      </c>
      <c r="P178" s="200" t="s">
        <v>97</v>
      </c>
      <c r="Q178" s="201">
        <v>45696</v>
      </c>
      <c r="R178" s="327" t="s">
        <v>2278</v>
      </c>
      <c r="S178" s="203">
        <v>674838872</v>
      </c>
      <c r="T178" s="199" t="s">
        <v>3510</v>
      </c>
      <c r="U178" s="204" t="s">
        <v>36</v>
      </c>
      <c r="V178" s="205">
        <v>3</v>
      </c>
      <c r="W178" s="205">
        <v>0</v>
      </c>
      <c r="X178" s="205">
        <v>0</v>
      </c>
      <c r="Y178" s="205">
        <v>0</v>
      </c>
      <c r="Z178" s="206">
        <v>1059974992</v>
      </c>
      <c r="AA178" s="322"/>
      <c r="AB178" s="322"/>
      <c r="AC178" s="300"/>
      <c r="AD178" s="70"/>
    </row>
    <row r="179" spans="1:30" ht="22.35" customHeight="1">
      <c r="A179" s="310" t="s">
        <v>10</v>
      </c>
      <c r="B179" s="323" t="s">
        <v>88</v>
      </c>
      <c r="C179" s="1337">
        <v>45829</v>
      </c>
      <c r="D179" s="324">
        <v>2</v>
      </c>
      <c r="E179" s="310">
        <v>285</v>
      </c>
      <c r="F179" s="392">
        <v>570</v>
      </c>
      <c r="G179" s="310">
        <v>70</v>
      </c>
      <c r="H179" s="310">
        <v>102.6</v>
      </c>
      <c r="I179" s="310">
        <v>149.47999999999999</v>
      </c>
      <c r="J179" s="325">
        <v>317.92</v>
      </c>
      <c r="K179" s="326"/>
      <c r="L179" s="319" t="s">
        <v>276</v>
      </c>
      <c r="M179" s="320"/>
      <c r="N179" s="576" t="s">
        <v>2944</v>
      </c>
      <c r="O179" s="199" t="s">
        <v>283</v>
      </c>
      <c r="P179" s="200" t="s">
        <v>97</v>
      </c>
      <c r="Q179" s="201">
        <v>45806</v>
      </c>
      <c r="R179" s="327" t="s">
        <v>2945</v>
      </c>
      <c r="S179" s="203">
        <v>203334748</v>
      </c>
      <c r="T179" s="199" t="s">
        <v>3511</v>
      </c>
      <c r="U179" s="204" t="s">
        <v>551</v>
      </c>
      <c r="V179" s="205">
        <v>2</v>
      </c>
      <c r="W179" s="205">
        <v>0</v>
      </c>
      <c r="X179" s="205">
        <v>0</v>
      </c>
      <c r="Y179" s="205">
        <v>0</v>
      </c>
      <c r="Z179" s="206">
        <v>1122725818</v>
      </c>
      <c r="AA179" s="322"/>
      <c r="AB179" s="322"/>
      <c r="AC179" s="300"/>
      <c r="AD179" s="70"/>
    </row>
    <row r="180" spans="1:30" ht="22.35" customHeight="1">
      <c r="A180" s="310" t="s">
        <v>10</v>
      </c>
      <c r="B180" s="323" t="s">
        <v>88</v>
      </c>
      <c r="C180" s="1337">
        <v>45826</v>
      </c>
      <c r="D180" s="324">
        <v>3</v>
      </c>
      <c r="E180" s="310">
        <v>288.33</v>
      </c>
      <c r="F180" s="392">
        <v>865</v>
      </c>
      <c r="G180" s="310">
        <v>70</v>
      </c>
      <c r="H180" s="310">
        <v>155.69999999999999</v>
      </c>
      <c r="I180" s="310">
        <v>197.86</v>
      </c>
      <c r="J180" s="325">
        <v>511.44</v>
      </c>
      <c r="K180" s="326"/>
      <c r="L180" s="319" t="s">
        <v>276</v>
      </c>
      <c r="M180" s="320"/>
      <c r="N180" s="576" t="s">
        <v>2745</v>
      </c>
      <c r="O180" s="199" t="s">
        <v>283</v>
      </c>
      <c r="P180" s="200" t="s">
        <v>97</v>
      </c>
      <c r="Q180" s="201">
        <v>45743</v>
      </c>
      <c r="R180" s="327" t="s">
        <v>2746</v>
      </c>
      <c r="S180" s="203">
        <v>232298481</v>
      </c>
      <c r="T180" s="199" t="s">
        <v>3512</v>
      </c>
      <c r="U180" s="204" t="s">
        <v>2747</v>
      </c>
      <c r="V180" s="205">
        <v>2</v>
      </c>
      <c r="W180" s="205">
        <v>0</v>
      </c>
      <c r="X180" s="205">
        <v>0</v>
      </c>
      <c r="Y180" s="205">
        <v>0</v>
      </c>
      <c r="Z180" s="206">
        <v>1086116089</v>
      </c>
      <c r="AA180" s="322"/>
      <c r="AB180" s="322"/>
      <c r="AC180" s="300"/>
      <c r="AD180" s="70"/>
    </row>
    <row r="181" spans="1:30" ht="22.35" customHeight="1">
      <c r="A181" s="310" t="s">
        <v>8</v>
      </c>
      <c r="B181" s="323" t="s">
        <v>88</v>
      </c>
      <c r="C181" s="1337">
        <v>45822</v>
      </c>
      <c r="D181" s="324">
        <v>15</v>
      </c>
      <c r="E181" s="310">
        <v>390.73</v>
      </c>
      <c r="F181" s="392">
        <v>5860.92</v>
      </c>
      <c r="G181" s="310">
        <v>90</v>
      </c>
      <c r="H181" s="310">
        <v>183.06</v>
      </c>
      <c r="I181" s="310">
        <v>1052.3900000000001</v>
      </c>
      <c r="J181" s="325">
        <v>3849.55</v>
      </c>
      <c r="K181" s="326"/>
      <c r="L181" s="319" t="s">
        <v>276</v>
      </c>
      <c r="M181" s="320">
        <v>5</v>
      </c>
      <c r="N181" s="576" t="s">
        <v>825</v>
      </c>
      <c r="O181" s="199" t="s">
        <v>283</v>
      </c>
      <c r="P181" s="200" t="s">
        <v>89</v>
      </c>
      <c r="Q181" s="201">
        <v>45471</v>
      </c>
      <c r="R181" s="327" t="s">
        <v>826</v>
      </c>
      <c r="S181" s="203">
        <v>476668893</v>
      </c>
      <c r="T181" s="199" t="s">
        <v>827</v>
      </c>
      <c r="U181" s="204" t="s">
        <v>122</v>
      </c>
      <c r="V181" s="205">
        <v>4</v>
      </c>
      <c r="W181" s="205">
        <v>0</v>
      </c>
      <c r="X181" s="205">
        <v>0</v>
      </c>
      <c r="Y181" s="205">
        <v>0</v>
      </c>
      <c r="Z181" s="206">
        <v>949521780</v>
      </c>
      <c r="AA181" s="322"/>
      <c r="AB181" s="322"/>
      <c r="AC181" s="300"/>
      <c r="AD181" s="70"/>
    </row>
    <row r="182" spans="1:30" ht="22.35" customHeight="1">
      <c r="A182" s="310" t="s">
        <v>10</v>
      </c>
      <c r="B182" s="323" t="s">
        <v>23</v>
      </c>
      <c r="C182" s="1337">
        <v>45822</v>
      </c>
      <c r="D182" s="324">
        <v>4</v>
      </c>
      <c r="E182" s="310">
        <v>282.5</v>
      </c>
      <c r="F182" s="392" t="s">
        <v>3513</v>
      </c>
      <c r="G182" s="310">
        <v>70</v>
      </c>
      <c r="H182" s="310">
        <v>266.08999999999997</v>
      </c>
      <c r="I182" s="310">
        <v>228.78</v>
      </c>
      <c r="J182" s="325">
        <v>635.13</v>
      </c>
      <c r="K182" s="326"/>
      <c r="L182" s="319" t="s">
        <v>276</v>
      </c>
      <c r="M182" s="320"/>
      <c r="N182" s="576" t="s">
        <v>3514</v>
      </c>
      <c r="O182" s="199" t="s">
        <v>283</v>
      </c>
      <c r="P182" s="200"/>
      <c r="Q182" s="201">
        <v>45652</v>
      </c>
      <c r="R182" s="330" t="s">
        <v>3515</v>
      </c>
      <c r="S182" s="203"/>
      <c r="T182" s="199"/>
      <c r="U182" s="204"/>
      <c r="V182" s="205"/>
      <c r="W182" s="205"/>
      <c r="X182" s="205"/>
      <c r="Y182" s="205"/>
      <c r="Z182" s="206"/>
      <c r="AA182" s="322"/>
      <c r="AB182" s="322"/>
      <c r="AC182" s="300"/>
      <c r="AD182" s="70"/>
    </row>
    <row r="183" spans="1:30" ht="22.35" customHeight="1">
      <c r="A183" s="310" t="s">
        <v>10</v>
      </c>
      <c r="B183" s="323" t="s">
        <v>88</v>
      </c>
      <c r="C183" s="1337">
        <v>45818</v>
      </c>
      <c r="D183" s="324">
        <v>3</v>
      </c>
      <c r="E183" s="310">
        <v>303.33</v>
      </c>
      <c r="F183" s="392">
        <v>910</v>
      </c>
      <c r="G183" s="310">
        <v>70</v>
      </c>
      <c r="H183" s="310">
        <v>163.80000000000001</v>
      </c>
      <c r="I183" s="310">
        <v>205.24</v>
      </c>
      <c r="J183" s="325">
        <v>540.96</v>
      </c>
      <c r="K183" s="326"/>
      <c r="L183" s="319" t="s">
        <v>276</v>
      </c>
      <c r="M183" s="320">
        <v>5</v>
      </c>
      <c r="N183" s="576" t="s">
        <v>2806</v>
      </c>
      <c r="O183" s="199" t="s">
        <v>283</v>
      </c>
      <c r="P183" s="200" t="s">
        <v>97</v>
      </c>
      <c r="Q183" s="201">
        <v>45758</v>
      </c>
      <c r="R183" s="327" t="s">
        <v>2807</v>
      </c>
      <c r="S183" s="203">
        <v>135450898</v>
      </c>
      <c r="T183" s="199" t="s">
        <v>3516</v>
      </c>
      <c r="U183" s="204" t="s">
        <v>2808</v>
      </c>
      <c r="V183" s="205">
        <v>3</v>
      </c>
      <c r="W183" s="205">
        <v>0</v>
      </c>
      <c r="X183" s="205">
        <v>0</v>
      </c>
      <c r="Y183" s="205">
        <v>0</v>
      </c>
      <c r="Z183" s="206">
        <v>1094635141</v>
      </c>
      <c r="AA183" s="322"/>
      <c r="AB183" s="322"/>
      <c r="AC183" s="300"/>
      <c r="AD183" s="70"/>
    </row>
    <row r="184" spans="1:30" ht="22.35" customHeight="1">
      <c r="A184" s="310" t="s">
        <v>8</v>
      </c>
      <c r="B184" s="323" t="s">
        <v>88</v>
      </c>
      <c r="C184" s="1337">
        <v>45818</v>
      </c>
      <c r="D184" s="324">
        <v>3</v>
      </c>
      <c r="E184" s="310">
        <v>420</v>
      </c>
      <c r="F184" s="392">
        <v>1260</v>
      </c>
      <c r="G184" s="310">
        <v>90</v>
      </c>
      <c r="H184" s="310">
        <v>226.8</v>
      </c>
      <c r="I184" s="310">
        <v>278.64</v>
      </c>
      <c r="J184" s="325">
        <v>754.56</v>
      </c>
      <c r="K184" s="326"/>
      <c r="L184" s="319" t="s">
        <v>276</v>
      </c>
      <c r="M184" s="320">
        <v>4</v>
      </c>
      <c r="N184" s="576" t="s">
        <v>2491</v>
      </c>
      <c r="O184" s="199" t="s">
        <v>283</v>
      </c>
      <c r="P184" s="200" t="s">
        <v>89</v>
      </c>
      <c r="Q184" s="201">
        <v>45726</v>
      </c>
      <c r="R184" s="327" t="s">
        <v>2492</v>
      </c>
      <c r="S184" s="203">
        <v>420980647</v>
      </c>
      <c r="T184" s="199" t="s">
        <v>2493</v>
      </c>
      <c r="U184" s="204" t="s">
        <v>122</v>
      </c>
      <c r="V184" s="205">
        <v>3</v>
      </c>
      <c r="W184" s="205">
        <v>0</v>
      </c>
      <c r="X184" s="205">
        <v>0</v>
      </c>
      <c r="Y184" s="205">
        <v>0</v>
      </c>
      <c r="Z184" s="206">
        <v>1076174697</v>
      </c>
      <c r="AA184" s="322"/>
      <c r="AB184" s="322"/>
      <c r="AC184" s="300"/>
      <c r="AD184" s="70"/>
    </row>
    <row r="185" spans="1:30" ht="22.35" customHeight="1">
      <c r="A185" s="310" t="s">
        <v>10</v>
      </c>
      <c r="B185" s="323" t="s">
        <v>23</v>
      </c>
      <c r="C185" s="1337">
        <v>45814</v>
      </c>
      <c r="D185" s="324">
        <v>3</v>
      </c>
      <c r="E185" s="310">
        <v>303.33</v>
      </c>
      <c r="F185" s="392" t="s">
        <v>1163</v>
      </c>
      <c r="G185" s="310">
        <v>70</v>
      </c>
      <c r="H185" s="310">
        <v>214.25</v>
      </c>
      <c r="I185" s="310">
        <v>195.15</v>
      </c>
      <c r="J185" s="325">
        <v>500.6</v>
      </c>
      <c r="K185" s="326"/>
      <c r="L185" s="319" t="s">
        <v>276</v>
      </c>
      <c r="M185" s="320">
        <v>7</v>
      </c>
      <c r="N185" s="576" t="s">
        <v>3517</v>
      </c>
      <c r="O185" s="199" t="s">
        <v>283</v>
      </c>
      <c r="P185" s="200"/>
      <c r="Q185" s="201">
        <v>45678</v>
      </c>
      <c r="R185" s="330" t="s">
        <v>3518</v>
      </c>
      <c r="S185" s="203"/>
      <c r="T185" s="199"/>
      <c r="U185" s="204"/>
      <c r="V185" s="205"/>
      <c r="W185" s="205"/>
      <c r="X185" s="205"/>
      <c r="Y185" s="205"/>
      <c r="Z185" s="206"/>
      <c r="AA185" s="322"/>
      <c r="AB185" s="322"/>
      <c r="AC185" s="300"/>
      <c r="AD185" s="70"/>
    </row>
    <row r="186" spans="1:30" ht="22.35" customHeight="1">
      <c r="A186" s="310" t="s">
        <v>10</v>
      </c>
      <c r="B186" s="323" t="s">
        <v>88</v>
      </c>
      <c r="C186" s="1337">
        <v>45810</v>
      </c>
      <c r="D186" s="324">
        <v>4</v>
      </c>
      <c r="E186" s="310">
        <v>267.5</v>
      </c>
      <c r="F186" s="392">
        <v>1070</v>
      </c>
      <c r="G186" s="310">
        <v>70</v>
      </c>
      <c r="H186" s="310">
        <v>192.6</v>
      </c>
      <c r="I186" s="310">
        <v>231.48</v>
      </c>
      <c r="J186" s="325">
        <v>645.91999999999996</v>
      </c>
      <c r="K186" s="326"/>
      <c r="L186" s="319" t="s">
        <v>276</v>
      </c>
      <c r="M186" s="320">
        <v>5</v>
      </c>
      <c r="N186" s="576" t="s">
        <v>2937</v>
      </c>
      <c r="O186" s="199" t="s">
        <v>283</v>
      </c>
      <c r="P186" s="200" t="s">
        <v>97</v>
      </c>
      <c r="Q186" s="201">
        <v>45801</v>
      </c>
      <c r="R186" s="327" t="s">
        <v>2938</v>
      </c>
      <c r="S186" s="203">
        <v>70554674</v>
      </c>
      <c r="T186" s="199" t="s">
        <v>3519</v>
      </c>
      <c r="U186" s="204" t="s">
        <v>2939</v>
      </c>
      <c r="V186" s="205">
        <v>3</v>
      </c>
      <c r="W186" s="205">
        <v>1</v>
      </c>
      <c r="X186" s="205">
        <v>0</v>
      </c>
      <c r="Y186" s="205">
        <v>0</v>
      </c>
      <c r="Z186" s="206">
        <v>1119327162</v>
      </c>
      <c r="AA186" s="322"/>
      <c r="AB186" s="322"/>
      <c r="AC186" s="300"/>
      <c r="AD186" s="70"/>
    </row>
    <row r="187" spans="1:30" ht="22.35" customHeight="1">
      <c r="A187" s="310" t="s">
        <v>15</v>
      </c>
      <c r="B187" s="323" t="s">
        <v>88</v>
      </c>
      <c r="C187" s="1337">
        <v>45808</v>
      </c>
      <c r="D187" s="324">
        <v>30</v>
      </c>
      <c r="E187" s="310">
        <v>72.73</v>
      </c>
      <c r="F187" s="392">
        <v>2182</v>
      </c>
      <c r="G187" s="310">
        <v>75</v>
      </c>
      <c r="H187" s="310">
        <v>322.07</v>
      </c>
      <c r="I187" s="310">
        <v>307.04000000000002</v>
      </c>
      <c r="J187" s="325">
        <v>1552.89</v>
      </c>
      <c r="K187" s="326"/>
      <c r="L187" s="319" t="s">
        <v>276</v>
      </c>
      <c r="M187" s="320">
        <v>5</v>
      </c>
      <c r="N187" s="576" t="s">
        <v>2765</v>
      </c>
      <c r="O187" s="199" t="s">
        <v>283</v>
      </c>
      <c r="P187" s="200" t="s">
        <v>114</v>
      </c>
      <c r="Q187" s="201">
        <v>45745</v>
      </c>
      <c r="R187" s="327" t="s">
        <v>2763</v>
      </c>
      <c r="S187" s="203">
        <v>535045462</v>
      </c>
      <c r="T187" s="199" t="s">
        <v>2766</v>
      </c>
      <c r="U187" s="204" t="s">
        <v>2767</v>
      </c>
      <c r="V187" s="205">
        <v>1</v>
      </c>
      <c r="W187" s="205">
        <v>0</v>
      </c>
      <c r="X187" s="205">
        <v>0</v>
      </c>
      <c r="Y187" s="205">
        <v>0</v>
      </c>
      <c r="Z187" s="206">
        <v>1087157406</v>
      </c>
      <c r="AA187" s="322"/>
      <c r="AB187" s="322"/>
      <c r="AC187" s="300"/>
      <c r="AD187" s="70"/>
    </row>
    <row r="188" spans="1:30" ht="22.35" customHeight="1">
      <c r="A188" s="310" t="s">
        <v>8</v>
      </c>
      <c r="B188" s="323" t="s">
        <v>23</v>
      </c>
      <c r="C188" s="1337">
        <v>45808</v>
      </c>
      <c r="D188" s="324">
        <v>10</v>
      </c>
      <c r="E188" s="310">
        <v>424.1</v>
      </c>
      <c r="F188" s="392" t="s">
        <v>1938</v>
      </c>
      <c r="G188" s="310">
        <v>90</v>
      </c>
      <c r="H188" s="310">
        <v>770.91</v>
      </c>
      <c r="I188" s="310">
        <v>766.02</v>
      </c>
      <c r="J188" s="325">
        <v>2704.07</v>
      </c>
      <c r="K188" s="326"/>
      <c r="L188" s="337" t="s">
        <v>276</v>
      </c>
      <c r="M188" s="320"/>
      <c r="N188" s="576" t="s">
        <v>889</v>
      </c>
      <c r="O188" s="199" t="s">
        <v>283</v>
      </c>
      <c r="P188" s="200"/>
      <c r="Q188" s="201">
        <v>45519</v>
      </c>
      <c r="R188" s="330" t="s">
        <v>1937</v>
      </c>
      <c r="S188" s="203"/>
      <c r="T188" s="199"/>
      <c r="U188" s="204"/>
      <c r="V188" s="205"/>
      <c r="W188" s="205"/>
      <c r="X188" s="205"/>
      <c r="Y188" s="205"/>
      <c r="Z188" s="206"/>
      <c r="AA188" s="322"/>
      <c r="AB188" s="322"/>
      <c r="AC188" s="300"/>
      <c r="AD188" s="70"/>
    </row>
    <row r="189" spans="1:30" ht="22.35" customHeight="1">
      <c r="A189" s="187" t="s">
        <v>10</v>
      </c>
      <c r="B189" s="195" t="s">
        <v>88</v>
      </c>
      <c r="C189" s="1341">
        <v>45806</v>
      </c>
      <c r="D189" s="194">
        <v>4</v>
      </c>
      <c r="E189" s="187">
        <v>312.5</v>
      </c>
      <c r="F189" s="246">
        <v>1250</v>
      </c>
      <c r="G189" s="187">
        <v>70</v>
      </c>
      <c r="H189" s="187">
        <v>225</v>
      </c>
      <c r="I189" s="187">
        <v>261</v>
      </c>
      <c r="J189" s="196">
        <v>764</v>
      </c>
      <c r="K189" s="213"/>
      <c r="L189" s="197" t="s">
        <v>276</v>
      </c>
      <c r="M189" s="194">
        <v>5</v>
      </c>
      <c r="N189" s="238" t="s">
        <v>3520</v>
      </c>
      <c r="O189" s="199" t="s">
        <v>283</v>
      </c>
      <c r="P189" s="200" t="s">
        <v>97</v>
      </c>
      <c r="Q189" s="201">
        <v>45673</v>
      </c>
      <c r="R189" s="202" t="s">
        <v>1800</v>
      </c>
      <c r="S189" s="203">
        <v>93886706</v>
      </c>
      <c r="T189" s="199" t="s">
        <v>3521</v>
      </c>
      <c r="U189" s="204" t="s">
        <v>3522</v>
      </c>
      <c r="V189" s="205">
        <v>4</v>
      </c>
      <c r="W189" s="205">
        <v>0</v>
      </c>
      <c r="X189" s="205">
        <v>0</v>
      </c>
      <c r="Y189" s="205">
        <v>0</v>
      </c>
      <c r="Z189" s="206">
        <v>1046865782</v>
      </c>
      <c r="AA189" s="211"/>
      <c r="AB189" s="211"/>
      <c r="AC189" s="190"/>
      <c r="AD189" s="70"/>
    </row>
    <row r="190" spans="1:30" ht="22.35" customHeight="1">
      <c r="A190" s="310" t="s">
        <v>8</v>
      </c>
      <c r="B190" s="323" t="s">
        <v>23</v>
      </c>
      <c r="C190" s="1337">
        <v>45805</v>
      </c>
      <c r="D190" s="324">
        <v>3</v>
      </c>
      <c r="E190" s="310">
        <v>460</v>
      </c>
      <c r="F190" s="392" t="s">
        <v>1540</v>
      </c>
      <c r="G190" s="310">
        <v>90</v>
      </c>
      <c r="H190" s="310">
        <v>325.85000000000002</v>
      </c>
      <c r="I190" s="310">
        <v>282.83</v>
      </c>
      <c r="J190" s="325">
        <v>771.32</v>
      </c>
      <c r="K190" s="326"/>
      <c r="L190" s="319" t="s">
        <v>276</v>
      </c>
      <c r="M190" s="320"/>
      <c r="N190" s="576" t="s">
        <v>1541</v>
      </c>
      <c r="O190" s="199" t="s">
        <v>283</v>
      </c>
      <c r="P190" s="200"/>
      <c r="Q190" s="201">
        <v>45661</v>
      </c>
      <c r="R190" s="330" t="s">
        <v>1539</v>
      </c>
      <c r="S190" s="203"/>
      <c r="T190" s="199"/>
      <c r="U190" s="204"/>
      <c r="V190" s="205"/>
      <c r="W190" s="205"/>
      <c r="X190" s="205"/>
      <c r="Y190" s="205"/>
      <c r="Z190" s="206"/>
      <c r="AA190" s="322"/>
      <c r="AB190" s="322"/>
      <c r="AC190" s="300"/>
      <c r="AD190" s="70"/>
    </row>
    <row r="191" spans="1:30" ht="22.35" customHeight="1">
      <c r="A191" s="310" t="s">
        <v>10</v>
      </c>
      <c r="B191" s="323" t="s">
        <v>88</v>
      </c>
      <c r="C191" s="1337">
        <v>45803</v>
      </c>
      <c r="D191" s="324">
        <v>3</v>
      </c>
      <c r="E191" s="310">
        <v>318.33</v>
      </c>
      <c r="F191" s="392">
        <v>955</v>
      </c>
      <c r="G191" s="310">
        <v>70</v>
      </c>
      <c r="H191" s="310">
        <v>171.9</v>
      </c>
      <c r="I191" s="310">
        <v>212.62</v>
      </c>
      <c r="J191" s="325">
        <v>570.48</v>
      </c>
      <c r="K191" s="326"/>
      <c r="L191" s="319" t="s">
        <v>276</v>
      </c>
      <c r="M191" s="320">
        <v>5</v>
      </c>
      <c r="N191" s="576" t="s">
        <v>3523</v>
      </c>
      <c r="O191" s="199" t="s">
        <v>283</v>
      </c>
      <c r="P191" s="200" t="s">
        <v>97</v>
      </c>
      <c r="Q191" s="201">
        <v>45727</v>
      </c>
      <c r="R191" s="327" t="s">
        <v>2678</v>
      </c>
      <c r="S191" s="203">
        <v>482813150</v>
      </c>
      <c r="T191" s="199" t="s">
        <v>3524</v>
      </c>
      <c r="U191" s="204" t="s">
        <v>3525</v>
      </c>
      <c r="V191" s="205">
        <v>4</v>
      </c>
      <c r="W191" s="205">
        <v>0</v>
      </c>
      <c r="X191" s="205">
        <v>0</v>
      </c>
      <c r="Y191" s="205">
        <v>0</v>
      </c>
      <c r="Z191" s="206">
        <v>1076731557</v>
      </c>
      <c r="AA191" s="322"/>
      <c r="AB191" s="322"/>
      <c r="AC191" s="300"/>
      <c r="AD191" s="70"/>
    </row>
    <row r="192" spans="1:30" ht="22.35" customHeight="1">
      <c r="A192" s="310" t="s">
        <v>8</v>
      </c>
      <c r="B192" s="323" t="s">
        <v>23</v>
      </c>
      <c r="C192" s="1337">
        <v>45801</v>
      </c>
      <c r="D192" s="324">
        <v>3</v>
      </c>
      <c r="E192" s="310">
        <v>510</v>
      </c>
      <c r="F192" s="392" t="s">
        <v>1356</v>
      </c>
      <c r="G192" s="310">
        <v>90</v>
      </c>
      <c r="H192" s="310">
        <v>360.53</v>
      </c>
      <c r="I192" s="310">
        <v>305.89</v>
      </c>
      <c r="J192" s="325">
        <v>863.58</v>
      </c>
      <c r="K192" s="326"/>
      <c r="L192" s="319" t="s">
        <v>276</v>
      </c>
      <c r="M192" s="320"/>
      <c r="N192" s="576" t="s">
        <v>1318</v>
      </c>
      <c r="O192" s="199" t="s">
        <v>283</v>
      </c>
      <c r="P192" s="200"/>
      <c r="Q192" s="201">
        <v>45648</v>
      </c>
      <c r="R192" s="330" t="s">
        <v>1355</v>
      </c>
      <c r="S192" s="203"/>
      <c r="T192" s="199"/>
      <c r="U192" s="204"/>
      <c r="V192" s="205"/>
      <c r="W192" s="205"/>
      <c r="X192" s="205"/>
      <c r="Y192" s="205"/>
      <c r="Z192" s="206"/>
      <c r="AA192" s="322"/>
      <c r="AB192" s="322"/>
      <c r="AC192" s="300"/>
      <c r="AD192" s="70"/>
    </row>
    <row r="193" spans="1:30" ht="22.35" customHeight="1">
      <c r="A193" s="310" t="s">
        <v>8</v>
      </c>
      <c r="B193" s="323" t="s">
        <v>88</v>
      </c>
      <c r="C193" s="1337">
        <v>45798</v>
      </c>
      <c r="D193" s="324">
        <v>3</v>
      </c>
      <c r="E193" s="310">
        <v>270</v>
      </c>
      <c r="F193" s="392">
        <v>810</v>
      </c>
      <c r="G193" s="310">
        <v>90</v>
      </c>
      <c r="H193" s="310">
        <v>145.80000000000001</v>
      </c>
      <c r="I193" s="310">
        <v>204.84</v>
      </c>
      <c r="J193" s="325">
        <v>459.36</v>
      </c>
      <c r="K193" s="326"/>
      <c r="L193" s="319" t="s">
        <v>276</v>
      </c>
      <c r="M193" s="320"/>
      <c r="N193" s="576" t="s">
        <v>2878</v>
      </c>
      <c r="O193" s="199" t="s">
        <v>283</v>
      </c>
      <c r="P193" s="200" t="s">
        <v>89</v>
      </c>
      <c r="Q193" s="201">
        <v>45781</v>
      </c>
      <c r="R193" s="327" t="s">
        <v>2879</v>
      </c>
      <c r="S193" s="203">
        <v>48244899</v>
      </c>
      <c r="T193" s="199" t="s">
        <v>2880</v>
      </c>
      <c r="U193" s="204" t="s">
        <v>117</v>
      </c>
      <c r="V193" s="205">
        <v>4</v>
      </c>
      <c r="W193" s="205">
        <v>0</v>
      </c>
      <c r="X193" s="205">
        <v>0</v>
      </c>
      <c r="Y193" s="205">
        <v>0</v>
      </c>
      <c r="Z193" s="206">
        <v>1107568595</v>
      </c>
      <c r="AA193" s="322"/>
      <c r="AB193" s="322"/>
      <c r="AC193" s="300"/>
      <c r="AD193" s="70"/>
    </row>
    <row r="194" spans="1:30" ht="22.35" customHeight="1">
      <c r="A194" s="310" t="s">
        <v>10</v>
      </c>
      <c r="B194" s="323" t="s">
        <v>23</v>
      </c>
      <c r="C194" s="1337">
        <v>45796</v>
      </c>
      <c r="D194" s="324">
        <v>6</v>
      </c>
      <c r="E194" s="310">
        <v>306.67</v>
      </c>
      <c r="F194" s="392" t="s">
        <v>2264</v>
      </c>
      <c r="G194" s="310">
        <v>70</v>
      </c>
      <c r="H194" s="310">
        <v>434.59</v>
      </c>
      <c r="I194" s="310">
        <v>337.08</v>
      </c>
      <c r="J194" s="325">
        <v>1068.33</v>
      </c>
      <c r="K194" s="326"/>
      <c r="L194" s="319" t="s">
        <v>276</v>
      </c>
      <c r="M194" s="320">
        <v>9</v>
      </c>
      <c r="N194" s="576" t="s">
        <v>3526</v>
      </c>
      <c r="O194" s="199" t="s">
        <v>283</v>
      </c>
      <c r="P194" s="200"/>
      <c r="Q194" s="201">
        <v>45648</v>
      </c>
      <c r="R194" s="330" t="s">
        <v>3527</v>
      </c>
      <c r="S194" s="203"/>
      <c r="T194" s="199"/>
      <c r="U194" s="204"/>
      <c r="V194" s="205"/>
      <c r="W194" s="205"/>
      <c r="X194" s="205"/>
      <c r="Y194" s="205"/>
      <c r="Z194" s="206"/>
      <c r="AA194" s="322"/>
      <c r="AB194" s="322"/>
      <c r="AC194" s="300"/>
      <c r="AD194" s="70"/>
    </row>
    <row r="195" spans="1:30" ht="22.35" customHeight="1">
      <c r="A195" s="310" t="s">
        <v>10</v>
      </c>
      <c r="B195" s="323" t="s">
        <v>88</v>
      </c>
      <c r="C195" s="1337">
        <v>45792</v>
      </c>
      <c r="D195" s="324">
        <v>3</v>
      </c>
      <c r="E195" s="310">
        <v>303.33</v>
      </c>
      <c r="F195" s="392">
        <v>910</v>
      </c>
      <c r="G195" s="310">
        <v>70</v>
      </c>
      <c r="H195" s="310">
        <v>163.80000000000001</v>
      </c>
      <c r="I195" s="310">
        <v>205.24</v>
      </c>
      <c r="J195" s="325">
        <v>540.96</v>
      </c>
      <c r="K195" s="326"/>
      <c r="L195" s="319" t="s">
        <v>276</v>
      </c>
      <c r="M195" s="320"/>
      <c r="N195" s="576" t="s">
        <v>2441</v>
      </c>
      <c r="O195" s="199" t="s">
        <v>283</v>
      </c>
      <c r="P195" s="200" t="s">
        <v>97</v>
      </c>
      <c r="Q195" s="201">
        <v>45722</v>
      </c>
      <c r="R195" s="327" t="s">
        <v>2442</v>
      </c>
      <c r="S195" s="203">
        <v>206902876</v>
      </c>
      <c r="T195" s="199" t="s">
        <v>2443</v>
      </c>
      <c r="U195" s="204" t="s">
        <v>127</v>
      </c>
      <c r="V195" s="205">
        <v>3</v>
      </c>
      <c r="W195" s="205">
        <v>0</v>
      </c>
      <c r="X195" s="205">
        <v>0</v>
      </c>
      <c r="Y195" s="205">
        <v>0</v>
      </c>
      <c r="Z195" s="206">
        <v>1074178616</v>
      </c>
      <c r="AA195" s="322"/>
      <c r="AB195" s="322"/>
      <c r="AC195" s="300"/>
      <c r="AD195" s="70"/>
    </row>
    <row r="196" spans="1:30" ht="22.35" customHeight="1">
      <c r="A196" s="310" t="s">
        <v>8</v>
      </c>
      <c r="B196" s="323" t="s">
        <v>88</v>
      </c>
      <c r="C196" s="1337">
        <v>45792</v>
      </c>
      <c r="D196" s="324">
        <v>6</v>
      </c>
      <c r="E196" s="334">
        <v>419.16</v>
      </c>
      <c r="F196" s="392">
        <v>2514.9499999999998</v>
      </c>
      <c r="G196" s="334">
        <v>90</v>
      </c>
      <c r="H196" s="334">
        <v>78.55</v>
      </c>
      <c r="I196" s="334">
        <v>492.69</v>
      </c>
      <c r="J196" s="335">
        <v>1610.76</v>
      </c>
      <c r="K196" s="335"/>
      <c r="L196" s="340" t="s">
        <v>276</v>
      </c>
      <c r="M196" s="320">
        <v>5</v>
      </c>
      <c r="N196" s="576" t="s">
        <v>861</v>
      </c>
      <c r="O196" s="199" t="s">
        <v>283</v>
      </c>
      <c r="P196" s="200" t="s">
        <v>89</v>
      </c>
      <c r="Q196" s="201">
        <v>45494</v>
      </c>
      <c r="R196" s="327" t="s">
        <v>862</v>
      </c>
      <c r="S196" s="203">
        <v>70829722</v>
      </c>
      <c r="T196" s="199" t="s">
        <v>863</v>
      </c>
      <c r="U196" s="204" t="s">
        <v>864</v>
      </c>
      <c r="V196" s="205">
        <v>4</v>
      </c>
      <c r="W196" s="205">
        <v>0</v>
      </c>
      <c r="X196" s="205">
        <v>0</v>
      </c>
      <c r="Y196" s="205">
        <v>0</v>
      </c>
      <c r="Z196" s="206">
        <v>962788967</v>
      </c>
      <c r="AA196" s="322">
        <v>298</v>
      </c>
      <c r="AB196" s="333" t="s">
        <v>1024</v>
      </c>
      <c r="AC196" s="300" t="s">
        <v>940</v>
      </c>
      <c r="AD196" s="70"/>
    </row>
    <row r="197" spans="1:30" ht="22.35" customHeight="1">
      <c r="A197" s="187" t="s">
        <v>8</v>
      </c>
      <c r="B197" s="195" t="s">
        <v>88</v>
      </c>
      <c r="C197" s="1341">
        <v>45790</v>
      </c>
      <c r="D197" s="194">
        <v>2</v>
      </c>
      <c r="E197" s="187">
        <v>245</v>
      </c>
      <c r="F197" s="246">
        <v>490</v>
      </c>
      <c r="G197" s="187">
        <v>90</v>
      </c>
      <c r="H197" s="187">
        <v>88.2</v>
      </c>
      <c r="I197" s="187">
        <v>152.36000000000001</v>
      </c>
      <c r="J197" s="196">
        <v>249.44</v>
      </c>
      <c r="K197" s="213"/>
      <c r="L197" s="197" t="s">
        <v>276</v>
      </c>
      <c r="M197" s="194"/>
      <c r="N197" s="238" t="s">
        <v>2881</v>
      </c>
      <c r="O197" s="199" t="s">
        <v>283</v>
      </c>
      <c r="P197" s="200" t="s">
        <v>89</v>
      </c>
      <c r="Q197" s="201">
        <v>45780</v>
      </c>
      <c r="R197" s="202" t="s">
        <v>2882</v>
      </c>
      <c r="S197" s="203">
        <v>245792791</v>
      </c>
      <c r="T197" s="199" t="s">
        <v>2883</v>
      </c>
      <c r="U197" s="204" t="s">
        <v>2884</v>
      </c>
      <c r="V197" s="205">
        <v>3</v>
      </c>
      <c r="W197" s="205">
        <v>0</v>
      </c>
      <c r="X197" s="205">
        <v>0</v>
      </c>
      <c r="Y197" s="205">
        <v>0</v>
      </c>
      <c r="Z197" s="206">
        <v>1107525750</v>
      </c>
      <c r="AA197" s="211"/>
      <c r="AB197" s="211"/>
      <c r="AC197" s="190"/>
      <c r="AD197" s="70"/>
    </row>
    <row r="198" spans="1:30" ht="22.35" customHeight="1">
      <c r="A198" s="310" t="s">
        <v>10</v>
      </c>
      <c r="B198" s="323" t="s">
        <v>88</v>
      </c>
      <c r="C198" s="1337">
        <v>45788</v>
      </c>
      <c r="D198" s="324">
        <v>4</v>
      </c>
      <c r="E198" s="310">
        <v>282.5</v>
      </c>
      <c r="F198" s="392">
        <v>1130</v>
      </c>
      <c r="G198" s="310">
        <v>70</v>
      </c>
      <c r="H198" s="310">
        <v>203.4</v>
      </c>
      <c r="I198" s="310">
        <v>241.32</v>
      </c>
      <c r="J198" s="325">
        <v>685.28</v>
      </c>
      <c r="K198" s="326"/>
      <c r="L198" s="319" t="s">
        <v>276</v>
      </c>
      <c r="M198" s="320">
        <v>5</v>
      </c>
      <c r="N198" s="576" t="s">
        <v>2285</v>
      </c>
      <c r="O198" s="199" t="s">
        <v>283</v>
      </c>
      <c r="P198" s="200" t="s">
        <v>97</v>
      </c>
      <c r="Q198" s="201">
        <v>45698</v>
      </c>
      <c r="R198" s="327" t="s">
        <v>325</v>
      </c>
      <c r="S198" s="203">
        <v>43444472</v>
      </c>
      <c r="T198" s="199" t="s">
        <v>326</v>
      </c>
      <c r="U198" s="204" t="s">
        <v>327</v>
      </c>
      <c r="V198" s="205">
        <v>2</v>
      </c>
      <c r="W198" s="205">
        <v>0</v>
      </c>
      <c r="X198" s="205">
        <v>0</v>
      </c>
      <c r="Y198" s="205">
        <v>0</v>
      </c>
      <c r="Z198" s="206">
        <v>1060956609</v>
      </c>
      <c r="AA198" s="322"/>
      <c r="AB198" s="322"/>
      <c r="AC198" s="300"/>
      <c r="AD198" s="70"/>
    </row>
    <row r="199" spans="1:30" ht="22.35" customHeight="1">
      <c r="A199" s="310" t="s">
        <v>8</v>
      </c>
      <c r="B199" s="323" t="s">
        <v>88</v>
      </c>
      <c r="C199" s="1337">
        <v>45787</v>
      </c>
      <c r="D199" s="324">
        <v>3</v>
      </c>
      <c r="E199" s="310">
        <v>410</v>
      </c>
      <c r="F199" s="392">
        <v>1230</v>
      </c>
      <c r="G199" s="310">
        <v>90</v>
      </c>
      <c r="H199" s="310">
        <v>221.4</v>
      </c>
      <c r="I199" s="310">
        <v>273.72000000000003</v>
      </c>
      <c r="J199" s="325">
        <v>734.88</v>
      </c>
      <c r="K199" s="326"/>
      <c r="L199" s="319" t="s">
        <v>276</v>
      </c>
      <c r="M199" s="320">
        <v>5</v>
      </c>
      <c r="N199" s="576" t="s">
        <v>2003</v>
      </c>
      <c r="O199" s="199" t="s">
        <v>283</v>
      </c>
      <c r="P199" s="200" t="s">
        <v>89</v>
      </c>
      <c r="Q199" s="201">
        <v>45680</v>
      </c>
      <c r="R199" s="327" t="s">
        <v>2004</v>
      </c>
      <c r="S199" s="203">
        <v>35595302</v>
      </c>
      <c r="T199" s="199" t="s">
        <v>2005</v>
      </c>
      <c r="U199" s="204" t="s">
        <v>181</v>
      </c>
      <c r="V199" s="205">
        <v>4</v>
      </c>
      <c r="W199" s="205">
        <v>0</v>
      </c>
      <c r="X199" s="205">
        <v>0</v>
      </c>
      <c r="Y199" s="205">
        <v>0</v>
      </c>
      <c r="Z199" s="206">
        <v>1050709497</v>
      </c>
      <c r="AA199" s="322"/>
      <c r="AB199" s="322"/>
      <c r="AC199" s="300"/>
      <c r="AD199" s="70"/>
    </row>
    <row r="200" spans="1:30" ht="22.35" customHeight="1">
      <c r="A200" s="310" t="s">
        <v>10</v>
      </c>
      <c r="B200" s="323" t="s">
        <v>88</v>
      </c>
      <c r="C200" s="1337">
        <v>45784</v>
      </c>
      <c r="D200" s="324">
        <v>4</v>
      </c>
      <c r="E200" s="310">
        <v>202.5</v>
      </c>
      <c r="F200" s="392">
        <v>810</v>
      </c>
      <c r="G200" s="310">
        <v>70</v>
      </c>
      <c r="H200" s="310">
        <v>145.80000000000001</v>
      </c>
      <c r="I200" s="310">
        <v>188.84</v>
      </c>
      <c r="J200" s="325">
        <v>475.36</v>
      </c>
      <c r="K200" s="326"/>
      <c r="L200" s="319" t="s">
        <v>276</v>
      </c>
      <c r="M200" s="320">
        <v>5</v>
      </c>
      <c r="N200" s="576" t="s">
        <v>2842</v>
      </c>
      <c r="O200" s="199" t="s">
        <v>283</v>
      </c>
      <c r="P200" s="200" t="s">
        <v>97</v>
      </c>
      <c r="Q200" s="201">
        <v>45771</v>
      </c>
      <c r="R200" s="327" t="s">
        <v>2843</v>
      </c>
      <c r="S200" s="203">
        <v>330915661</v>
      </c>
      <c r="T200" s="199" t="s">
        <v>2844</v>
      </c>
      <c r="U200" s="204" t="s">
        <v>2845</v>
      </c>
      <c r="V200" s="205">
        <v>2</v>
      </c>
      <c r="W200" s="205">
        <v>1</v>
      </c>
      <c r="X200" s="205">
        <v>1</v>
      </c>
      <c r="Y200" s="205">
        <v>0</v>
      </c>
      <c r="Z200" s="206">
        <v>1101870903</v>
      </c>
      <c r="AA200" s="322"/>
      <c r="AB200" s="322"/>
      <c r="AC200" s="300"/>
      <c r="AD200" s="70"/>
    </row>
    <row r="201" spans="1:30" ht="22.35" customHeight="1">
      <c r="A201" s="310" t="s">
        <v>8</v>
      </c>
      <c r="B201" s="323" t="s">
        <v>88</v>
      </c>
      <c r="C201" s="1337">
        <v>45783</v>
      </c>
      <c r="D201" s="324">
        <v>4</v>
      </c>
      <c r="E201" s="310">
        <v>272.5</v>
      </c>
      <c r="F201" s="392">
        <v>1090</v>
      </c>
      <c r="G201" s="310">
        <v>90</v>
      </c>
      <c r="H201" s="310">
        <v>196.2</v>
      </c>
      <c r="I201" s="310">
        <v>250.76</v>
      </c>
      <c r="J201" s="325">
        <v>643.04</v>
      </c>
      <c r="K201" s="326"/>
      <c r="L201" s="319" t="s">
        <v>276</v>
      </c>
      <c r="M201" s="320">
        <v>5</v>
      </c>
      <c r="N201" s="576" t="s">
        <v>2858</v>
      </c>
      <c r="O201" s="199" t="s">
        <v>283</v>
      </c>
      <c r="P201" s="200" t="s">
        <v>89</v>
      </c>
      <c r="Q201" s="201">
        <v>45774</v>
      </c>
      <c r="R201" s="327" t="s">
        <v>2859</v>
      </c>
      <c r="S201" s="203">
        <v>340134420</v>
      </c>
      <c r="T201" s="199" t="s">
        <v>2860</v>
      </c>
      <c r="U201" s="204" t="s">
        <v>2861</v>
      </c>
      <c r="V201" s="205">
        <v>2</v>
      </c>
      <c r="W201" s="205">
        <v>2</v>
      </c>
      <c r="X201" s="205">
        <v>0</v>
      </c>
      <c r="Y201" s="205">
        <v>0</v>
      </c>
      <c r="Z201" s="206">
        <v>1103806320</v>
      </c>
      <c r="AA201" s="322"/>
      <c r="AB201" s="322"/>
      <c r="AC201" s="300"/>
      <c r="AD201" s="70"/>
    </row>
    <row r="202" spans="1:30" ht="22.35" customHeight="1">
      <c r="A202" s="310" t="s">
        <v>15</v>
      </c>
      <c r="B202" s="323" t="s">
        <v>88</v>
      </c>
      <c r="C202" s="1337">
        <v>45778</v>
      </c>
      <c r="D202" s="324">
        <v>30</v>
      </c>
      <c r="E202" s="310">
        <v>88.82</v>
      </c>
      <c r="F202" s="392">
        <v>2664.61</v>
      </c>
      <c r="G202" s="310">
        <v>75</v>
      </c>
      <c r="H202" s="310">
        <v>85.86</v>
      </c>
      <c r="I202" s="310">
        <v>364.14</v>
      </c>
      <c r="J202" s="325">
        <v>1935</v>
      </c>
      <c r="K202" s="326"/>
      <c r="L202" s="319" t="s">
        <v>276</v>
      </c>
      <c r="M202" s="320">
        <v>4</v>
      </c>
      <c r="N202" s="576" t="s">
        <v>997</v>
      </c>
      <c r="O202" s="199" t="s">
        <v>283</v>
      </c>
      <c r="P202" s="200" t="s">
        <v>114</v>
      </c>
      <c r="Q202" s="201">
        <v>45553</v>
      </c>
      <c r="R202" s="327" t="s">
        <v>998</v>
      </c>
      <c r="S202" s="203">
        <v>413349123</v>
      </c>
      <c r="T202" s="199" t="s">
        <v>999</v>
      </c>
      <c r="U202" s="204" t="s">
        <v>1000</v>
      </c>
      <c r="V202" s="205">
        <v>2</v>
      </c>
      <c r="W202" s="205">
        <v>0</v>
      </c>
      <c r="X202" s="205">
        <v>0</v>
      </c>
      <c r="Y202" s="205">
        <v>0</v>
      </c>
      <c r="Z202" s="206">
        <v>993020818</v>
      </c>
      <c r="AA202" s="322"/>
      <c r="AB202" s="322"/>
      <c r="AC202" s="300"/>
      <c r="AD202" s="70"/>
    </row>
    <row r="203" spans="1:30" ht="22.35" customHeight="1">
      <c r="A203" s="310" t="s">
        <v>10</v>
      </c>
      <c r="B203" s="323" t="s">
        <v>23</v>
      </c>
      <c r="C203" s="1337">
        <v>45778</v>
      </c>
      <c r="D203" s="324">
        <v>3</v>
      </c>
      <c r="E203" s="310">
        <v>303.33</v>
      </c>
      <c r="F203" s="392" t="s">
        <v>1163</v>
      </c>
      <c r="G203" s="310">
        <v>70</v>
      </c>
      <c r="H203" s="310">
        <v>214.82</v>
      </c>
      <c r="I203" s="310">
        <v>195.04</v>
      </c>
      <c r="J203" s="325">
        <v>500.14</v>
      </c>
      <c r="K203" s="326"/>
      <c r="L203" s="319" t="s">
        <v>276</v>
      </c>
      <c r="M203" s="320"/>
      <c r="N203" s="576" t="s">
        <v>1518</v>
      </c>
      <c r="O203" s="199" t="s">
        <v>283</v>
      </c>
      <c r="P203" s="200"/>
      <c r="Q203" s="201">
        <v>45660</v>
      </c>
      <c r="R203" s="330" t="s">
        <v>1517</v>
      </c>
      <c r="S203" s="203"/>
      <c r="T203" s="199"/>
      <c r="U203" s="204"/>
      <c r="V203" s="205"/>
      <c r="W203" s="205"/>
      <c r="X203" s="205"/>
      <c r="Y203" s="205"/>
      <c r="Z203" s="206"/>
      <c r="AA203" s="322"/>
      <c r="AB203" s="322"/>
      <c r="AC203" s="300"/>
      <c r="AD203" s="70"/>
    </row>
    <row r="204" spans="1:30" ht="22.35" customHeight="1">
      <c r="A204" s="310" t="s">
        <v>8</v>
      </c>
      <c r="B204" s="323" t="s">
        <v>88</v>
      </c>
      <c r="C204" s="1337">
        <v>45776</v>
      </c>
      <c r="D204" s="324">
        <v>5</v>
      </c>
      <c r="E204" s="310">
        <v>350</v>
      </c>
      <c r="F204" s="392">
        <v>1750</v>
      </c>
      <c r="G204" s="310">
        <v>90</v>
      </c>
      <c r="H204" s="310">
        <v>315</v>
      </c>
      <c r="I204" s="310">
        <v>359</v>
      </c>
      <c r="J204" s="325">
        <v>1076</v>
      </c>
      <c r="K204" s="326"/>
      <c r="L204" s="319" t="s">
        <v>276</v>
      </c>
      <c r="M204" s="320"/>
      <c r="N204" s="576" t="s">
        <v>2801</v>
      </c>
      <c r="O204" s="199" t="s">
        <v>283</v>
      </c>
      <c r="P204" s="200" t="s">
        <v>89</v>
      </c>
      <c r="Q204" s="201">
        <v>45754</v>
      </c>
      <c r="R204" s="327" t="s">
        <v>2799</v>
      </c>
      <c r="S204" s="203">
        <v>545399265</v>
      </c>
      <c r="T204" s="199" t="s">
        <v>2802</v>
      </c>
      <c r="U204" s="204" t="s">
        <v>1065</v>
      </c>
      <c r="V204" s="205">
        <v>1</v>
      </c>
      <c r="W204" s="205">
        <v>0</v>
      </c>
      <c r="X204" s="205">
        <v>0</v>
      </c>
      <c r="Y204" s="205">
        <v>0</v>
      </c>
      <c r="Z204" s="206">
        <v>1092395887</v>
      </c>
      <c r="AA204" s="322"/>
      <c r="AB204" s="322"/>
      <c r="AC204" s="300"/>
      <c r="AD204" s="70"/>
    </row>
    <row r="205" spans="1:30" ht="22.35" customHeight="1">
      <c r="A205" s="310" t="s">
        <v>10</v>
      </c>
      <c r="B205" s="323" t="s">
        <v>88</v>
      </c>
      <c r="C205" s="1337">
        <v>45774</v>
      </c>
      <c r="D205" s="324">
        <v>3</v>
      </c>
      <c r="E205" s="310">
        <v>298.33</v>
      </c>
      <c r="F205" s="392">
        <v>895</v>
      </c>
      <c r="G205" s="310">
        <v>70</v>
      </c>
      <c r="H205" s="310">
        <v>161.1</v>
      </c>
      <c r="I205" s="310">
        <v>202.78</v>
      </c>
      <c r="J205" s="325">
        <v>531.12</v>
      </c>
      <c r="K205" s="326"/>
      <c r="L205" s="319" t="s">
        <v>276</v>
      </c>
      <c r="M205" s="320"/>
      <c r="N205" s="576" t="s">
        <v>2699</v>
      </c>
      <c r="O205" s="199" t="s">
        <v>283</v>
      </c>
      <c r="P205" s="200" t="s">
        <v>97</v>
      </c>
      <c r="Q205" s="201">
        <v>45732</v>
      </c>
      <c r="R205" s="327" t="s">
        <v>2689</v>
      </c>
      <c r="S205" s="203">
        <v>413503291</v>
      </c>
      <c r="T205" s="199" t="s">
        <v>2700</v>
      </c>
      <c r="U205" s="204" t="s">
        <v>1065</v>
      </c>
      <c r="V205" s="205">
        <v>2</v>
      </c>
      <c r="W205" s="205">
        <v>2</v>
      </c>
      <c r="X205" s="205">
        <v>0</v>
      </c>
      <c r="Y205" s="205">
        <v>0</v>
      </c>
      <c r="Z205" s="206">
        <v>1079856230</v>
      </c>
      <c r="AA205" s="322"/>
      <c r="AB205" s="322"/>
      <c r="AC205" s="300"/>
      <c r="AD205" s="70"/>
    </row>
    <row r="206" spans="1:30" ht="22.35" customHeight="1">
      <c r="A206" s="310" t="s">
        <v>10</v>
      </c>
      <c r="B206" s="323" t="s">
        <v>88</v>
      </c>
      <c r="C206" s="1337">
        <v>45770</v>
      </c>
      <c r="D206" s="324">
        <v>4</v>
      </c>
      <c r="E206" s="310">
        <v>212.5</v>
      </c>
      <c r="F206" s="392">
        <v>850</v>
      </c>
      <c r="G206" s="310">
        <v>70</v>
      </c>
      <c r="H206" s="310">
        <v>153</v>
      </c>
      <c r="I206" s="310">
        <v>195.4</v>
      </c>
      <c r="J206" s="325">
        <v>501.6</v>
      </c>
      <c r="K206" s="326"/>
      <c r="L206" s="319" t="s">
        <v>276</v>
      </c>
      <c r="M206" s="320"/>
      <c r="N206" s="576" t="s">
        <v>2809</v>
      </c>
      <c r="O206" s="199" t="s">
        <v>283</v>
      </c>
      <c r="P206" s="200" t="s">
        <v>97</v>
      </c>
      <c r="Q206" s="201">
        <v>45758</v>
      </c>
      <c r="R206" s="327" t="s">
        <v>2810</v>
      </c>
      <c r="S206" s="203">
        <v>115859773</v>
      </c>
      <c r="T206" s="199" t="s">
        <v>2811</v>
      </c>
      <c r="U206" s="204" t="s">
        <v>188</v>
      </c>
      <c r="V206" s="205">
        <v>2</v>
      </c>
      <c r="W206" s="205">
        <v>0</v>
      </c>
      <c r="X206" s="205">
        <v>0</v>
      </c>
      <c r="Y206" s="205">
        <v>0</v>
      </c>
      <c r="Z206" s="206">
        <v>1094803847</v>
      </c>
      <c r="AA206" s="322"/>
      <c r="AB206" s="322"/>
      <c r="AC206" s="300"/>
      <c r="AD206" s="70"/>
    </row>
    <row r="207" spans="1:30" ht="22.35" customHeight="1">
      <c r="A207" s="310" t="s">
        <v>8</v>
      </c>
      <c r="B207" s="323" t="s">
        <v>23</v>
      </c>
      <c r="C207" s="1337">
        <v>45770</v>
      </c>
      <c r="D207" s="324">
        <v>4</v>
      </c>
      <c r="E207" s="310">
        <v>402.5</v>
      </c>
      <c r="F207" s="392" t="s">
        <v>2113</v>
      </c>
      <c r="G207" s="310">
        <v>90</v>
      </c>
      <c r="H207" s="310">
        <v>378.49</v>
      </c>
      <c r="I207" s="310">
        <v>318.3</v>
      </c>
      <c r="J207" s="325">
        <v>913.21</v>
      </c>
      <c r="K207" s="326"/>
      <c r="L207" s="319" t="s">
        <v>276</v>
      </c>
      <c r="M207" s="320">
        <v>10</v>
      </c>
      <c r="N207" s="576" t="s">
        <v>2115</v>
      </c>
      <c r="O207" s="199" t="s">
        <v>283</v>
      </c>
      <c r="P207" s="200"/>
      <c r="Q207" s="201">
        <v>45683</v>
      </c>
      <c r="R207" s="330" t="s">
        <v>2112</v>
      </c>
      <c r="S207" s="203"/>
      <c r="T207" s="199"/>
      <c r="U207" s="204"/>
      <c r="V207" s="205"/>
      <c r="W207" s="205"/>
      <c r="X207" s="205"/>
      <c r="Y207" s="205"/>
      <c r="Z207" s="206"/>
      <c r="AA207" s="322"/>
      <c r="AB207" s="322"/>
      <c r="AC207" s="300"/>
      <c r="AD207" s="70"/>
    </row>
    <row r="208" spans="1:30" ht="22.35" customHeight="1">
      <c r="A208" s="310" t="s">
        <v>8</v>
      </c>
      <c r="B208" s="323" t="s">
        <v>88</v>
      </c>
      <c r="C208" s="1337">
        <v>45768</v>
      </c>
      <c r="D208" s="324">
        <v>2</v>
      </c>
      <c r="E208" s="310">
        <v>230</v>
      </c>
      <c r="F208" s="392">
        <v>460</v>
      </c>
      <c r="G208" s="310">
        <v>90</v>
      </c>
      <c r="H208" s="310">
        <v>82.8</v>
      </c>
      <c r="I208" s="310">
        <v>147.44</v>
      </c>
      <c r="J208" s="325">
        <v>229.76</v>
      </c>
      <c r="K208" s="326"/>
      <c r="L208" s="319" t="s">
        <v>276</v>
      </c>
      <c r="M208" s="320"/>
      <c r="N208" s="576" t="s">
        <v>2828</v>
      </c>
      <c r="O208" s="199" t="s">
        <v>283</v>
      </c>
      <c r="P208" s="200" t="s">
        <v>89</v>
      </c>
      <c r="Q208" s="201">
        <v>45766</v>
      </c>
      <c r="R208" s="327" t="s">
        <v>2829</v>
      </c>
      <c r="S208" s="203">
        <v>98903943</v>
      </c>
      <c r="T208" s="199" t="s">
        <v>2830</v>
      </c>
      <c r="U208" s="204" t="s">
        <v>2831</v>
      </c>
      <c r="V208" s="205">
        <v>2</v>
      </c>
      <c r="W208" s="205">
        <v>2</v>
      </c>
      <c r="X208" s="205">
        <v>0</v>
      </c>
      <c r="Y208" s="205">
        <v>0</v>
      </c>
      <c r="Z208" s="206">
        <v>1099598118</v>
      </c>
      <c r="AA208" s="322"/>
      <c r="AB208" s="322"/>
      <c r="AC208" s="300"/>
      <c r="AD208" s="70"/>
    </row>
    <row r="209" spans="1:30" ht="22.35" customHeight="1">
      <c r="A209" s="310" t="s">
        <v>10</v>
      </c>
      <c r="B209" s="323" t="s">
        <v>23</v>
      </c>
      <c r="C209" s="1337">
        <v>45765</v>
      </c>
      <c r="D209" s="324">
        <v>3</v>
      </c>
      <c r="E209" s="310">
        <v>318.33</v>
      </c>
      <c r="F209" s="392" t="s">
        <v>2427</v>
      </c>
      <c r="G209" s="310">
        <v>70</v>
      </c>
      <c r="H209" s="310">
        <v>224.78</v>
      </c>
      <c r="I209" s="310">
        <v>202.04</v>
      </c>
      <c r="J209" s="325">
        <v>528.17999999999995</v>
      </c>
      <c r="K209" s="326"/>
      <c r="L209" s="319" t="s">
        <v>276</v>
      </c>
      <c r="M209" s="320">
        <v>9</v>
      </c>
      <c r="N209" s="576" t="s">
        <v>2428</v>
      </c>
      <c r="O209" s="199" t="s">
        <v>283</v>
      </c>
      <c r="P209" s="200"/>
      <c r="Q209" s="201">
        <v>45718</v>
      </c>
      <c r="R209" s="330" t="s">
        <v>2426</v>
      </c>
      <c r="S209" s="203"/>
      <c r="T209" s="199"/>
      <c r="U209" s="204"/>
      <c r="V209" s="205"/>
      <c r="W209" s="205"/>
      <c r="X209" s="205"/>
      <c r="Y209" s="205"/>
      <c r="Z209" s="206"/>
      <c r="AA209" s="322"/>
      <c r="AB209" s="322"/>
      <c r="AC209" s="300"/>
      <c r="AD209" s="70"/>
    </row>
    <row r="210" spans="1:30" ht="22.35" customHeight="1">
      <c r="A210" s="310" t="s">
        <v>8</v>
      </c>
      <c r="B210" s="323" t="s">
        <v>23</v>
      </c>
      <c r="C210" s="1337">
        <v>45764</v>
      </c>
      <c r="D210" s="324">
        <v>4</v>
      </c>
      <c r="E210" s="310">
        <v>402.5</v>
      </c>
      <c r="F210" s="392" t="s">
        <v>2113</v>
      </c>
      <c r="G210" s="310">
        <v>90</v>
      </c>
      <c r="H210" s="310">
        <v>378.49</v>
      </c>
      <c r="I210" s="310">
        <v>318.3</v>
      </c>
      <c r="J210" s="325">
        <v>913.21</v>
      </c>
      <c r="K210" s="326"/>
      <c r="L210" s="319" t="s">
        <v>276</v>
      </c>
      <c r="M210" s="320">
        <v>10</v>
      </c>
      <c r="N210" s="576" t="s">
        <v>2417</v>
      </c>
      <c r="O210" s="199" t="s">
        <v>283</v>
      </c>
      <c r="P210" s="200"/>
      <c r="Q210" s="201">
        <v>45717</v>
      </c>
      <c r="R210" s="330" t="s">
        <v>2416</v>
      </c>
      <c r="S210" s="203"/>
      <c r="T210" s="199"/>
      <c r="U210" s="204"/>
      <c r="V210" s="205"/>
      <c r="W210" s="205"/>
      <c r="X210" s="205"/>
      <c r="Y210" s="205"/>
      <c r="Z210" s="206"/>
      <c r="AA210" s="322"/>
      <c r="AB210" s="322"/>
      <c r="AC210" s="300"/>
      <c r="AD210" s="70"/>
    </row>
    <row r="211" spans="1:30" ht="22.35" customHeight="1">
      <c r="A211" s="310" t="s">
        <v>10</v>
      </c>
      <c r="B211" s="323" t="s">
        <v>23</v>
      </c>
      <c r="C211" s="1337">
        <v>45761</v>
      </c>
      <c r="D211" s="324">
        <v>4</v>
      </c>
      <c r="E211" s="310">
        <v>297.5</v>
      </c>
      <c r="F211" s="392" t="s">
        <v>1160</v>
      </c>
      <c r="G211" s="310">
        <v>70</v>
      </c>
      <c r="H211" s="310">
        <v>280.13</v>
      </c>
      <c r="I211" s="310">
        <v>237.97</v>
      </c>
      <c r="J211" s="325">
        <v>671.9</v>
      </c>
      <c r="K211" s="326"/>
      <c r="L211" s="319" t="s">
        <v>276</v>
      </c>
      <c r="M211" s="320"/>
      <c r="N211" s="576" t="s">
        <v>1580</v>
      </c>
      <c r="O211" s="199" t="s">
        <v>283</v>
      </c>
      <c r="P211" s="200"/>
      <c r="Q211" s="201">
        <v>45663</v>
      </c>
      <c r="R211" s="330" t="s">
        <v>1579</v>
      </c>
      <c r="S211" s="203"/>
      <c r="T211" s="199"/>
      <c r="U211" s="204"/>
      <c r="V211" s="205"/>
      <c r="W211" s="205"/>
      <c r="X211" s="205"/>
      <c r="Y211" s="205"/>
      <c r="Z211" s="206"/>
      <c r="AA211" s="322"/>
      <c r="AB211" s="322"/>
      <c r="AC211" s="300"/>
      <c r="AD211" s="70"/>
    </row>
    <row r="212" spans="1:30" ht="22.35" customHeight="1">
      <c r="A212" s="310" t="s">
        <v>10</v>
      </c>
      <c r="B212" s="323" t="s">
        <v>23</v>
      </c>
      <c r="C212" s="1342">
        <v>45757</v>
      </c>
      <c r="D212" s="324">
        <v>4</v>
      </c>
      <c r="E212" s="310">
        <v>312.5</v>
      </c>
      <c r="F212" s="392" t="s">
        <v>1174</v>
      </c>
      <c r="G212" s="310">
        <v>70</v>
      </c>
      <c r="H212" s="310">
        <v>294.17</v>
      </c>
      <c r="I212" s="310">
        <v>247.17</v>
      </c>
      <c r="J212" s="325">
        <v>708.66</v>
      </c>
      <c r="K212" s="326"/>
      <c r="L212" s="337" t="s">
        <v>276</v>
      </c>
      <c r="M212" s="320">
        <v>10</v>
      </c>
      <c r="N212" s="576" t="s">
        <v>1175</v>
      </c>
      <c r="O212" s="199" t="s">
        <v>283</v>
      </c>
      <c r="P212" s="200"/>
      <c r="Q212" s="201">
        <v>45640</v>
      </c>
      <c r="R212" s="330" t="s">
        <v>1363</v>
      </c>
      <c r="S212" s="203"/>
      <c r="T212" s="199"/>
      <c r="U212" s="204"/>
      <c r="V212" s="205"/>
      <c r="W212" s="205"/>
      <c r="X212" s="205"/>
      <c r="Y212" s="205"/>
      <c r="Z212" s="206"/>
      <c r="AA212" s="322"/>
      <c r="AB212" s="322"/>
      <c r="AC212" s="300"/>
      <c r="AD212" s="70"/>
    </row>
    <row r="213" spans="1:30" ht="22.35" customHeight="1">
      <c r="A213" s="310" t="s">
        <v>8</v>
      </c>
      <c r="B213" s="323" t="s">
        <v>88</v>
      </c>
      <c r="C213" s="1337">
        <v>45756</v>
      </c>
      <c r="D213" s="324">
        <v>7</v>
      </c>
      <c r="E213" s="310">
        <v>360.25</v>
      </c>
      <c r="F213" s="392">
        <v>2521.75</v>
      </c>
      <c r="G213" s="310">
        <v>90</v>
      </c>
      <c r="H213" s="310">
        <v>78.77</v>
      </c>
      <c r="I213" s="310">
        <v>493.82</v>
      </c>
      <c r="J213" s="325">
        <v>1615.31</v>
      </c>
      <c r="K213" s="326"/>
      <c r="L213" s="319" t="s">
        <v>276</v>
      </c>
      <c r="M213" s="320"/>
      <c r="N213" s="576" t="s">
        <v>837</v>
      </c>
      <c r="O213" s="199" t="s">
        <v>283</v>
      </c>
      <c r="P213" s="200" t="s">
        <v>89</v>
      </c>
      <c r="Q213" s="201">
        <v>45479</v>
      </c>
      <c r="R213" s="327" t="s">
        <v>838</v>
      </c>
      <c r="S213" s="203">
        <v>28712731</v>
      </c>
      <c r="T213" s="199" t="s">
        <v>839</v>
      </c>
      <c r="U213" s="204" t="s">
        <v>740</v>
      </c>
      <c r="V213" s="205">
        <v>3</v>
      </c>
      <c r="W213" s="205">
        <v>0</v>
      </c>
      <c r="X213" s="205">
        <v>0</v>
      </c>
      <c r="Y213" s="205">
        <v>0</v>
      </c>
      <c r="Z213" s="206">
        <v>954368015</v>
      </c>
      <c r="AA213" s="322"/>
      <c r="AB213" s="322"/>
      <c r="AC213" s="300"/>
      <c r="AD213" s="70"/>
    </row>
    <row r="214" spans="1:30" ht="22.35" customHeight="1">
      <c r="A214" s="310" t="s">
        <v>10</v>
      </c>
      <c r="B214" s="323" t="s">
        <v>88</v>
      </c>
      <c r="C214" s="1337">
        <v>45755</v>
      </c>
      <c r="D214" s="324">
        <v>2</v>
      </c>
      <c r="E214" s="310">
        <v>220</v>
      </c>
      <c r="F214" s="392">
        <v>440</v>
      </c>
      <c r="G214" s="310">
        <v>70</v>
      </c>
      <c r="H214" s="310">
        <v>79.2</v>
      </c>
      <c r="I214" s="310">
        <v>128.16</v>
      </c>
      <c r="J214" s="325">
        <v>232.64</v>
      </c>
      <c r="K214" s="326"/>
      <c r="L214" s="319" t="s">
        <v>276</v>
      </c>
      <c r="M214" s="320">
        <v>5</v>
      </c>
      <c r="N214" s="576" t="s">
        <v>2791</v>
      </c>
      <c r="O214" s="199" t="s">
        <v>283</v>
      </c>
      <c r="P214" s="200" t="s">
        <v>97</v>
      </c>
      <c r="Q214" s="201">
        <v>45751</v>
      </c>
      <c r="R214" s="327" t="s">
        <v>2792</v>
      </c>
      <c r="S214" s="203">
        <v>655496724</v>
      </c>
      <c r="T214" s="199" t="s">
        <v>2793</v>
      </c>
      <c r="U214" s="204" t="s">
        <v>1065</v>
      </c>
      <c r="V214" s="205">
        <v>3</v>
      </c>
      <c r="W214" s="205">
        <v>0</v>
      </c>
      <c r="X214" s="205">
        <v>0</v>
      </c>
      <c r="Y214" s="205">
        <v>0</v>
      </c>
      <c r="Z214" s="206">
        <v>1090661472</v>
      </c>
      <c r="AA214" s="322"/>
      <c r="AB214" s="322"/>
      <c r="AC214" s="300"/>
      <c r="AD214" s="70"/>
    </row>
    <row r="215" spans="1:30" ht="22.35" customHeight="1">
      <c r="A215" s="310" t="s">
        <v>10</v>
      </c>
      <c r="B215" s="323" t="s">
        <v>23</v>
      </c>
      <c r="C215" s="1337">
        <v>45751</v>
      </c>
      <c r="D215" s="324">
        <v>4</v>
      </c>
      <c r="E215" s="310">
        <v>297.5</v>
      </c>
      <c r="F215" s="392" t="s">
        <v>1160</v>
      </c>
      <c r="G215" s="310">
        <v>70</v>
      </c>
      <c r="H215" s="310">
        <v>281.01</v>
      </c>
      <c r="I215" s="310">
        <v>237.8</v>
      </c>
      <c r="J215" s="325">
        <v>671.19</v>
      </c>
      <c r="K215" s="326"/>
      <c r="L215" s="319" t="s">
        <v>276</v>
      </c>
      <c r="M215" s="320">
        <v>9</v>
      </c>
      <c r="N215" s="576" t="s">
        <v>2283</v>
      </c>
      <c r="O215" s="199" t="s">
        <v>283</v>
      </c>
      <c r="P215" s="200"/>
      <c r="Q215" s="201">
        <v>45698</v>
      </c>
      <c r="R215" s="330" t="s">
        <v>2282</v>
      </c>
      <c r="S215" s="203"/>
      <c r="T215" s="199"/>
      <c r="U215" s="204"/>
      <c r="V215" s="205"/>
      <c r="W215" s="205"/>
      <c r="X215" s="205"/>
      <c r="Y215" s="205"/>
      <c r="Z215" s="206"/>
      <c r="AA215" s="322"/>
      <c r="AB215" s="322"/>
      <c r="AC215" s="300"/>
      <c r="AD215" s="70"/>
    </row>
    <row r="216" spans="1:30" ht="22.35" customHeight="1">
      <c r="A216" s="310" t="s">
        <v>8</v>
      </c>
      <c r="B216" s="323" t="s">
        <v>23</v>
      </c>
      <c r="C216" s="1337">
        <v>45750</v>
      </c>
      <c r="D216" s="324">
        <v>5</v>
      </c>
      <c r="E216" s="310">
        <v>313</v>
      </c>
      <c r="F216" s="392" t="s">
        <v>2432</v>
      </c>
      <c r="G216" s="310">
        <v>90</v>
      </c>
      <c r="H216" s="310">
        <v>369.57</v>
      </c>
      <c r="I216" s="310">
        <v>311.08999999999997</v>
      </c>
      <c r="J216" s="325">
        <v>884.34</v>
      </c>
      <c r="K216" s="326"/>
      <c r="L216" s="319" t="s">
        <v>276</v>
      </c>
      <c r="M216" s="320">
        <v>10</v>
      </c>
      <c r="N216" s="576" t="s">
        <v>2433</v>
      </c>
      <c r="O216" s="199" t="s">
        <v>283</v>
      </c>
      <c r="P216" s="200"/>
      <c r="Q216" s="201">
        <v>45719</v>
      </c>
      <c r="R216" s="330" t="s">
        <v>2431</v>
      </c>
      <c r="S216" s="203"/>
      <c r="T216" s="199"/>
      <c r="U216" s="204"/>
      <c r="V216" s="205"/>
      <c r="W216" s="205"/>
      <c r="X216" s="205"/>
      <c r="Y216" s="205"/>
      <c r="Z216" s="206"/>
      <c r="AA216" s="322"/>
      <c r="AB216" s="322"/>
      <c r="AC216" s="300"/>
      <c r="AD216" s="70"/>
    </row>
    <row r="217" spans="1:30" ht="22.35" customHeight="1">
      <c r="A217" s="310" t="s">
        <v>15</v>
      </c>
      <c r="B217" s="323" t="s">
        <v>88</v>
      </c>
      <c r="C217" s="1342">
        <v>45748</v>
      </c>
      <c r="D217" s="324">
        <v>30</v>
      </c>
      <c r="E217" s="334">
        <v>81</v>
      </c>
      <c r="F217" s="392">
        <v>2429.9899999999998</v>
      </c>
      <c r="G217" s="334">
        <v>75</v>
      </c>
      <c r="H217" s="334">
        <v>78.3</v>
      </c>
      <c r="I217" s="334">
        <v>337.82</v>
      </c>
      <c r="J217" s="335">
        <v>1758.88</v>
      </c>
      <c r="K217" s="335"/>
      <c r="L217" s="340" t="s">
        <v>276</v>
      </c>
      <c r="M217" s="320">
        <v>5</v>
      </c>
      <c r="N217" s="576" t="s">
        <v>758</v>
      </c>
      <c r="O217" s="199" t="s">
        <v>283</v>
      </c>
      <c r="P217" s="200" t="s">
        <v>114</v>
      </c>
      <c r="Q217" s="201">
        <v>45426</v>
      </c>
      <c r="R217" s="327" t="s">
        <v>759</v>
      </c>
      <c r="S217" s="203">
        <v>12677319</v>
      </c>
      <c r="T217" s="199" t="s">
        <v>828</v>
      </c>
      <c r="U217" s="204" t="s">
        <v>486</v>
      </c>
      <c r="V217" s="205">
        <v>2</v>
      </c>
      <c r="W217" s="205">
        <v>0</v>
      </c>
      <c r="X217" s="205">
        <v>0</v>
      </c>
      <c r="Y217" s="205">
        <v>0</v>
      </c>
      <c r="Z217" s="206">
        <v>926064572</v>
      </c>
      <c r="AA217" s="322">
        <v>322</v>
      </c>
      <c r="AB217" s="333" t="s">
        <v>944</v>
      </c>
      <c r="AC217" s="300" t="s">
        <v>940</v>
      </c>
      <c r="AD217" s="70"/>
    </row>
    <row r="218" spans="1:30" ht="22.35" customHeight="1">
      <c r="A218" s="187" t="s">
        <v>8</v>
      </c>
      <c r="B218" s="195" t="s">
        <v>88</v>
      </c>
      <c r="C218" s="1341">
        <v>45747</v>
      </c>
      <c r="D218" s="194">
        <v>3</v>
      </c>
      <c r="E218" s="187">
        <v>190</v>
      </c>
      <c r="F218" s="246">
        <v>570</v>
      </c>
      <c r="G218" s="187">
        <v>90</v>
      </c>
      <c r="H218" s="187">
        <v>102.6</v>
      </c>
      <c r="I218" s="187">
        <v>165.48</v>
      </c>
      <c r="J218" s="196">
        <v>301.92</v>
      </c>
      <c r="K218" s="213"/>
      <c r="L218" s="197" t="s">
        <v>276</v>
      </c>
      <c r="M218" s="194"/>
      <c r="N218" s="238" t="s">
        <v>2733</v>
      </c>
      <c r="O218" s="199" t="s">
        <v>283</v>
      </c>
      <c r="P218" s="200" t="s">
        <v>89</v>
      </c>
      <c r="Q218" s="201">
        <v>45742</v>
      </c>
      <c r="R218" s="202" t="s">
        <v>2734</v>
      </c>
      <c r="S218" s="203">
        <v>598947384</v>
      </c>
      <c r="T218" s="199" t="s">
        <v>2735</v>
      </c>
      <c r="U218" s="204" t="s">
        <v>773</v>
      </c>
      <c r="V218" s="205">
        <v>4</v>
      </c>
      <c r="W218" s="205">
        <v>0</v>
      </c>
      <c r="X218" s="205">
        <v>0</v>
      </c>
      <c r="Y218" s="205">
        <v>0</v>
      </c>
      <c r="Z218" s="206">
        <v>1085206529</v>
      </c>
      <c r="AA218" s="211"/>
      <c r="AB218" s="211"/>
      <c r="AC218" s="190"/>
      <c r="AD218" s="70"/>
    </row>
    <row r="219" spans="1:30" ht="22.35" customHeight="1">
      <c r="A219" s="310" t="s">
        <v>8</v>
      </c>
      <c r="B219" s="323" t="s">
        <v>23</v>
      </c>
      <c r="C219" s="1337">
        <v>45742</v>
      </c>
      <c r="D219" s="324">
        <v>5</v>
      </c>
      <c r="E219" s="310">
        <v>383</v>
      </c>
      <c r="F219" s="392" t="s">
        <v>1805</v>
      </c>
      <c r="G219" s="310">
        <v>90</v>
      </c>
      <c r="H219" s="310">
        <v>451.25</v>
      </c>
      <c r="I219" s="310">
        <v>364.75</v>
      </c>
      <c r="J219" s="325">
        <v>1099</v>
      </c>
      <c r="K219" s="326"/>
      <c r="L219" s="319" t="s">
        <v>276</v>
      </c>
      <c r="M219" s="320">
        <v>10</v>
      </c>
      <c r="N219" s="576" t="s">
        <v>1806</v>
      </c>
      <c r="O219" s="199" t="s">
        <v>283</v>
      </c>
      <c r="P219" s="200"/>
      <c r="Q219" s="201">
        <v>45672</v>
      </c>
      <c r="R219" s="330" t="s">
        <v>1804</v>
      </c>
      <c r="S219" s="203"/>
      <c r="T219" s="199"/>
      <c r="U219" s="204"/>
      <c r="V219" s="205"/>
      <c r="W219" s="205"/>
      <c r="X219" s="205"/>
      <c r="Y219" s="205"/>
      <c r="Z219" s="206"/>
      <c r="AA219" s="322"/>
      <c r="AB219" s="322"/>
      <c r="AC219" s="300"/>
      <c r="AD219" s="70"/>
    </row>
    <row r="220" spans="1:30" ht="22.35" customHeight="1">
      <c r="A220" s="310" t="s">
        <v>8</v>
      </c>
      <c r="B220" s="323" t="s">
        <v>88</v>
      </c>
      <c r="C220" s="1337">
        <v>45740</v>
      </c>
      <c r="D220" s="324">
        <v>2</v>
      </c>
      <c r="E220" s="310">
        <v>205</v>
      </c>
      <c r="F220" s="392">
        <v>410</v>
      </c>
      <c r="G220" s="310">
        <v>90</v>
      </c>
      <c r="H220" s="310">
        <v>73.8</v>
      </c>
      <c r="I220" s="310">
        <v>139.24</v>
      </c>
      <c r="J220" s="325">
        <v>196.96</v>
      </c>
      <c r="K220" s="326"/>
      <c r="L220" s="319" t="s">
        <v>276</v>
      </c>
      <c r="M220" s="320">
        <v>5</v>
      </c>
      <c r="N220" s="576" t="s">
        <v>2711</v>
      </c>
      <c r="O220" s="199" t="s">
        <v>283</v>
      </c>
      <c r="P220" s="200" t="s">
        <v>89</v>
      </c>
      <c r="Q220" s="201">
        <v>45739</v>
      </c>
      <c r="R220" s="327" t="s">
        <v>2712</v>
      </c>
      <c r="S220" s="203">
        <v>229575988</v>
      </c>
      <c r="T220" s="199" t="s">
        <v>2713</v>
      </c>
      <c r="U220" s="204" t="s">
        <v>2714</v>
      </c>
      <c r="V220" s="205">
        <v>2</v>
      </c>
      <c r="W220" s="205">
        <v>0</v>
      </c>
      <c r="X220" s="205">
        <v>0</v>
      </c>
      <c r="Y220" s="205">
        <v>0</v>
      </c>
      <c r="Z220" s="206">
        <v>1083798455</v>
      </c>
      <c r="AA220" s="322"/>
      <c r="AB220" s="322"/>
      <c r="AC220" s="300"/>
      <c r="AD220" s="70"/>
    </row>
    <row r="221" spans="1:30" ht="22.35" customHeight="1">
      <c r="A221" s="310" t="s">
        <v>8</v>
      </c>
      <c r="B221" s="323" t="s">
        <v>88</v>
      </c>
      <c r="C221" s="1337">
        <v>45737</v>
      </c>
      <c r="D221" s="324">
        <v>3</v>
      </c>
      <c r="E221" s="310">
        <v>345</v>
      </c>
      <c r="F221" s="392">
        <v>1035</v>
      </c>
      <c r="G221" s="310">
        <v>90</v>
      </c>
      <c r="H221" s="310">
        <v>186.3</v>
      </c>
      <c r="I221" s="310">
        <v>241.74</v>
      </c>
      <c r="J221" s="325">
        <v>606.96</v>
      </c>
      <c r="K221" s="326"/>
      <c r="L221" s="319" t="s">
        <v>276</v>
      </c>
      <c r="M221" s="320">
        <v>5</v>
      </c>
      <c r="N221" s="576" t="s">
        <v>1865</v>
      </c>
      <c r="O221" s="199" t="s">
        <v>283</v>
      </c>
      <c r="P221" s="200" t="s">
        <v>89</v>
      </c>
      <c r="Q221" s="201">
        <v>45674</v>
      </c>
      <c r="R221" s="327" t="s">
        <v>1866</v>
      </c>
      <c r="S221" s="203">
        <v>159601320</v>
      </c>
      <c r="T221" s="199" t="s">
        <v>1867</v>
      </c>
      <c r="U221" s="204" t="s">
        <v>1868</v>
      </c>
      <c r="V221" s="205">
        <v>2</v>
      </c>
      <c r="W221" s="205">
        <v>2</v>
      </c>
      <c r="X221" s="205">
        <v>0</v>
      </c>
      <c r="Y221" s="205">
        <v>0</v>
      </c>
      <c r="Z221" s="206">
        <v>1047687853</v>
      </c>
      <c r="AA221" s="322"/>
      <c r="AB221" s="322"/>
      <c r="AC221" s="300"/>
      <c r="AD221" s="70"/>
    </row>
    <row r="222" spans="1:30" ht="22.35" customHeight="1">
      <c r="A222" s="310" t="s">
        <v>10</v>
      </c>
      <c r="B222" s="323" t="s">
        <v>88</v>
      </c>
      <c r="C222" s="1337">
        <v>45736</v>
      </c>
      <c r="D222" s="324">
        <v>7</v>
      </c>
      <c r="E222" s="310">
        <v>222.7</v>
      </c>
      <c r="F222" s="392">
        <v>1558.9</v>
      </c>
      <c r="G222" s="310">
        <v>70</v>
      </c>
      <c r="H222" s="310">
        <v>280.61</v>
      </c>
      <c r="I222" s="310">
        <v>311.66000000000003</v>
      </c>
      <c r="J222" s="325">
        <v>966.63</v>
      </c>
      <c r="K222" s="326"/>
      <c r="L222" s="319" t="s">
        <v>276</v>
      </c>
      <c r="M222" s="320">
        <v>5</v>
      </c>
      <c r="N222" s="576" t="s">
        <v>1844</v>
      </c>
      <c r="O222" s="199" t="s">
        <v>283</v>
      </c>
      <c r="P222" s="200" t="s">
        <v>97</v>
      </c>
      <c r="Q222" s="201">
        <v>45673</v>
      </c>
      <c r="R222" s="327" t="s">
        <v>1845</v>
      </c>
      <c r="S222" s="203">
        <v>435603680</v>
      </c>
      <c r="T222" s="199" t="s">
        <v>1846</v>
      </c>
      <c r="U222" s="204" t="s">
        <v>1847</v>
      </c>
      <c r="V222" s="205">
        <v>4</v>
      </c>
      <c r="W222" s="205">
        <v>0</v>
      </c>
      <c r="X222" s="205">
        <v>0</v>
      </c>
      <c r="Y222" s="205">
        <v>0</v>
      </c>
      <c r="Z222" s="206">
        <v>1047329647</v>
      </c>
      <c r="AA222" s="322"/>
      <c r="AB222" s="322"/>
      <c r="AC222" s="300"/>
      <c r="AD222" s="70"/>
    </row>
    <row r="223" spans="1:30" ht="22.35" customHeight="1">
      <c r="A223" s="310" t="s">
        <v>10</v>
      </c>
      <c r="B223" s="323" t="s">
        <v>88</v>
      </c>
      <c r="C223" s="1337">
        <v>45730</v>
      </c>
      <c r="D223" s="324">
        <v>5</v>
      </c>
      <c r="E223" s="310">
        <v>217</v>
      </c>
      <c r="F223" s="392">
        <v>1085</v>
      </c>
      <c r="G223" s="310">
        <v>70</v>
      </c>
      <c r="H223" s="310">
        <v>195.3</v>
      </c>
      <c r="I223" s="310">
        <v>233.94</v>
      </c>
      <c r="J223" s="325">
        <v>655.76</v>
      </c>
      <c r="K223" s="326"/>
      <c r="L223" s="319" t="s">
        <v>276</v>
      </c>
      <c r="M223" s="320"/>
      <c r="N223" s="576" t="s">
        <v>2040</v>
      </c>
      <c r="O223" s="199" t="s">
        <v>283</v>
      </c>
      <c r="P223" s="200" t="s">
        <v>97</v>
      </c>
      <c r="Q223" s="201">
        <v>45681</v>
      </c>
      <c r="R223" s="327" t="s">
        <v>2041</v>
      </c>
      <c r="S223" s="203">
        <v>674870628</v>
      </c>
      <c r="T223" s="199" t="s">
        <v>2042</v>
      </c>
      <c r="U223" s="204" t="s">
        <v>2043</v>
      </c>
      <c r="V223" s="205">
        <v>1</v>
      </c>
      <c r="W223" s="205">
        <v>1</v>
      </c>
      <c r="X223" s="205">
        <v>0</v>
      </c>
      <c r="Y223" s="205">
        <v>0</v>
      </c>
      <c r="Z223" s="206">
        <v>1051223763</v>
      </c>
      <c r="AA223" s="322"/>
      <c r="AB223" s="322"/>
      <c r="AC223" s="300"/>
      <c r="AD223" s="70"/>
    </row>
    <row r="224" spans="1:30" ht="22.35" customHeight="1">
      <c r="A224" s="310" t="s">
        <v>8</v>
      </c>
      <c r="B224" s="323" t="s">
        <v>88</v>
      </c>
      <c r="C224" s="1337">
        <v>45730</v>
      </c>
      <c r="D224" s="324">
        <v>7</v>
      </c>
      <c r="E224" s="310">
        <v>296.36</v>
      </c>
      <c r="F224" s="392">
        <v>2074.5</v>
      </c>
      <c r="G224" s="310">
        <v>90</v>
      </c>
      <c r="H224" s="310">
        <v>373.42</v>
      </c>
      <c r="I224" s="310">
        <v>412.21</v>
      </c>
      <c r="J224" s="325">
        <v>1288.8699999999999</v>
      </c>
      <c r="K224" s="326"/>
      <c r="L224" s="319" t="s">
        <v>276</v>
      </c>
      <c r="M224" s="320">
        <v>5</v>
      </c>
      <c r="N224" s="576" t="s">
        <v>2006</v>
      </c>
      <c r="O224" s="199" t="s">
        <v>283</v>
      </c>
      <c r="P224" s="200" t="s">
        <v>89</v>
      </c>
      <c r="Q224" s="201">
        <v>45679</v>
      </c>
      <c r="R224" s="327" t="s">
        <v>2007</v>
      </c>
      <c r="S224" s="203">
        <v>674404821</v>
      </c>
      <c r="T224" s="199" t="s">
        <v>2008</v>
      </c>
      <c r="U224" s="204" t="s">
        <v>122</v>
      </c>
      <c r="V224" s="205">
        <v>2</v>
      </c>
      <c r="W224" s="205">
        <v>2</v>
      </c>
      <c r="X224" s="205">
        <v>0</v>
      </c>
      <c r="Y224" s="205">
        <v>0</v>
      </c>
      <c r="Z224" s="206">
        <v>1050513780</v>
      </c>
      <c r="AA224" s="322"/>
      <c r="AB224" s="322"/>
      <c r="AC224" s="300"/>
      <c r="AD224" s="70"/>
    </row>
    <row r="225" spans="1:30" ht="22.35" customHeight="1">
      <c r="A225" s="310" t="s">
        <v>8</v>
      </c>
      <c r="B225" s="323" t="s">
        <v>88</v>
      </c>
      <c r="C225" s="1337">
        <v>45727</v>
      </c>
      <c r="D225" s="324">
        <v>3</v>
      </c>
      <c r="E225" s="310">
        <v>230</v>
      </c>
      <c r="F225" s="392">
        <v>690</v>
      </c>
      <c r="G225" s="310">
        <v>90</v>
      </c>
      <c r="H225" s="310">
        <v>124.2</v>
      </c>
      <c r="I225" s="310">
        <v>185.16</v>
      </c>
      <c r="J225" s="325">
        <v>380.64</v>
      </c>
      <c r="K225" s="326"/>
      <c r="L225" s="319" t="s">
        <v>276</v>
      </c>
      <c r="M225" s="320">
        <v>5</v>
      </c>
      <c r="N225" s="576" t="s">
        <v>2320</v>
      </c>
      <c r="O225" s="199" t="s">
        <v>283</v>
      </c>
      <c r="P225" s="200" t="s">
        <v>89</v>
      </c>
      <c r="Q225" s="201">
        <v>45704</v>
      </c>
      <c r="R225" s="327" t="s">
        <v>2321</v>
      </c>
      <c r="S225" s="203">
        <v>3157774</v>
      </c>
      <c r="T225" s="199" t="s">
        <v>2322</v>
      </c>
      <c r="U225" s="204" t="s">
        <v>486</v>
      </c>
      <c r="V225" s="205">
        <v>2</v>
      </c>
      <c r="W225" s="205">
        <v>1</v>
      </c>
      <c r="X225" s="205">
        <v>1</v>
      </c>
      <c r="Y225" s="205">
        <v>0</v>
      </c>
      <c r="Z225" s="206">
        <v>1064188178</v>
      </c>
      <c r="AA225" s="322"/>
      <c r="AB225" s="322"/>
      <c r="AC225" s="300"/>
      <c r="AD225" s="70"/>
    </row>
    <row r="226" spans="1:30" ht="22.35" customHeight="1">
      <c r="A226" s="310" t="s">
        <v>10</v>
      </c>
      <c r="B226" s="323" t="s">
        <v>23</v>
      </c>
      <c r="C226" s="1337">
        <v>45725</v>
      </c>
      <c r="D226" s="324">
        <v>3</v>
      </c>
      <c r="E226" s="310">
        <v>208.33</v>
      </c>
      <c r="F226" s="392" t="s">
        <v>2316</v>
      </c>
      <c r="G226" s="310">
        <v>70</v>
      </c>
      <c r="H226" s="310">
        <v>147.51</v>
      </c>
      <c r="I226" s="310">
        <v>151.5</v>
      </c>
      <c r="J226" s="325">
        <v>325.99</v>
      </c>
      <c r="K226" s="326"/>
      <c r="L226" s="319" t="s">
        <v>276</v>
      </c>
      <c r="M226" s="320">
        <v>8</v>
      </c>
      <c r="N226" s="576" t="s">
        <v>2317</v>
      </c>
      <c r="O226" s="199" t="s">
        <v>283</v>
      </c>
      <c r="P226" s="200"/>
      <c r="Q226" s="201">
        <v>45704</v>
      </c>
      <c r="R226" s="330" t="s">
        <v>2315</v>
      </c>
      <c r="S226" s="203"/>
      <c r="T226" s="199"/>
      <c r="U226" s="204"/>
      <c r="V226" s="205"/>
      <c r="W226" s="205"/>
      <c r="X226" s="205"/>
      <c r="Y226" s="205"/>
      <c r="Z226" s="206"/>
      <c r="AA226" s="322"/>
      <c r="AB226" s="322"/>
      <c r="AC226" s="300"/>
      <c r="AD226" s="70"/>
    </row>
    <row r="227" spans="1:30" ht="22.35" customHeight="1">
      <c r="A227" s="310" t="s">
        <v>10</v>
      </c>
      <c r="B227" s="323" t="s">
        <v>23</v>
      </c>
      <c r="C227" s="1337">
        <v>45722</v>
      </c>
      <c r="D227" s="324">
        <v>3</v>
      </c>
      <c r="E227" s="310">
        <v>303.33</v>
      </c>
      <c r="F227" s="392" t="s">
        <v>1163</v>
      </c>
      <c r="G227" s="310">
        <v>70</v>
      </c>
      <c r="H227" s="310">
        <v>214.82</v>
      </c>
      <c r="I227" s="310">
        <v>195.04</v>
      </c>
      <c r="J227" s="325">
        <v>500.14</v>
      </c>
      <c r="K227" s="326"/>
      <c r="L227" s="337" t="s">
        <v>276</v>
      </c>
      <c r="M227" s="320"/>
      <c r="N227" s="576" t="s">
        <v>1164</v>
      </c>
      <c r="O227" s="199" t="s">
        <v>283</v>
      </c>
      <c r="P227" s="200"/>
      <c r="Q227" s="201">
        <v>45631</v>
      </c>
      <c r="R227" s="330" t="s">
        <v>1162</v>
      </c>
      <c r="S227" s="203"/>
      <c r="T227" s="199"/>
      <c r="U227" s="204"/>
      <c r="V227" s="205"/>
      <c r="W227" s="205"/>
      <c r="X227" s="205"/>
      <c r="Y227" s="205"/>
      <c r="Z227" s="206"/>
      <c r="AA227" s="322"/>
      <c r="AB227" s="322"/>
      <c r="AC227" s="300"/>
      <c r="AD227" s="70"/>
    </row>
    <row r="228" spans="1:30" ht="22.35" customHeight="1">
      <c r="A228" s="310" t="s">
        <v>8</v>
      </c>
      <c r="B228" s="323" t="s">
        <v>88</v>
      </c>
      <c r="C228" s="1337">
        <v>45720</v>
      </c>
      <c r="D228" s="324">
        <v>7</v>
      </c>
      <c r="E228" s="310">
        <v>296.36</v>
      </c>
      <c r="F228" s="392">
        <v>2074.5</v>
      </c>
      <c r="G228" s="310">
        <v>90</v>
      </c>
      <c r="H228" s="310">
        <v>373.42</v>
      </c>
      <c r="I228" s="310">
        <v>412.21</v>
      </c>
      <c r="J228" s="325">
        <v>1288.8699999999999</v>
      </c>
      <c r="K228" s="326"/>
      <c r="L228" s="319" t="s">
        <v>276</v>
      </c>
      <c r="M228" s="320">
        <v>5</v>
      </c>
      <c r="N228" s="576" t="s">
        <v>1962</v>
      </c>
      <c r="O228" s="199" t="s">
        <v>283</v>
      </c>
      <c r="P228" s="200" t="s">
        <v>89</v>
      </c>
      <c r="Q228" s="201">
        <v>45678</v>
      </c>
      <c r="R228" s="327" t="s">
        <v>1963</v>
      </c>
      <c r="S228" s="203">
        <v>92493735</v>
      </c>
      <c r="T228" s="199" t="s">
        <v>1964</v>
      </c>
      <c r="U228" s="204" t="s">
        <v>1965</v>
      </c>
      <c r="V228" s="205">
        <v>3</v>
      </c>
      <c r="W228" s="205">
        <v>0</v>
      </c>
      <c r="X228" s="205">
        <v>0</v>
      </c>
      <c r="Y228" s="205">
        <v>0</v>
      </c>
      <c r="Z228" s="206">
        <v>1049904384</v>
      </c>
      <c r="AA228" s="322"/>
      <c r="AB228" s="322"/>
      <c r="AC228" s="300"/>
      <c r="AD228" s="70"/>
    </row>
    <row r="229" spans="1:30" ht="22.35" customHeight="1">
      <c r="A229" s="310" t="s">
        <v>10</v>
      </c>
      <c r="B229" s="323" t="s">
        <v>88</v>
      </c>
      <c r="C229" s="1337">
        <v>45719</v>
      </c>
      <c r="D229" s="324">
        <v>3</v>
      </c>
      <c r="E229" s="310">
        <v>173.33</v>
      </c>
      <c r="F229" s="392">
        <v>520</v>
      </c>
      <c r="G229" s="310">
        <v>70</v>
      </c>
      <c r="H229" s="310">
        <v>93.6</v>
      </c>
      <c r="I229" s="310">
        <v>141.28</v>
      </c>
      <c r="J229" s="325">
        <v>285.12</v>
      </c>
      <c r="K229" s="326"/>
      <c r="L229" s="319" t="s">
        <v>276</v>
      </c>
      <c r="M229" s="320">
        <v>5</v>
      </c>
      <c r="N229" s="576" t="s">
        <v>2345</v>
      </c>
      <c r="O229" s="199" t="s">
        <v>283</v>
      </c>
      <c r="P229" s="200" t="s">
        <v>97</v>
      </c>
      <c r="Q229" s="201">
        <v>45704</v>
      </c>
      <c r="R229" s="327" t="s">
        <v>2346</v>
      </c>
      <c r="S229" s="203">
        <v>6209817</v>
      </c>
      <c r="T229" s="199" t="s">
        <v>2347</v>
      </c>
      <c r="U229" s="204" t="s">
        <v>2348</v>
      </c>
      <c r="V229" s="205">
        <v>2</v>
      </c>
      <c r="W229" s="205">
        <v>0</v>
      </c>
      <c r="X229" s="205">
        <v>0</v>
      </c>
      <c r="Y229" s="205">
        <v>0</v>
      </c>
      <c r="Z229" s="206">
        <v>1064398049</v>
      </c>
      <c r="AA229" s="322"/>
      <c r="AB229" s="322"/>
      <c r="AC229" s="300"/>
      <c r="AD229" s="70"/>
    </row>
    <row r="230" spans="1:30" ht="22.35" customHeight="1">
      <c r="A230" s="310" t="s">
        <v>10</v>
      </c>
      <c r="B230" s="323" t="s">
        <v>88</v>
      </c>
      <c r="C230" s="1337">
        <v>45716</v>
      </c>
      <c r="D230" s="324">
        <v>3</v>
      </c>
      <c r="E230" s="310">
        <v>203.33</v>
      </c>
      <c r="F230" s="392">
        <v>610</v>
      </c>
      <c r="G230" s="310">
        <v>70</v>
      </c>
      <c r="H230" s="310">
        <v>109.8</v>
      </c>
      <c r="I230" s="310">
        <v>156.04</v>
      </c>
      <c r="J230" s="325">
        <v>344.16</v>
      </c>
      <c r="K230" s="326"/>
      <c r="L230" s="319" t="s">
        <v>276</v>
      </c>
      <c r="M230" s="320"/>
      <c r="N230" s="576" t="s">
        <v>2249</v>
      </c>
      <c r="O230" s="199" t="s">
        <v>283</v>
      </c>
      <c r="P230" s="200" t="s">
        <v>97</v>
      </c>
      <c r="Q230" s="201">
        <v>45688</v>
      </c>
      <c r="R230" s="327" t="s">
        <v>2168</v>
      </c>
      <c r="S230" s="203">
        <v>501603961</v>
      </c>
      <c r="T230" s="199" t="s">
        <v>2250</v>
      </c>
      <c r="U230" s="204" t="s">
        <v>2251</v>
      </c>
      <c r="V230" s="205">
        <v>2</v>
      </c>
      <c r="W230" s="205">
        <v>0</v>
      </c>
      <c r="X230" s="205">
        <v>0</v>
      </c>
      <c r="Y230" s="205">
        <v>0</v>
      </c>
      <c r="Z230" s="206">
        <v>1055105379</v>
      </c>
      <c r="AA230" s="322"/>
      <c r="AB230" s="322"/>
      <c r="AC230" s="300"/>
      <c r="AD230" s="70"/>
    </row>
    <row r="231" spans="1:30" ht="22.35" customHeight="1">
      <c r="A231" s="310" t="s">
        <v>15</v>
      </c>
      <c r="B231" s="323" t="s">
        <v>88</v>
      </c>
      <c r="C231" s="1337">
        <v>45716</v>
      </c>
      <c r="D231" s="324">
        <v>32</v>
      </c>
      <c r="E231" s="310">
        <v>80.790000000000006</v>
      </c>
      <c r="F231" s="392">
        <v>2585.37</v>
      </c>
      <c r="G231" s="310">
        <v>75</v>
      </c>
      <c r="H231" s="310">
        <v>83.34</v>
      </c>
      <c r="I231" s="310">
        <v>355.36</v>
      </c>
      <c r="J231" s="325">
        <v>1876.3</v>
      </c>
      <c r="K231" s="326"/>
      <c r="L231" s="319" t="s">
        <v>276</v>
      </c>
      <c r="M231" s="320">
        <v>4</v>
      </c>
      <c r="N231" s="576" t="s">
        <v>741</v>
      </c>
      <c r="O231" s="199" t="s">
        <v>283</v>
      </c>
      <c r="P231" s="200" t="s">
        <v>114</v>
      </c>
      <c r="Q231" s="201">
        <v>45408</v>
      </c>
      <c r="R231" s="327" t="s">
        <v>742</v>
      </c>
      <c r="S231" s="203">
        <v>573044656</v>
      </c>
      <c r="T231" s="199" t="s">
        <v>743</v>
      </c>
      <c r="U231" s="204" t="s">
        <v>188</v>
      </c>
      <c r="V231" s="205">
        <v>1</v>
      </c>
      <c r="W231" s="205">
        <v>0</v>
      </c>
      <c r="X231" s="205">
        <v>0</v>
      </c>
      <c r="Y231" s="205">
        <v>0</v>
      </c>
      <c r="Z231" s="206">
        <v>917000457</v>
      </c>
      <c r="AA231" s="322"/>
      <c r="AB231" s="322"/>
      <c r="AC231" s="300"/>
      <c r="AD231" s="70" t="s">
        <v>2423</v>
      </c>
    </row>
    <row r="232" spans="1:30" ht="22.35" customHeight="1">
      <c r="A232" s="310" t="s">
        <v>8</v>
      </c>
      <c r="B232" s="323" t="s">
        <v>88</v>
      </c>
      <c r="C232" s="1337">
        <v>45710</v>
      </c>
      <c r="D232" s="324">
        <v>9</v>
      </c>
      <c r="E232" s="310">
        <v>181</v>
      </c>
      <c r="F232" s="392">
        <v>1629</v>
      </c>
      <c r="G232" s="310">
        <v>90</v>
      </c>
      <c r="H232" s="310">
        <v>293.22000000000003</v>
      </c>
      <c r="I232" s="310">
        <v>339.16</v>
      </c>
      <c r="J232" s="325">
        <v>996.62</v>
      </c>
      <c r="K232" s="326"/>
      <c r="L232" s="319" t="s">
        <v>276</v>
      </c>
      <c r="M232" s="320">
        <v>5</v>
      </c>
      <c r="N232" s="576" t="s">
        <v>2295</v>
      </c>
      <c r="O232" s="199" t="s">
        <v>283</v>
      </c>
      <c r="P232" s="200" t="s">
        <v>89</v>
      </c>
      <c r="Q232" s="201">
        <v>45702</v>
      </c>
      <c r="R232" s="327" t="s">
        <v>2296</v>
      </c>
      <c r="S232" s="203">
        <v>227761997</v>
      </c>
      <c r="T232" s="199" t="s">
        <v>2297</v>
      </c>
      <c r="U232" s="204" t="s">
        <v>2298</v>
      </c>
      <c r="V232" s="205">
        <v>4</v>
      </c>
      <c r="W232" s="205">
        <v>0</v>
      </c>
      <c r="X232" s="205">
        <v>0</v>
      </c>
      <c r="Y232" s="205">
        <v>0</v>
      </c>
      <c r="Z232" s="206">
        <v>1063301557</v>
      </c>
      <c r="AA232" s="322"/>
      <c r="AB232" s="322"/>
      <c r="AC232" s="300"/>
      <c r="AD232" s="70"/>
    </row>
    <row r="233" spans="1:30" ht="22.35" customHeight="1">
      <c r="A233" s="310" t="s">
        <v>10</v>
      </c>
      <c r="B233" s="323" t="s">
        <v>23</v>
      </c>
      <c r="C233" s="1337">
        <v>45708</v>
      </c>
      <c r="D233" s="324">
        <v>8</v>
      </c>
      <c r="E233" s="310">
        <v>225</v>
      </c>
      <c r="F233" s="392" t="s">
        <v>1362</v>
      </c>
      <c r="G233" s="310">
        <v>70</v>
      </c>
      <c r="H233" s="310">
        <v>329.02</v>
      </c>
      <c r="I233" s="310">
        <v>350.2</v>
      </c>
      <c r="J233" s="325">
        <v>1120.78</v>
      </c>
      <c r="K233" s="326"/>
      <c r="L233" s="319" t="s">
        <v>276</v>
      </c>
      <c r="M233" s="320">
        <v>9</v>
      </c>
      <c r="N233" s="576" t="s">
        <v>755</v>
      </c>
      <c r="O233" s="199" t="s">
        <v>283</v>
      </c>
      <c r="P233" s="200"/>
      <c r="Q233" s="201">
        <v>45418</v>
      </c>
      <c r="R233" s="330" t="s">
        <v>1361</v>
      </c>
      <c r="S233" s="203"/>
      <c r="T233" s="199"/>
      <c r="U233" s="204"/>
      <c r="V233" s="205"/>
      <c r="W233" s="205"/>
      <c r="X233" s="205"/>
      <c r="Y233" s="205"/>
      <c r="Z233" s="206"/>
      <c r="AA233" s="322"/>
      <c r="AB233" s="322"/>
      <c r="AC233" s="300"/>
      <c r="AD233" s="70"/>
    </row>
    <row r="234" spans="1:30" ht="22.35" customHeight="1">
      <c r="A234" s="310" t="s">
        <v>8</v>
      </c>
      <c r="B234" s="323" t="s">
        <v>23</v>
      </c>
      <c r="C234" s="1337">
        <v>45707</v>
      </c>
      <c r="D234" s="324">
        <v>3</v>
      </c>
      <c r="E234" s="310">
        <v>265</v>
      </c>
      <c r="F234" s="392" t="s">
        <v>1618</v>
      </c>
      <c r="G234" s="310">
        <v>90</v>
      </c>
      <c r="H234" s="310">
        <v>187.63</v>
      </c>
      <c r="I234" s="310">
        <v>193.47</v>
      </c>
      <c r="J234" s="325">
        <v>413.9</v>
      </c>
      <c r="K234" s="326"/>
      <c r="L234" s="319" t="s">
        <v>276</v>
      </c>
      <c r="M234" s="320">
        <v>9</v>
      </c>
      <c r="N234" s="576" t="s">
        <v>1619</v>
      </c>
      <c r="O234" s="199" t="s">
        <v>283</v>
      </c>
      <c r="P234" s="200"/>
      <c r="Q234" s="201">
        <v>45665</v>
      </c>
      <c r="R234" s="330" t="s">
        <v>1617</v>
      </c>
      <c r="S234" s="203"/>
      <c r="T234" s="199"/>
      <c r="U234" s="204"/>
      <c r="V234" s="205"/>
      <c r="W234" s="205"/>
      <c r="X234" s="205"/>
      <c r="Y234" s="205"/>
      <c r="Z234" s="206"/>
      <c r="AA234" s="322"/>
      <c r="AB234" s="322"/>
      <c r="AC234" s="300"/>
      <c r="AD234" s="70"/>
    </row>
    <row r="235" spans="1:30" ht="22.35" customHeight="1">
      <c r="A235" s="310" t="s">
        <v>8</v>
      </c>
      <c r="B235" s="323" t="s">
        <v>88</v>
      </c>
      <c r="C235" s="1337">
        <v>45704</v>
      </c>
      <c r="D235" s="324">
        <v>3</v>
      </c>
      <c r="E235" s="310">
        <v>265</v>
      </c>
      <c r="F235" s="392">
        <v>795</v>
      </c>
      <c r="G235" s="310">
        <v>90</v>
      </c>
      <c r="H235" s="310">
        <v>143.1</v>
      </c>
      <c r="I235" s="310">
        <v>202.38</v>
      </c>
      <c r="J235" s="325">
        <v>449.52</v>
      </c>
      <c r="K235" s="326"/>
      <c r="L235" s="319" t="s">
        <v>276</v>
      </c>
      <c r="M235" s="320"/>
      <c r="N235" s="576" t="s">
        <v>1695</v>
      </c>
      <c r="O235" s="199" t="s">
        <v>283</v>
      </c>
      <c r="P235" s="200" t="s">
        <v>89</v>
      </c>
      <c r="Q235" s="201">
        <v>45671</v>
      </c>
      <c r="R235" s="327" t="s">
        <v>1696</v>
      </c>
      <c r="S235" s="203">
        <v>98158512</v>
      </c>
      <c r="T235" s="199" t="s">
        <v>1697</v>
      </c>
      <c r="U235" s="204" t="s">
        <v>1698</v>
      </c>
      <c r="V235" s="205">
        <v>3</v>
      </c>
      <c r="W235" s="205">
        <v>0</v>
      </c>
      <c r="X235" s="205">
        <v>0</v>
      </c>
      <c r="Y235" s="205">
        <v>0</v>
      </c>
      <c r="Z235" s="206">
        <v>1045847390</v>
      </c>
      <c r="AA235" s="322"/>
      <c r="AB235" s="322"/>
      <c r="AC235" s="300"/>
      <c r="AD235" s="70"/>
    </row>
    <row r="236" spans="1:30" ht="22.35" customHeight="1">
      <c r="A236" s="310" t="s">
        <v>10</v>
      </c>
      <c r="B236" s="323" t="s">
        <v>88</v>
      </c>
      <c r="C236" s="1337">
        <v>45704</v>
      </c>
      <c r="D236" s="324">
        <v>4</v>
      </c>
      <c r="E236" s="334">
        <v>263.83</v>
      </c>
      <c r="F236" s="392">
        <v>1055.33</v>
      </c>
      <c r="G236" s="334">
        <v>70</v>
      </c>
      <c r="H236" s="334">
        <v>32.11</v>
      </c>
      <c r="I236" s="334">
        <v>227.98</v>
      </c>
      <c r="J236" s="335">
        <v>631.91</v>
      </c>
      <c r="K236" s="335"/>
      <c r="L236" s="340" t="s">
        <v>276</v>
      </c>
      <c r="M236" s="320">
        <v>5</v>
      </c>
      <c r="N236" s="576" t="s">
        <v>791</v>
      </c>
      <c r="O236" s="199" t="s">
        <v>283</v>
      </c>
      <c r="P236" s="200" t="s">
        <v>97</v>
      </c>
      <c r="Q236" s="201">
        <v>45456</v>
      </c>
      <c r="R236" s="327" t="s">
        <v>792</v>
      </c>
      <c r="S236" s="203">
        <v>214311354</v>
      </c>
      <c r="T236" s="210" t="s">
        <v>793</v>
      </c>
      <c r="U236" s="204" t="s">
        <v>794</v>
      </c>
      <c r="V236" s="205">
        <v>2</v>
      </c>
      <c r="W236" s="205">
        <v>2</v>
      </c>
      <c r="X236" s="205">
        <v>0</v>
      </c>
      <c r="Y236" s="205">
        <v>0</v>
      </c>
      <c r="Z236" s="206">
        <v>942072654</v>
      </c>
      <c r="AA236" s="322">
        <v>199</v>
      </c>
      <c r="AB236" s="333" t="s">
        <v>946</v>
      </c>
      <c r="AC236" s="300" t="s">
        <v>940</v>
      </c>
      <c r="AD236" s="70"/>
    </row>
    <row r="237" spans="1:30" ht="22.35" customHeight="1">
      <c r="A237" s="187" t="s">
        <v>10</v>
      </c>
      <c r="B237" s="195" t="s">
        <v>88</v>
      </c>
      <c r="C237" s="1341">
        <v>45701</v>
      </c>
      <c r="D237" s="194">
        <v>3</v>
      </c>
      <c r="E237" s="187">
        <v>168.33</v>
      </c>
      <c r="F237" s="246">
        <v>505</v>
      </c>
      <c r="G237" s="187">
        <v>70</v>
      </c>
      <c r="H237" s="187">
        <v>90.9</v>
      </c>
      <c r="I237" s="187">
        <v>138.82</v>
      </c>
      <c r="J237" s="196">
        <v>275.27999999999997</v>
      </c>
      <c r="K237" s="213"/>
      <c r="L237" s="197" t="s">
        <v>276</v>
      </c>
      <c r="M237" s="194">
        <v>5</v>
      </c>
      <c r="N237" s="238" t="s">
        <v>2098</v>
      </c>
      <c r="O237" s="199" t="s">
        <v>283</v>
      </c>
      <c r="P237" s="200" t="s">
        <v>97</v>
      </c>
      <c r="Q237" s="201">
        <v>45681</v>
      </c>
      <c r="R237" s="202" t="s">
        <v>2099</v>
      </c>
      <c r="S237" s="203">
        <v>261891634</v>
      </c>
      <c r="T237" s="199" t="s">
        <v>2100</v>
      </c>
      <c r="U237" s="204" t="s">
        <v>740</v>
      </c>
      <c r="V237" s="205">
        <v>2</v>
      </c>
      <c r="W237" s="205">
        <v>0</v>
      </c>
      <c r="X237" s="205">
        <v>0</v>
      </c>
      <c r="Y237" s="205">
        <v>0</v>
      </c>
      <c r="Z237" s="206">
        <v>1051573406</v>
      </c>
      <c r="AA237" s="211"/>
      <c r="AB237" s="211"/>
      <c r="AC237" s="190"/>
      <c r="AD237" s="70"/>
    </row>
    <row r="238" spans="1:30" ht="22.35" customHeight="1">
      <c r="A238" s="310" t="s">
        <v>10</v>
      </c>
      <c r="B238" s="323" t="s">
        <v>88</v>
      </c>
      <c r="C238" s="1337">
        <v>45696</v>
      </c>
      <c r="D238" s="324">
        <v>5</v>
      </c>
      <c r="E238" s="310">
        <v>203</v>
      </c>
      <c r="F238" s="392">
        <v>1015</v>
      </c>
      <c r="G238" s="310">
        <v>70</v>
      </c>
      <c r="H238" s="310">
        <v>182.7</v>
      </c>
      <c r="I238" s="310">
        <v>222.46</v>
      </c>
      <c r="J238" s="325">
        <v>609.84</v>
      </c>
      <c r="K238" s="326"/>
      <c r="L238" s="319" t="s">
        <v>276</v>
      </c>
      <c r="M238" s="320">
        <v>5</v>
      </c>
      <c r="N238" s="576" t="s">
        <v>1393</v>
      </c>
      <c r="O238" s="199" t="s">
        <v>283</v>
      </c>
      <c r="P238" s="200" t="s">
        <v>97</v>
      </c>
      <c r="Q238" s="201">
        <v>45653</v>
      </c>
      <c r="R238" s="327" t="s">
        <v>1392</v>
      </c>
      <c r="S238" s="203">
        <v>415401586</v>
      </c>
      <c r="T238" s="199" t="s">
        <v>1394</v>
      </c>
      <c r="U238" s="204" t="s">
        <v>1065</v>
      </c>
      <c r="V238" s="205">
        <v>2</v>
      </c>
      <c r="W238" s="205">
        <v>0</v>
      </c>
      <c r="X238" s="205">
        <v>0</v>
      </c>
      <c r="Y238" s="205">
        <v>0</v>
      </c>
      <c r="Z238" s="206">
        <v>1036607464</v>
      </c>
      <c r="AA238" s="322"/>
      <c r="AB238" s="322"/>
      <c r="AC238" s="300"/>
      <c r="AD238" s="78"/>
    </row>
    <row r="239" spans="1:30" ht="22.35" customHeight="1">
      <c r="A239" s="310" t="s">
        <v>8</v>
      </c>
      <c r="B239" s="323" t="s">
        <v>88</v>
      </c>
      <c r="C239" s="1337">
        <v>45694</v>
      </c>
      <c r="D239" s="324">
        <v>10</v>
      </c>
      <c r="E239" s="310">
        <v>301.19</v>
      </c>
      <c r="F239" s="392">
        <v>3011.86</v>
      </c>
      <c r="G239" s="310">
        <v>90</v>
      </c>
      <c r="H239" s="310">
        <v>93.16</v>
      </c>
      <c r="I239" s="310">
        <v>570.86</v>
      </c>
      <c r="J239" s="325">
        <v>1923.48</v>
      </c>
      <c r="K239" s="326"/>
      <c r="L239" s="319" t="s">
        <v>276</v>
      </c>
      <c r="M239" s="320">
        <v>5</v>
      </c>
      <c r="N239" s="576" t="s">
        <v>1059</v>
      </c>
      <c r="O239" s="199" t="s">
        <v>283</v>
      </c>
      <c r="P239" s="200" t="s">
        <v>89</v>
      </c>
      <c r="Q239" s="201">
        <v>45583</v>
      </c>
      <c r="R239" s="327" t="s">
        <v>1060</v>
      </c>
      <c r="S239" s="203">
        <v>582935506</v>
      </c>
      <c r="T239" s="199" t="s">
        <v>1061</v>
      </c>
      <c r="U239" s="204" t="s">
        <v>773</v>
      </c>
      <c r="V239" s="205">
        <v>3</v>
      </c>
      <c r="W239" s="205">
        <v>0</v>
      </c>
      <c r="X239" s="205">
        <v>0</v>
      </c>
      <c r="Y239" s="205">
        <v>0</v>
      </c>
      <c r="Z239" s="206">
        <v>1007228818</v>
      </c>
      <c r="AA239" s="322"/>
      <c r="AB239" s="322"/>
      <c r="AC239" s="300"/>
      <c r="AD239" s="78"/>
    </row>
    <row r="240" spans="1:30" ht="22.35" customHeight="1">
      <c r="A240" s="310" t="s">
        <v>10</v>
      </c>
      <c r="B240" s="323" t="s">
        <v>88</v>
      </c>
      <c r="C240" s="1337">
        <v>45693</v>
      </c>
      <c r="D240" s="324">
        <v>3</v>
      </c>
      <c r="E240" s="310">
        <v>143.33000000000001</v>
      </c>
      <c r="F240" s="392">
        <v>430</v>
      </c>
      <c r="G240" s="310">
        <v>70</v>
      </c>
      <c r="H240" s="310">
        <v>77.400000000000006</v>
      </c>
      <c r="I240" s="310">
        <v>126.52</v>
      </c>
      <c r="J240" s="325">
        <v>226.08</v>
      </c>
      <c r="K240" s="326"/>
      <c r="L240" s="319" t="s">
        <v>276</v>
      </c>
      <c r="M240" s="320">
        <v>5</v>
      </c>
      <c r="N240" s="576" t="s">
        <v>2252</v>
      </c>
      <c r="O240" s="199" t="s">
        <v>283</v>
      </c>
      <c r="P240" s="200" t="s">
        <v>97</v>
      </c>
      <c r="Q240" s="201">
        <v>45689</v>
      </c>
      <c r="R240" s="327" t="s">
        <v>2169</v>
      </c>
      <c r="S240" s="203">
        <v>100076244</v>
      </c>
      <c r="T240" s="199" t="s">
        <v>2253</v>
      </c>
      <c r="U240" s="204" t="s">
        <v>2254</v>
      </c>
      <c r="V240" s="205">
        <v>2</v>
      </c>
      <c r="W240" s="205">
        <v>0</v>
      </c>
      <c r="X240" s="205">
        <v>0</v>
      </c>
      <c r="Y240" s="205">
        <v>0</v>
      </c>
      <c r="Z240" s="206">
        <v>1055475007</v>
      </c>
      <c r="AA240" s="322"/>
      <c r="AB240" s="322"/>
      <c r="AC240" s="300"/>
      <c r="AD240" s="78"/>
    </row>
    <row r="241" spans="1:30" ht="22.35" customHeight="1">
      <c r="A241" s="310" t="s">
        <v>8</v>
      </c>
      <c r="B241" s="323" t="s">
        <v>88</v>
      </c>
      <c r="C241" s="1337">
        <v>45690</v>
      </c>
      <c r="D241" s="324">
        <v>3</v>
      </c>
      <c r="E241" s="310">
        <v>230</v>
      </c>
      <c r="F241" s="392">
        <v>690</v>
      </c>
      <c r="G241" s="310">
        <v>90</v>
      </c>
      <c r="H241" s="310">
        <v>124.2</v>
      </c>
      <c r="I241" s="310">
        <v>185.16</v>
      </c>
      <c r="J241" s="325">
        <v>380.64</v>
      </c>
      <c r="K241" s="326"/>
      <c r="L241" s="319" t="s">
        <v>276</v>
      </c>
      <c r="M241" s="320">
        <v>5</v>
      </c>
      <c r="N241" s="576" t="s">
        <v>1915</v>
      </c>
      <c r="O241" s="199" t="s">
        <v>283</v>
      </c>
      <c r="P241" s="200" t="s">
        <v>89</v>
      </c>
      <c r="Q241" s="201">
        <v>45676</v>
      </c>
      <c r="R241" s="327" t="s">
        <v>1916</v>
      </c>
      <c r="S241" s="203">
        <v>436277942</v>
      </c>
      <c r="T241" s="199" t="s">
        <v>1917</v>
      </c>
      <c r="U241" s="204" t="s">
        <v>1918</v>
      </c>
      <c r="V241" s="205">
        <v>4</v>
      </c>
      <c r="W241" s="205">
        <v>0</v>
      </c>
      <c r="X241" s="205">
        <v>0</v>
      </c>
      <c r="Y241" s="205">
        <v>0</v>
      </c>
      <c r="Z241" s="206">
        <v>1048938064</v>
      </c>
      <c r="AA241" s="322"/>
      <c r="AB241" s="322"/>
      <c r="AC241" s="300"/>
      <c r="AD241" s="78"/>
    </row>
    <row r="242" spans="1:30" ht="22.35" customHeight="1">
      <c r="A242" s="310" t="s">
        <v>10</v>
      </c>
      <c r="B242" s="323" t="s">
        <v>88</v>
      </c>
      <c r="C242" s="1337">
        <v>45686</v>
      </c>
      <c r="D242" s="324">
        <v>6</v>
      </c>
      <c r="E242" s="334">
        <v>223.51</v>
      </c>
      <c r="F242" s="392">
        <v>1341.04</v>
      </c>
      <c r="G242" s="334">
        <v>70</v>
      </c>
      <c r="H242" s="334">
        <v>41.89</v>
      </c>
      <c r="I242" s="334">
        <v>280.43</v>
      </c>
      <c r="J242" s="335">
        <v>841.29</v>
      </c>
      <c r="K242" s="335"/>
      <c r="L242" s="340" t="s">
        <v>276</v>
      </c>
      <c r="M242" s="320">
        <v>5</v>
      </c>
      <c r="N242" s="576" t="s">
        <v>984</v>
      </c>
      <c r="O242" s="199" t="s">
        <v>283</v>
      </c>
      <c r="P242" s="200" t="s">
        <v>97</v>
      </c>
      <c r="Q242" s="201">
        <v>45549</v>
      </c>
      <c r="R242" s="327" t="s">
        <v>985</v>
      </c>
      <c r="S242" s="203">
        <v>130247805</v>
      </c>
      <c r="T242" s="199" t="s">
        <v>986</v>
      </c>
      <c r="U242" s="204" t="s">
        <v>145</v>
      </c>
      <c r="V242" s="205">
        <v>2</v>
      </c>
      <c r="W242" s="205">
        <v>0</v>
      </c>
      <c r="X242" s="205">
        <v>0</v>
      </c>
      <c r="Y242" s="205">
        <v>0</v>
      </c>
      <c r="Z242" s="206">
        <v>991172051</v>
      </c>
      <c r="AA242" s="322">
        <v>137</v>
      </c>
      <c r="AB242" s="333" t="s">
        <v>945</v>
      </c>
      <c r="AC242" s="300" t="s">
        <v>942</v>
      </c>
      <c r="AD242" s="78"/>
    </row>
    <row r="243" spans="1:30" ht="22.35" customHeight="1">
      <c r="A243" s="310" t="s">
        <v>8</v>
      </c>
      <c r="B243" s="323" t="s">
        <v>23</v>
      </c>
      <c r="C243" s="1337">
        <v>45686</v>
      </c>
      <c r="D243" s="324">
        <v>4</v>
      </c>
      <c r="E243" s="310">
        <v>237.5</v>
      </c>
      <c r="F243" s="392" t="s">
        <v>1425</v>
      </c>
      <c r="G243" s="310">
        <v>90</v>
      </c>
      <c r="H243" s="310">
        <v>224.26</v>
      </c>
      <c r="I243" s="310">
        <v>217.15</v>
      </c>
      <c r="J243" s="325">
        <v>508.59</v>
      </c>
      <c r="K243" s="326"/>
      <c r="L243" s="319" t="s">
        <v>276</v>
      </c>
      <c r="M243" s="320">
        <v>8</v>
      </c>
      <c r="N243" s="576" t="s">
        <v>1426</v>
      </c>
      <c r="O243" s="199" t="s">
        <v>283</v>
      </c>
      <c r="P243" s="200"/>
      <c r="Q243" s="201">
        <v>45655</v>
      </c>
      <c r="R243" s="330" t="s">
        <v>1424</v>
      </c>
      <c r="S243" s="203"/>
      <c r="T243" s="199"/>
      <c r="U243" s="204"/>
      <c r="V243" s="205"/>
      <c r="W243" s="205"/>
      <c r="X243" s="205"/>
      <c r="Y243" s="205"/>
      <c r="Z243" s="206"/>
      <c r="AA243" s="322"/>
      <c r="AB243" s="322"/>
      <c r="AC243" s="300"/>
      <c r="AD243" s="70"/>
    </row>
    <row r="244" spans="1:30" ht="22.35" customHeight="1">
      <c r="A244" s="310" t="s">
        <v>8</v>
      </c>
      <c r="B244" s="323" t="s">
        <v>88</v>
      </c>
      <c r="C244" s="1337">
        <v>45681</v>
      </c>
      <c r="D244" s="324">
        <v>5</v>
      </c>
      <c r="E244" s="310">
        <v>253</v>
      </c>
      <c r="F244" s="392">
        <v>1265</v>
      </c>
      <c r="G244" s="310">
        <v>90</v>
      </c>
      <c r="H244" s="310">
        <v>227.7</v>
      </c>
      <c r="I244" s="310">
        <v>279.45999999999998</v>
      </c>
      <c r="J244" s="325">
        <v>757.84</v>
      </c>
      <c r="K244" s="326"/>
      <c r="L244" s="319" t="s">
        <v>276</v>
      </c>
      <c r="M244" s="320">
        <v>2</v>
      </c>
      <c r="N244" s="576" t="s">
        <v>1226</v>
      </c>
      <c r="O244" s="199" t="s">
        <v>283</v>
      </c>
      <c r="P244" s="200" t="s">
        <v>89</v>
      </c>
      <c r="Q244" s="201">
        <v>45645</v>
      </c>
      <c r="R244" s="327" t="s">
        <v>1227</v>
      </c>
      <c r="S244" s="203">
        <v>665174632</v>
      </c>
      <c r="T244" s="199" t="s">
        <v>1228</v>
      </c>
      <c r="U244" s="204" t="s">
        <v>543</v>
      </c>
      <c r="V244" s="205">
        <v>4</v>
      </c>
      <c r="W244" s="205">
        <v>0</v>
      </c>
      <c r="X244" s="205">
        <v>1</v>
      </c>
      <c r="Y244" s="205">
        <v>0</v>
      </c>
      <c r="Z244" s="206">
        <v>1033729796</v>
      </c>
      <c r="AA244" s="322"/>
      <c r="AB244" s="322"/>
      <c r="AC244" s="300"/>
      <c r="AD244" s="78"/>
    </row>
    <row r="245" spans="1:30" ht="22.35" customHeight="1">
      <c r="A245" s="310" t="s">
        <v>10</v>
      </c>
      <c r="B245" s="323" t="s">
        <v>88</v>
      </c>
      <c r="C245" s="1337">
        <v>45678</v>
      </c>
      <c r="D245" s="324">
        <v>7</v>
      </c>
      <c r="E245" s="310">
        <v>208</v>
      </c>
      <c r="F245" s="392">
        <v>1456</v>
      </c>
      <c r="G245" s="310">
        <v>70</v>
      </c>
      <c r="H245" s="310">
        <v>262.08</v>
      </c>
      <c r="I245" s="310">
        <v>294.77999999999997</v>
      </c>
      <c r="J245" s="325">
        <v>899.14</v>
      </c>
      <c r="K245" s="326"/>
      <c r="L245" s="337" t="s">
        <v>276</v>
      </c>
      <c r="M245" s="320">
        <v>5</v>
      </c>
      <c r="N245" s="576" t="s">
        <v>1166</v>
      </c>
      <c r="O245" s="199" t="s">
        <v>283</v>
      </c>
      <c r="P245" s="200" t="s">
        <v>97</v>
      </c>
      <c r="Q245" s="201">
        <v>45637</v>
      </c>
      <c r="R245" s="327" t="s">
        <v>1167</v>
      </c>
      <c r="S245" s="203">
        <v>208303666</v>
      </c>
      <c r="T245" s="199" t="s">
        <v>1168</v>
      </c>
      <c r="U245" s="204" t="s">
        <v>1169</v>
      </c>
      <c r="V245" s="205">
        <v>1</v>
      </c>
      <c r="W245" s="205">
        <v>0</v>
      </c>
      <c r="X245" s="205">
        <v>0</v>
      </c>
      <c r="Y245" s="205">
        <v>0</v>
      </c>
      <c r="Z245" s="206">
        <v>1030868517</v>
      </c>
      <c r="AA245" s="322"/>
      <c r="AB245" s="322"/>
      <c r="AC245" s="300"/>
      <c r="AD245" s="78"/>
    </row>
    <row r="246" spans="1:30" ht="22.35" customHeight="1">
      <c r="A246" s="310" t="s">
        <v>10</v>
      </c>
      <c r="B246" s="323" t="s">
        <v>88</v>
      </c>
      <c r="C246" s="1337">
        <v>45673</v>
      </c>
      <c r="D246" s="324">
        <v>3</v>
      </c>
      <c r="E246" s="310">
        <v>178.33</v>
      </c>
      <c r="F246" s="392">
        <v>535</v>
      </c>
      <c r="G246" s="310">
        <v>70</v>
      </c>
      <c r="H246" s="310">
        <v>96.3</v>
      </c>
      <c r="I246" s="310">
        <v>143.74</v>
      </c>
      <c r="J246" s="325">
        <v>294.95999999999998</v>
      </c>
      <c r="K246" s="326"/>
      <c r="L246" s="319" t="s">
        <v>276</v>
      </c>
      <c r="M246" s="320">
        <v>5</v>
      </c>
      <c r="N246" s="576" t="s">
        <v>1297</v>
      </c>
      <c r="O246" s="199" t="s">
        <v>283</v>
      </c>
      <c r="P246" s="200" t="s">
        <v>97</v>
      </c>
      <c r="Q246" s="201">
        <v>45649</v>
      </c>
      <c r="R246" s="327" t="s">
        <v>1298</v>
      </c>
      <c r="S246" s="203">
        <v>270361455</v>
      </c>
      <c r="T246" s="199" t="s">
        <v>1299</v>
      </c>
      <c r="U246" s="204" t="s">
        <v>1300</v>
      </c>
      <c r="V246" s="205">
        <v>2</v>
      </c>
      <c r="W246" s="205">
        <v>1</v>
      </c>
      <c r="X246" s="205">
        <v>0</v>
      </c>
      <c r="Y246" s="205">
        <v>0</v>
      </c>
      <c r="Z246" s="206">
        <v>1034993456</v>
      </c>
      <c r="AA246" s="322"/>
      <c r="AB246" s="322"/>
      <c r="AC246" s="300"/>
      <c r="AD246" s="78"/>
    </row>
    <row r="247" spans="1:30" ht="22.35" customHeight="1">
      <c r="A247" s="310" t="s">
        <v>8</v>
      </c>
      <c r="B247" s="323" t="s">
        <v>88</v>
      </c>
      <c r="C247" s="1337">
        <v>45673</v>
      </c>
      <c r="D247" s="324">
        <v>7</v>
      </c>
      <c r="E247" s="310">
        <v>268.70999999999998</v>
      </c>
      <c r="F247" s="392">
        <v>1881</v>
      </c>
      <c r="G247" s="310">
        <v>90</v>
      </c>
      <c r="H247" s="310">
        <v>338.58</v>
      </c>
      <c r="I247" s="310">
        <v>380.48</v>
      </c>
      <c r="J247" s="325">
        <v>1161.94</v>
      </c>
      <c r="K247" s="326"/>
      <c r="L247" s="319" t="s">
        <v>276</v>
      </c>
      <c r="M247" s="320">
        <v>5</v>
      </c>
      <c r="N247" s="576" t="s">
        <v>1182</v>
      </c>
      <c r="O247" s="199" t="s">
        <v>283</v>
      </c>
      <c r="P247" s="200" t="s">
        <v>89</v>
      </c>
      <c r="Q247" s="201">
        <v>45642</v>
      </c>
      <c r="R247" s="327" t="s">
        <v>1183</v>
      </c>
      <c r="S247" s="203">
        <v>112338608</v>
      </c>
      <c r="T247" s="199" t="s">
        <v>1184</v>
      </c>
      <c r="U247" s="204" t="s">
        <v>1185</v>
      </c>
      <c r="V247" s="205">
        <v>4</v>
      </c>
      <c r="W247" s="205">
        <v>0</v>
      </c>
      <c r="X247" s="205">
        <v>0</v>
      </c>
      <c r="Y247" s="205">
        <v>0</v>
      </c>
      <c r="Z247" s="206">
        <v>1032575146</v>
      </c>
      <c r="AA247" s="322"/>
      <c r="AB247" s="322"/>
      <c r="AC247" s="300"/>
      <c r="AD247" s="78"/>
    </row>
    <row r="248" spans="1:30" ht="22.35" customHeight="1">
      <c r="A248" s="310" t="s">
        <v>8</v>
      </c>
      <c r="B248" s="323" t="s">
        <v>23</v>
      </c>
      <c r="C248" s="1337">
        <v>45668</v>
      </c>
      <c r="D248" s="324">
        <v>4</v>
      </c>
      <c r="E248" s="310">
        <v>197.5</v>
      </c>
      <c r="F248" s="392" t="s">
        <v>1501</v>
      </c>
      <c r="G248" s="310">
        <v>90</v>
      </c>
      <c r="H248" s="310">
        <v>186.45</v>
      </c>
      <c r="I248" s="310">
        <v>192.71</v>
      </c>
      <c r="J248" s="325">
        <v>410.84</v>
      </c>
      <c r="K248" s="326"/>
      <c r="L248" s="319" t="s">
        <v>276</v>
      </c>
      <c r="M248" s="320">
        <v>10</v>
      </c>
      <c r="N248" s="576" t="s">
        <v>1502</v>
      </c>
      <c r="O248" s="199" t="s">
        <v>283</v>
      </c>
      <c r="P248" s="200"/>
      <c r="Q248" s="201">
        <v>45659</v>
      </c>
      <c r="R248" s="330" t="s">
        <v>1500</v>
      </c>
      <c r="S248" s="203"/>
      <c r="T248" s="199"/>
      <c r="U248" s="204"/>
      <c r="V248" s="205"/>
      <c r="W248" s="205"/>
      <c r="X248" s="205"/>
      <c r="Y248" s="205"/>
      <c r="Z248" s="206"/>
      <c r="AA248" s="322"/>
      <c r="AB248" s="322"/>
      <c r="AC248" s="300"/>
      <c r="AD248" s="70"/>
    </row>
    <row r="249" spans="1:30" ht="22.35" customHeight="1">
      <c r="A249" s="310" t="s">
        <v>10</v>
      </c>
      <c r="B249" s="323" t="s">
        <v>88</v>
      </c>
      <c r="C249" s="1337">
        <v>45666</v>
      </c>
      <c r="D249" s="324">
        <v>6</v>
      </c>
      <c r="E249" s="334">
        <v>236.54</v>
      </c>
      <c r="F249" s="392">
        <v>1419.23</v>
      </c>
      <c r="G249" s="334">
        <v>70</v>
      </c>
      <c r="H249" s="334">
        <v>43.35</v>
      </c>
      <c r="I249" s="334">
        <v>288.3</v>
      </c>
      <c r="J249" s="335">
        <v>872.52</v>
      </c>
      <c r="K249" s="335"/>
      <c r="L249" s="340" t="s">
        <v>276</v>
      </c>
      <c r="M249" s="320">
        <v>5</v>
      </c>
      <c r="N249" s="576" t="s">
        <v>894</v>
      </c>
      <c r="O249" s="199" t="s">
        <v>283</v>
      </c>
      <c r="P249" s="200" t="s">
        <v>97</v>
      </c>
      <c r="Q249" s="201">
        <v>45522</v>
      </c>
      <c r="R249" s="327" t="s">
        <v>895</v>
      </c>
      <c r="S249" s="203">
        <v>15964327</v>
      </c>
      <c r="T249" s="210" t="s">
        <v>896</v>
      </c>
      <c r="U249" s="204" t="s">
        <v>897</v>
      </c>
      <c r="V249" s="205">
        <v>2</v>
      </c>
      <c r="W249" s="205">
        <v>0</v>
      </c>
      <c r="X249" s="205">
        <v>0</v>
      </c>
      <c r="Y249" s="205">
        <v>0</v>
      </c>
      <c r="Z249" s="206">
        <v>977715424</v>
      </c>
      <c r="AA249" s="322">
        <v>144</v>
      </c>
      <c r="AB249" s="333" t="s">
        <v>945</v>
      </c>
      <c r="AC249" s="300" t="s">
        <v>942</v>
      </c>
      <c r="AD249" s="78"/>
    </row>
    <row r="250" spans="1:30" ht="22.35" customHeight="1">
      <c r="A250" s="187" t="s">
        <v>10</v>
      </c>
      <c r="B250" s="195" t="s">
        <v>88</v>
      </c>
      <c r="C250" s="1341">
        <v>45662</v>
      </c>
      <c r="D250" s="194">
        <v>4</v>
      </c>
      <c r="E250" s="187">
        <v>137.5</v>
      </c>
      <c r="F250" s="246">
        <v>550</v>
      </c>
      <c r="G250" s="187">
        <v>70</v>
      </c>
      <c r="H250" s="187">
        <v>99</v>
      </c>
      <c r="I250" s="187">
        <v>146.19999999999999</v>
      </c>
      <c r="J250" s="196">
        <v>304.8</v>
      </c>
      <c r="K250" s="591"/>
      <c r="L250" s="197" t="s">
        <v>276</v>
      </c>
      <c r="M250" s="198">
        <v>5</v>
      </c>
      <c r="N250" s="238" t="s">
        <v>1522</v>
      </c>
      <c r="O250" s="199" t="s">
        <v>283</v>
      </c>
      <c r="P250" s="200" t="s">
        <v>97</v>
      </c>
      <c r="Q250" s="201">
        <v>45660</v>
      </c>
      <c r="R250" s="202" t="s">
        <v>1523</v>
      </c>
      <c r="S250" s="203">
        <v>101834088</v>
      </c>
      <c r="T250" s="199" t="s">
        <v>1524</v>
      </c>
      <c r="U250" s="204" t="s">
        <v>428</v>
      </c>
      <c r="V250" s="205">
        <v>2</v>
      </c>
      <c r="W250" s="205">
        <v>0</v>
      </c>
      <c r="X250" s="205">
        <v>0</v>
      </c>
      <c r="Y250" s="205">
        <v>0</v>
      </c>
      <c r="Z250" s="206">
        <v>1039967163</v>
      </c>
      <c r="AA250" s="211"/>
      <c r="AB250" s="211"/>
      <c r="AC250" s="190"/>
      <c r="AD250" s="78"/>
    </row>
    <row r="251" spans="1:30" ht="22.35" customHeight="1">
      <c r="A251" s="310" t="s">
        <v>8</v>
      </c>
      <c r="B251" s="323" t="s">
        <v>23</v>
      </c>
      <c r="C251" s="1337">
        <v>45661</v>
      </c>
      <c r="D251" s="324">
        <v>3</v>
      </c>
      <c r="E251" s="310">
        <v>549</v>
      </c>
      <c r="F251" s="392" t="s">
        <v>2020</v>
      </c>
      <c r="G251" s="310">
        <v>90</v>
      </c>
      <c r="H251" s="310">
        <v>304.3</v>
      </c>
      <c r="I251" s="310">
        <v>340.54</v>
      </c>
      <c r="J251" s="325">
        <v>1002.16</v>
      </c>
      <c r="K251" s="326"/>
      <c r="L251" s="337" t="s">
        <v>276</v>
      </c>
      <c r="M251" s="320">
        <v>10</v>
      </c>
      <c r="N251" s="576" t="s">
        <v>1091</v>
      </c>
      <c r="O251" s="199" t="s">
        <v>283</v>
      </c>
      <c r="P251" s="200"/>
      <c r="Q251" s="201">
        <v>45599</v>
      </c>
      <c r="R251" s="330" t="s">
        <v>2019</v>
      </c>
      <c r="S251" s="203"/>
      <c r="T251" s="199"/>
      <c r="U251" s="204"/>
      <c r="V251" s="205"/>
      <c r="W251" s="205"/>
      <c r="X251" s="205"/>
      <c r="Y251" s="205"/>
      <c r="Z251" s="206"/>
      <c r="AA251" s="322"/>
      <c r="AB251" s="322"/>
      <c r="AC251" s="300"/>
      <c r="AD251" s="70"/>
    </row>
    <row r="252" spans="1:30" ht="22.35" customHeight="1">
      <c r="A252" s="187" t="s">
        <v>15</v>
      </c>
      <c r="B252" s="195" t="s">
        <v>88</v>
      </c>
      <c r="C252" s="1341">
        <v>45660</v>
      </c>
      <c r="D252" s="194">
        <v>30</v>
      </c>
      <c r="E252" s="187">
        <v>81</v>
      </c>
      <c r="F252" s="246">
        <v>2429.9899999999998</v>
      </c>
      <c r="G252" s="187">
        <v>75</v>
      </c>
      <c r="H252" s="187">
        <v>78.3</v>
      </c>
      <c r="I252" s="187">
        <v>317.60000000000002</v>
      </c>
      <c r="J252" s="196">
        <v>1779.1</v>
      </c>
      <c r="K252" s="213"/>
      <c r="L252" s="197" t="s">
        <v>276</v>
      </c>
      <c r="M252" s="194"/>
      <c r="N252" s="238" t="s">
        <v>812</v>
      </c>
      <c r="O252" s="199" t="s">
        <v>283</v>
      </c>
      <c r="P252" s="200" t="s">
        <v>114</v>
      </c>
      <c r="Q252" s="201">
        <v>45466</v>
      </c>
      <c r="R252" s="202" t="s">
        <v>813</v>
      </c>
      <c r="S252" s="203">
        <v>10477217</v>
      </c>
      <c r="T252" s="199" t="s">
        <v>814</v>
      </c>
      <c r="U252" s="204" t="s">
        <v>127</v>
      </c>
      <c r="V252" s="205">
        <v>2</v>
      </c>
      <c r="W252" s="205">
        <v>0</v>
      </c>
      <c r="X252" s="205">
        <v>0</v>
      </c>
      <c r="Y252" s="205">
        <v>0</v>
      </c>
      <c r="Z252" s="206">
        <v>946905399</v>
      </c>
      <c r="AA252" s="211"/>
      <c r="AB252" s="211"/>
      <c r="AC252" s="190"/>
      <c r="AD252" s="78"/>
    </row>
    <row r="253" spans="1:30" ht="22.35" customHeight="1">
      <c r="A253" s="310" t="s">
        <v>8</v>
      </c>
      <c r="B253" s="323" t="s">
        <v>88</v>
      </c>
      <c r="C253" s="1337">
        <v>45659</v>
      </c>
      <c r="D253" s="324">
        <v>2</v>
      </c>
      <c r="E253" s="310">
        <v>244.75</v>
      </c>
      <c r="F253" s="392">
        <v>489.5</v>
      </c>
      <c r="G253" s="310">
        <v>90</v>
      </c>
      <c r="H253" s="310">
        <v>88.12</v>
      </c>
      <c r="I253" s="310">
        <v>152.27000000000001</v>
      </c>
      <c r="J253" s="325">
        <v>249.11</v>
      </c>
      <c r="K253" s="326"/>
      <c r="L253" s="337" t="s">
        <v>276</v>
      </c>
      <c r="M253" s="320">
        <v>5</v>
      </c>
      <c r="N253" s="576" t="s">
        <v>1178</v>
      </c>
      <c r="O253" s="199" t="s">
        <v>283</v>
      </c>
      <c r="P253" s="200" t="s">
        <v>89</v>
      </c>
      <c r="Q253" s="201">
        <v>45641</v>
      </c>
      <c r="R253" s="327" t="s">
        <v>1179</v>
      </c>
      <c r="S253" s="203">
        <v>106821152</v>
      </c>
      <c r="T253" s="199" t="s">
        <v>1180</v>
      </c>
      <c r="U253" s="204" t="s">
        <v>1181</v>
      </c>
      <c r="V253" s="205">
        <v>2</v>
      </c>
      <c r="W253" s="205">
        <v>2</v>
      </c>
      <c r="X253" s="205">
        <v>0</v>
      </c>
      <c r="Y253" s="205">
        <v>0</v>
      </c>
      <c r="Z253" s="206"/>
      <c r="AA253" s="322"/>
      <c r="AB253" s="322"/>
      <c r="AC253" s="300"/>
      <c r="AD253" s="78"/>
    </row>
    <row r="254" spans="1:30" ht="22.35" customHeight="1">
      <c r="A254" s="310" t="s">
        <v>10</v>
      </c>
      <c r="B254" s="323" t="s">
        <v>88</v>
      </c>
      <c r="C254" s="1337">
        <v>45659</v>
      </c>
      <c r="D254" s="324">
        <v>3</v>
      </c>
      <c r="E254" s="310">
        <v>233.33</v>
      </c>
      <c r="F254" s="392">
        <v>700</v>
      </c>
      <c r="G254" s="310">
        <v>70</v>
      </c>
      <c r="H254" s="310">
        <v>126</v>
      </c>
      <c r="I254" s="310">
        <v>170.8</v>
      </c>
      <c r="J254" s="325">
        <v>403.2</v>
      </c>
      <c r="K254" s="326"/>
      <c r="L254" s="337" t="s">
        <v>276</v>
      </c>
      <c r="M254" s="320"/>
      <c r="N254" s="576" t="s">
        <v>1170</v>
      </c>
      <c r="O254" s="199" t="s">
        <v>283</v>
      </c>
      <c r="P254" s="200" t="s">
        <v>97</v>
      </c>
      <c r="Q254" s="201">
        <v>45637</v>
      </c>
      <c r="R254" s="327" t="s">
        <v>1171</v>
      </c>
      <c r="S254" s="203">
        <v>14030057</v>
      </c>
      <c r="T254" s="199" t="s">
        <v>1172</v>
      </c>
      <c r="U254" s="204" t="s">
        <v>1173</v>
      </c>
      <c r="V254" s="205">
        <v>2</v>
      </c>
      <c r="W254" s="205">
        <v>2</v>
      </c>
      <c r="X254" s="205">
        <v>0</v>
      </c>
      <c r="Y254" s="205">
        <v>0</v>
      </c>
      <c r="Z254" s="206">
        <v>1030856797</v>
      </c>
      <c r="AA254" s="322"/>
      <c r="AB254" s="322"/>
      <c r="AC254" s="300"/>
      <c r="AD254" s="78"/>
    </row>
    <row r="255" spans="1:30" ht="22.35" customHeight="1">
      <c r="A255" s="522" t="s">
        <v>10</v>
      </c>
      <c r="B255" s="523" t="s">
        <v>23</v>
      </c>
      <c r="C255" s="1342">
        <v>45656</v>
      </c>
      <c r="D255" s="324">
        <v>3</v>
      </c>
      <c r="E255" s="310">
        <v>258.33</v>
      </c>
      <c r="F255" s="392" t="s">
        <v>1176</v>
      </c>
      <c r="G255" s="310">
        <v>70</v>
      </c>
      <c r="H255" s="310">
        <v>182.61</v>
      </c>
      <c r="I255" s="310">
        <v>174.48</v>
      </c>
      <c r="J255" s="325">
        <v>417.91</v>
      </c>
      <c r="K255" s="326"/>
      <c r="L255" s="337" t="s">
        <v>276</v>
      </c>
      <c r="M255" s="320"/>
      <c r="N255" s="578" t="s">
        <v>1177</v>
      </c>
      <c r="O255" s="199" t="s">
        <v>283</v>
      </c>
      <c r="P255" s="200"/>
      <c r="Q255" s="201">
        <v>45641</v>
      </c>
      <c r="R255" s="330" t="s">
        <v>1509</v>
      </c>
      <c r="S255" s="203"/>
      <c r="T255" s="199"/>
      <c r="U255" s="204"/>
      <c r="V255" s="205"/>
      <c r="W255" s="205"/>
      <c r="X255" s="205"/>
      <c r="Y255" s="205"/>
      <c r="Z255" s="206"/>
      <c r="AA255" s="322"/>
      <c r="AB255" s="322"/>
      <c r="AC255" s="300"/>
      <c r="AD255" s="70"/>
    </row>
    <row r="256" spans="1:30" ht="22.35" customHeight="1">
      <c r="A256" s="300" t="s">
        <v>8</v>
      </c>
      <c r="B256" s="315" t="s">
        <v>23</v>
      </c>
      <c r="C256" s="1342">
        <v>45653</v>
      </c>
      <c r="D256" s="316">
        <v>6</v>
      </c>
      <c r="E256" s="589">
        <v>332.1</v>
      </c>
      <c r="F256" s="392" t="s">
        <v>1353</v>
      </c>
      <c r="G256" s="589">
        <v>90</v>
      </c>
      <c r="H256" s="589">
        <v>361.91</v>
      </c>
      <c r="I256" s="589">
        <v>398.14</v>
      </c>
      <c r="J256" s="590">
        <v>1232.55</v>
      </c>
      <c r="K256" s="590"/>
      <c r="L256" s="340" t="s">
        <v>276</v>
      </c>
      <c r="M256" s="320"/>
      <c r="N256" s="580" t="s">
        <v>87</v>
      </c>
      <c r="O256" s="218" t="s">
        <v>283</v>
      </c>
      <c r="P256" s="219"/>
      <c r="Q256" s="220">
        <v>45229</v>
      </c>
      <c r="R256" s="395" t="s">
        <v>1352</v>
      </c>
      <c r="S256" s="222"/>
      <c r="T256" s="223"/>
      <c r="U256" s="224"/>
      <c r="V256" s="225"/>
      <c r="W256" s="225"/>
      <c r="X256" s="225"/>
      <c r="Y256" s="225"/>
      <c r="Z256" s="226"/>
      <c r="AA256" s="322">
        <v>424</v>
      </c>
      <c r="AB256" s="333" t="s">
        <v>946</v>
      </c>
      <c r="AC256" s="300" t="s">
        <v>940</v>
      </c>
      <c r="AD256" s="70"/>
    </row>
    <row r="257" spans="1:30" ht="22.35" customHeight="1">
      <c r="A257" s="275" t="s">
        <v>10</v>
      </c>
      <c r="B257" s="331" t="s">
        <v>23</v>
      </c>
      <c r="C257" s="1343">
        <v>45653</v>
      </c>
      <c r="D257" s="194">
        <v>3</v>
      </c>
      <c r="E257" s="187">
        <v>243.33</v>
      </c>
      <c r="F257" s="246" t="s">
        <v>1360</v>
      </c>
      <c r="G257" s="187">
        <v>70</v>
      </c>
      <c r="H257" s="187">
        <v>172.08</v>
      </c>
      <c r="I257" s="187">
        <v>167.58</v>
      </c>
      <c r="J257" s="196">
        <v>390.34</v>
      </c>
      <c r="K257" s="591"/>
      <c r="L257" s="338" t="s">
        <v>276</v>
      </c>
      <c r="M257" s="198"/>
      <c r="N257" s="579" t="s">
        <v>1120</v>
      </c>
      <c r="O257" s="199" t="s">
        <v>283</v>
      </c>
      <c r="P257" s="200"/>
      <c r="Q257" s="201">
        <v>45606</v>
      </c>
      <c r="R257" s="410" t="s">
        <v>1359</v>
      </c>
      <c r="S257" s="203"/>
      <c r="T257" s="199"/>
      <c r="U257" s="204"/>
      <c r="V257" s="205"/>
      <c r="W257" s="205"/>
      <c r="X257" s="205"/>
      <c r="Y257" s="205"/>
      <c r="Z257" s="206"/>
      <c r="AA257" s="211"/>
      <c r="AB257" s="211"/>
      <c r="AC257" s="190"/>
      <c r="AD257" s="70"/>
    </row>
    <row r="258" spans="1:30" ht="22.35" customHeight="1">
      <c r="A258" s="190" t="s">
        <v>10</v>
      </c>
      <c r="B258" s="215" t="s">
        <v>88</v>
      </c>
      <c r="C258" s="1341">
        <v>45650</v>
      </c>
      <c r="D258" s="216">
        <v>3</v>
      </c>
      <c r="E258" s="190">
        <v>308.7</v>
      </c>
      <c r="F258" s="246">
        <v>926.11</v>
      </c>
      <c r="G258" s="190">
        <v>70</v>
      </c>
      <c r="H258" s="190">
        <v>28.93</v>
      </c>
      <c r="I258" s="190">
        <v>210.92</v>
      </c>
      <c r="J258" s="228">
        <v>563.65</v>
      </c>
      <c r="K258" s="229"/>
      <c r="L258" s="197" t="s">
        <v>276</v>
      </c>
      <c r="M258" s="194"/>
      <c r="N258" s="244" t="s">
        <v>987</v>
      </c>
      <c r="O258" s="218" t="s">
        <v>283</v>
      </c>
      <c r="P258" s="219" t="s">
        <v>97</v>
      </c>
      <c r="Q258" s="220">
        <v>45550</v>
      </c>
      <c r="R258" s="221" t="s">
        <v>988</v>
      </c>
      <c r="S258" s="222">
        <v>103974822</v>
      </c>
      <c r="T258" s="218" t="s">
        <v>989</v>
      </c>
      <c r="U258" s="227" t="s">
        <v>990</v>
      </c>
      <c r="V258" s="225">
        <v>3</v>
      </c>
      <c r="W258" s="225">
        <v>0</v>
      </c>
      <c r="X258" s="225">
        <v>0</v>
      </c>
      <c r="Y258" s="225">
        <v>0</v>
      </c>
      <c r="Z258" s="226">
        <v>991489186</v>
      </c>
      <c r="AA258" s="211"/>
      <c r="AB258" s="211"/>
      <c r="AC258" s="190"/>
      <c r="AD258" s="70"/>
    </row>
    <row r="259" spans="1:30" ht="22.35" customHeight="1">
      <c r="A259" s="300" t="s">
        <v>13</v>
      </c>
      <c r="B259" s="315" t="s">
        <v>88</v>
      </c>
      <c r="C259" s="1337">
        <v>45650</v>
      </c>
      <c r="D259" s="316">
        <v>9</v>
      </c>
      <c r="E259" s="300">
        <v>341.89</v>
      </c>
      <c r="F259" s="392">
        <v>3077</v>
      </c>
      <c r="G259" s="300"/>
      <c r="H259" s="300">
        <v>84.24</v>
      </c>
      <c r="I259" s="300">
        <v>451.15</v>
      </c>
      <c r="J259" s="317">
        <v>1804.61</v>
      </c>
      <c r="K259" s="318"/>
      <c r="L259" s="319" t="s">
        <v>276</v>
      </c>
      <c r="M259" s="320"/>
      <c r="N259" s="580"/>
      <c r="O259" s="218" t="s">
        <v>283</v>
      </c>
      <c r="P259" s="219"/>
      <c r="Q259" s="230"/>
      <c r="R259" s="321"/>
      <c r="S259" s="222"/>
      <c r="T259" s="218"/>
      <c r="U259" s="227"/>
      <c r="V259" s="225"/>
      <c r="W259" s="225"/>
      <c r="X259" s="225"/>
      <c r="Y259" s="225"/>
      <c r="Z259" s="226"/>
      <c r="AA259" s="322"/>
      <c r="AB259" s="322"/>
      <c r="AC259" s="300"/>
      <c r="AD259" s="70"/>
    </row>
    <row r="260" spans="1:30" ht="22.35" customHeight="1">
      <c r="A260" s="300" t="s">
        <v>8</v>
      </c>
      <c r="B260" s="315" t="s">
        <v>23</v>
      </c>
      <c r="C260" s="1342">
        <v>45647</v>
      </c>
      <c r="D260" s="316">
        <v>6</v>
      </c>
      <c r="E260" s="589">
        <v>436.05</v>
      </c>
      <c r="F260" s="392">
        <v>2616.3000000000002</v>
      </c>
      <c r="G260" s="589">
        <v>90</v>
      </c>
      <c r="H260" s="589">
        <v>606.34</v>
      </c>
      <c r="I260" s="589">
        <v>473.99</v>
      </c>
      <c r="J260" s="590">
        <v>1535.97</v>
      </c>
      <c r="K260" s="590"/>
      <c r="L260" s="340" t="s">
        <v>276</v>
      </c>
      <c r="M260" s="320"/>
      <c r="N260" s="580" t="s">
        <v>996</v>
      </c>
      <c r="O260" s="223" t="s">
        <v>283</v>
      </c>
      <c r="P260" s="219"/>
      <c r="Q260" s="220">
        <v>45553</v>
      </c>
      <c r="R260" s="321" t="s">
        <v>995</v>
      </c>
      <c r="S260" s="222"/>
      <c r="T260" s="223"/>
      <c r="U260" s="224"/>
      <c r="V260" s="225"/>
      <c r="W260" s="225"/>
      <c r="X260" s="225"/>
      <c r="Y260" s="225"/>
      <c r="Z260" s="226"/>
      <c r="AA260" s="322"/>
      <c r="AB260" s="322"/>
      <c r="AC260" s="589"/>
      <c r="AD260" s="70"/>
    </row>
    <row r="261" spans="1:30" ht="22.35" customHeight="1">
      <c r="A261" s="190" t="s">
        <v>10</v>
      </c>
      <c r="B261" s="215" t="s">
        <v>88</v>
      </c>
      <c r="C261" s="1341">
        <v>45646</v>
      </c>
      <c r="D261" s="216">
        <v>4</v>
      </c>
      <c r="E261" s="190">
        <v>89.5</v>
      </c>
      <c r="F261" s="246">
        <v>358</v>
      </c>
      <c r="G261" s="190"/>
      <c r="H261" s="190">
        <v>64.44</v>
      </c>
      <c r="I261" s="190">
        <v>58.71</v>
      </c>
      <c r="J261" s="228">
        <v>234.85</v>
      </c>
      <c r="K261" s="229"/>
      <c r="L261" s="197" t="s">
        <v>276</v>
      </c>
      <c r="M261" s="194">
        <v>5</v>
      </c>
      <c r="N261" s="244"/>
      <c r="O261" s="218" t="s">
        <v>283</v>
      </c>
      <c r="P261" s="219"/>
      <c r="Q261" s="230">
        <v>45553</v>
      </c>
      <c r="R261" s="221"/>
      <c r="S261" s="222"/>
      <c r="T261" s="218"/>
      <c r="U261" s="227"/>
      <c r="V261" s="225"/>
      <c r="W261" s="225"/>
      <c r="X261" s="225"/>
      <c r="Y261" s="225"/>
      <c r="Z261" s="226"/>
      <c r="AA261" s="211"/>
      <c r="AB261" s="211"/>
      <c r="AC261" s="190"/>
      <c r="AD261" s="70"/>
    </row>
    <row r="262" spans="1:30" ht="22.35" customHeight="1">
      <c r="A262" s="300" t="s">
        <v>8</v>
      </c>
      <c r="B262" s="315" t="s">
        <v>23</v>
      </c>
      <c r="C262" s="1342">
        <v>45643</v>
      </c>
      <c r="D262" s="316">
        <v>4</v>
      </c>
      <c r="E262" s="300">
        <v>352.5</v>
      </c>
      <c r="F262" s="392">
        <v>1410</v>
      </c>
      <c r="G262" s="300">
        <v>90</v>
      </c>
      <c r="H262" s="300">
        <v>331.61</v>
      </c>
      <c r="I262" s="300">
        <v>287.68</v>
      </c>
      <c r="J262" s="317">
        <v>790.71</v>
      </c>
      <c r="K262" s="318"/>
      <c r="L262" s="337" t="s">
        <v>276</v>
      </c>
      <c r="M262" s="320"/>
      <c r="N262" s="580" t="s">
        <v>1136</v>
      </c>
      <c r="O262" s="218" t="s">
        <v>283</v>
      </c>
      <c r="P262" s="219"/>
      <c r="Q262" s="220">
        <v>45613</v>
      </c>
      <c r="R262" s="321" t="s">
        <v>1135</v>
      </c>
      <c r="S262" s="222"/>
      <c r="T262" s="218"/>
      <c r="U262" s="227"/>
      <c r="V262" s="225"/>
      <c r="W262" s="225"/>
      <c r="X262" s="225"/>
      <c r="Y262" s="225"/>
      <c r="Z262" s="226"/>
      <c r="AA262" s="322"/>
      <c r="AB262" s="322"/>
      <c r="AC262" s="300"/>
      <c r="AD262" s="70"/>
    </row>
    <row r="263" spans="1:30" ht="22.35" customHeight="1">
      <c r="A263" s="190" t="s">
        <v>10</v>
      </c>
      <c r="B263" s="215" t="s">
        <v>88</v>
      </c>
      <c r="C263" s="1343">
        <v>45642</v>
      </c>
      <c r="D263" s="216">
        <v>4</v>
      </c>
      <c r="E263" s="190">
        <v>181.5</v>
      </c>
      <c r="F263" s="246">
        <v>726</v>
      </c>
      <c r="G263" s="190">
        <v>70</v>
      </c>
      <c r="H263" s="190">
        <v>130.68</v>
      </c>
      <c r="I263" s="190">
        <v>175.06</v>
      </c>
      <c r="J263" s="228">
        <v>420.26</v>
      </c>
      <c r="K263" s="524"/>
      <c r="L263" s="338" t="s">
        <v>276</v>
      </c>
      <c r="M263" s="198">
        <v>5</v>
      </c>
      <c r="N263" s="244" t="s">
        <v>1154</v>
      </c>
      <c r="O263" s="218" t="s">
        <v>283</v>
      </c>
      <c r="P263" s="219" t="s">
        <v>97</v>
      </c>
      <c r="Q263" s="220">
        <v>45623</v>
      </c>
      <c r="R263" s="221" t="s">
        <v>1155</v>
      </c>
      <c r="S263" s="222">
        <v>11237648</v>
      </c>
      <c r="T263" s="218" t="s">
        <v>1156</v>
      </c>
      <c r="U263" s="227" t="s">
        <v>1157</v>
      </c>
      <c r="V263" s="225">
        <v>2</v>
      </c>
      <c r="W263" s="225">
        <v>1</v>
      </c>
      <c r="X263" s="225">
        <v>0</v>
      </c>
      <c r="Y263" s="225">
        <v>0</v>
      </c>
      <c r="Z263" s="226">
        <v>1024876657</v>
      </c>
      <c r="AA263" s="211"/>
      <c r="AB263" s="211"/>
      <c r="AC263" s="190"/>
      <c r="AD263" s="70"/>
    </row>
    <row r="264" spans="1:30" ht="22.35" customHeight="1">
      <c r="A264" s="300" t="s">
        <v>10</v>
      </c>
      <c r="B264" s="315" t="s">
        <v>23</v>
      </c>
      <c r="C264" s="1342">
        <v>45637</v>
      </c>
      <c r="D264" s="316">
        <v>5</v>
      </c>
      <c r="E264" s="300">
        <v>193</v>
      </c>
      <c r="F264" s="392">
        <v>965</v>
      </c>
      <c r="G264" s="300">
        <v>70</v>
      </c>
      <c r="H264" s="300">
        <v>227.85</v>
      </c>
      <c r="I264" s="300">
        <v>203.43</v>
      </c>
      <c r="J264" s="317">
        <v>533.72</v>
      </c>
      <c r="K264" s="318"/>
      <c r="L264" s="337" t="s">
        <v>276</v>
      </c>
      <c r="M264" s="320"/>
      <c r="N264" s="580" t="s">
        <v>1125</v>
      </c>
      <c r="O264" s="218" t="s">
        <v>283</v>
      </c>
      <c r="P264" s="219"/>
      <c r="Q264" s="220">
        <v>45606</v>
      </c>
      <c r="R264" s="321" t="s">
        <v>1122</v>
      </c>
      <c r="S264" s="222"/>
      <c r="T264" s="218"/>
      <c r="U264" s="227"/>
      <c r="V264" s="225"/>
      <c r="W264" s="225"/>
      <c r="X264" s="225"/>
      <c r="Y264" s="225"/>
      <c r="Z264" s="226"/>
      <c r="AA264" s="322"/>
      <c r="AB264" s="322"/>
      <c r="AC264" s="300"/>
      <c r="AD264" s="70"/>
    </row>
    <row r="265" spans="1:30" ht="22.35" customHeight="1">
      <c r="A265" s="190" t="s">
        <v>8</v>
      </c>
      <c r="B265" s="215" t="s">
        <v>88</v>
      </c>
      <c r="C265" s="1341">
        <v>45633</v>
      </c>
      <c r="D265" s="216">
        <v>8</v>
      </c>
      <c r="E265" s="190">
        <v>343.53</v>
      </c>
      <c r="F265" s="246">
        <v>2748.23</v>
      </c>
      <c r="G265" s="190">
        <v>90</v>
      </c>
      <c r="H265" s="190">
        <v>85.83</v>
      </c>
      <c r="I265" s="190">
        <v>531.71</v>
      </c>
      <c r="J265" s="228">
        <v>1766.86</v>
      </c>
      <c r="K265" s="524"/>
      <c r="L265" s="197" t="s">
        <v>276</v>
      </c>
      <c r="M265" s="198">
        <v>5</v>
      </c>
      <c r="N265" s="244" t="s">
        <v>818</v>
      </c>
      <c r="O265" s="218" t="s">
        <v>283</v>
      </c>
      <c r="P265" s="219" t="s">
        <v>89</v>
      </c>
      <c r="Q265" s="220">
        <v>45467</v>
      </c>
      <c r="R265" s="221" t="s">
        <v>819</v>
      </c>
      <c r="S265" s="222">
        <v>4886994</v>
      </c>
      <c r="T265" s="218" t="s">
        <v>820</v>
      </c>
      <c r="U265" s="227" t="s">
        <v>127</v>
      </c>
      <c r="V265" s="225">
        <v>2</v>
      </c>
      <c r="W265" s="225">
        <v>0</v>
      </c>
      <c r="X265" s="225">
        <v>0</v>
      </c>
      <c r="Y265" s="225">
        <v>1</v>
      </c>
      <c r="Z265" s="226">
        <v>947414693</v>
      </c>
      <c r="AA265" s="211"/>
      <c r="AB265" s="211"/>
      <c r="AC265" s="190"/>
      <c r="AD265" s="70"/>
    </row>
    <row r="266" spans="1:30" ht="22.35" customHeight="1">
      <c r="A266" s="300" t="s">
        <v>10</v>
      </c>
      <c r="B266" s="315" t="s">
        <v>88</v>
      </c>
      <c r="C266" s="1337">
        <v>45633</v>
      </c>
      <c r="D266" s="316">
        <v>4</v>
      </c>
      <c r="E266" s="300">
        <v>262.20999999999998</v>
      </c>
      <c r="F266" s="392">
        <v>1048.8499999999999</v>
      </c>
      <c r="G266" s="300">
        <v>70</v>
      </c>
      <c r="H266" s="300">
        <v>32.76</v>
      </c>
      <c r="I266" s="300">
        <v>231.45</v>
      </c>
      <c r="J266" s="317">
        <v>645.79</v>
      </c>
      <c r="K266" s="318"/>
      <c r="L266" s="319" t="s">
        <v>276</v>
      </c>
      <c r="M266" s="320">
        <v>5</v>
      </c>
      <c r="N266" s="580" t="s">
        <v>1085</v>
      </c>
      <c r="O266" s="218" t="s">
        <v>283</v>
      </c>
      <c r="P266" s="219" t="s">
        <v>97</v>
      </c>
      <c r="Q266" s="220">
        <v>45593</v>
      </c>
      <c r="R266" s="321" t="s">
        <v>1086</v>
      </c>
      <c r="S266" s="222">
        <v>24998903</v>
      </c>
      <c r="T266" s="218"/>
      <c r="U266" s="227" t="s">
        <v>1087</v>
      </c>
      <c r="V266" s="225">
        <v>3</v>
      </c>
      <c r="W266" s="225">
        <v>0</v>
      </c>
      <c r="X266" s="225">
        <v>0</v>
      </c>
      <c r="Y266" s="225">
        <v>0</v>
      </c>
      <c r="Z266" s="226">
        <v>1011740951</v>
      </c>
      <c r="AA266" s="322"/>
      <c r="AB266" s="322"/>
      <c r="AC266" s="300"/>
      <c r="AD266" s="70"/>
    </row>
    <row r="267" spans="1:30" ht="22.35" customHeight="1">
      <c r="A267" s="300" t="s">
        <v>8</v>
      </c>
      <c r="B267" s="315" t="s">
        <v>23</v>
      </c>
      <c r="C267" s="1342">
        <v>45630</v>
      </c>
      <c r="D267" s="316">
        <v>3</v>
      </c>
      <c r="E267" s="300">
        <v>258</v>
      </c>
      <c r="F267" s="392">
        <v>774</v>
      </c>
      <c r="G267" s="300">
        <v>90</v>
      </c>
      <c r="H267" s="300">
        <v>182.67</v>
      </c>
      <c r="I267" s="300">
        <v>190.27</v>
      </c>
      <c r="J267" s="317">
        <v>401.06</v>
      </c>
      <c r="K267" s="318"/>
      <c r="L267" s="337" t="s">
        <v>276</v>
      </c>
      <c r="M267" s="320">
        <v>9</v>
      </c>
      <c r="N267" s="580" t="s">
        <v>1124</v>
      </c>
      <c r="O267" s="218" t="s">
        <v>283</v>
      </c>
      <c r="P267" s="219"/>
      <c r="Q267" s="220">
        <v>45606</v>
      </c>
      <c r="R267" s="321" t="s">
        <v>1123</v>
      </c>
      <c r="S267" s="222"/>
      <c r="T267" s="218"/>
      <c r="U267" s="227"/>
      <c r="V267" s="225"/>
      <c r="W267" s="225"/>
      <c r="X267" s="225"/>
      <c r="Y267" s="225"/>
      <c r="Z267" s="226"/>
      <c r="AA267" s="322"/>
      <c r="AB267" s="322"/>
      <c r="AC267" s="300"/>
      <c r="AD267" s="70"/>
    </row>
    <row r="268" spans="1:30" ht="22.35" customHeight="1">
      <c r="A268" s="190" t="s">
        <v>10</v>
      </c>
      <c r="B268" s="215" t="s">
        <v>23</v>
      </c>
      <c r="C268" s="1341">
        <v>45629</v>
      </c>
      <c r="D268" s="216">
        <v>4</v>
      </c>
      <c r="E268" s="190">
        <v>162.5</v>
      </c>
      <c r="F268" s="246" t="s">
        <v>1389</v>
      </c>
      <c r="G268" s="190">
        <v>70</v>
      </c>
      <c r="H268" s="190">
        <v>153.41999999999999</v>
      </c>
      <c r="I268" s="190">
        <v>155.32</v>
      </c>
      <c r="J268" s="228">
        <v>341.26</v>
      </c>
      <c r="K268" s="524"/>
      <c r="L268" s="197" t="s">
        <v>276</v>
      </c>
      <c r="M268" s="198"/>
      <c r="N268" s="244" t="s">
        <v>1129</v>
      </c>
      <c r="O268" s="218" t="s">
        <v>283</v>
      </c>
      <c r="P268" s="219"/>
      <c r="Q268" s="220">
        <v>45619</v>
      </c>
      <c r="R268" s="329" t="s">
        <v>1150</v>
      </c>
      <c r="S268" s="222"/>
      <c r="T268" s="218"/>
      <c r="U268" s="227"/>
      <c r="V268" s="225"/>
      <c r="W268" s="225"/>
      <c r="X268" s="225"/>
      <c r="Y268" s="225"/>
      <c r="Z268" s="226"/>
      <c r="AA268" s="211"/>
      <c r="AB268" s="211"/>
      <c r="AC268" s="190"/>
      <c r="AD268" s="70"/>
    </row>
    <row r="269" spans="1:30" ht="22.35" customHeight="1">
      <c r="A269" s="300" t="s">
        <v>10</v>
      </c>
      <c r="B269" s="315" t="s">
        <v>88</v>
      </c>
      <c r="C269" s="1337">
        <v>45626</v>
      </c>
      <c r="D269" s="316">
        <v>3</v>
      </c>
      <c r="E269" s="300">
        <v>158.33000000000001</v>
      </c>
      <c r="F269" s="392">
        <v>475</v>
      </c>
      <c r="G269" s="300">
        <v>70</v>
      </c>
      <c r="H269" s="300">
        <v>85.5</v>
      </c>
      <c r="I269" s="300">
        <v>133.9</v>
      </c>
      <c r="J269" s="317">
        <v>255.6</v>
      </c>
      <c r="K269" s="318"/>
      <c r="L269" s="337" t="s">
        <v>276</v>
      </c>
      <c r="M269" s="320"/>
      <c r="N269" s="580" t="s">
        <v>1140</v>
      </c>
      <c r="O269" s="218" t="s">
        <v>283</v>
      </c>
      <c r="P269" s="219" t="s">
        <v>97</v>
      </c>
      <c r="Q269" s="220">
        <v>45616</v>
      </c>
      <c r="R269" s="321" t="s">
        <v>1139</v>
      </c>
      <c r="S269" s="222">
        <v>10292255</v>
      </c>
      <c r="T269" s="218" t="s">
        <v>1141</v>
      </c>
      <c r="U269" s="227" t="s">
        <v>1142</v>
      </c>
      <c r="V269" s="225">
        <v>2</v>
      </c>
      <c r="W269" s="225">
        <v>0</v>
      </c>
      <c r="X269" s="225">
        <v>1</v>
      </c>
      <c r="Y269" s="225">
        <v>0</v>
      </c>
      <c r="Z269" s="226">
        <v>1021850917</v>
      </c>
      <c r="AA269" s="322"/>
      <c r="AB269" s="322"/>
      <c r="AC269" s="300"/>
      <c r="AD269" s="70"/>
    </row>
    <row r="270" spans="1:30" ht="22.35" customHeight="1">
      <c r="A270" s="300" t="s">
        <v>8</v>
      </c>
      <c r="B270" s="315" t="s">
        <v>88</v>
      </c>
      <c r="C270" s="1337">
        <v>45623</v>
      </c>
      <c r="D270" s="316">
        <v>7</v>
      </c>
      <c r="E270" s="589">
        <v>319.13</v>
      </c>
      <c r="F270" s="392">
        <v>2233.89</v>
      </c>
      <c r="G270" s="589">
        <v>90</v>
      </c>
      <c r="H270" s="589">
        <v>69.77</v>
      </c>
      <c r="I270" s="589">
        <v>445.58</v>
      </c>
      <c r="J270" s="590">
        <v>1422.71</v>
      </c>
      <c r="K270" s="590"/>
      <c r="L270" s="340" t="s">
        <v>276</v>
      </c>
      <c r="M270" s="320"/>
      <c r="N270" s="580" t="s">
        <v>857</v>
      </c>
      <c r="O270" s="218" t="s">
        <v>283</v>
      </c>
      <c r="P270" s="219" t="s">
        <v>89</v>
      </c>
      <c r="Q270" s="220">
        <v>45493</v>
      </c>
      <c r="R270" s="321" t="s">
        <v>858</v>
      </c>
      <c r="S270" s="222">
        <v>77708903</v>
      </c>
      <c r="T270" s="218" t="s">
        <v>859</v>
      </c>
      <c r="U270" s="227" t="s">
        <v>860</v>
      </c>
      <c r="V270" s="225">
        <v>4</v>
      </c>
      <c r="W270" s="225">
        <v>0</v>
      </c>
      <c r="X270" s="225">
        <v>0</v>
      </c>
      <c r="Y270" s="225">
        <v>0</v>
      </c>
      <c r="Z270" s="226">
        <v>962274376</v>
      </c>
      <c r="AA270" s="322">
        <v>130</v>
      </c>
      <c r="AB270" s="333" t="s">
        <v>947</v>
      </c>
      <c r="AC270" s="300" t="s">
        <v>942</v>
      </c>
      <c r="AD270" s="70"/>
    </row>
    <row r="271" spans="1:30" ht="22.35" customHeight="1">
      <c r="A271" s="190" t="s">
        <v>10</v>
      </c>
      <c r="B271" s="215" t="s">
        <v>88</v>
      </c>
      <c r="C271" s="1341">
        <v>45619</v>
      </c>
      <c r="D271" s="216">
        <v>7</v>
      </c>
      <c r="E271" s="214">
        <v>238.87</v>
      </c>
      <c r="F271" s="246">
        <v>1672.12</v>
      </c>
      <c r="G271" s="214">
        <v>70</v>
      </c>
      <c r="H271" s="214">
        <v>52.22</v>
      </c>
      <c r="I271" s="214">
        <v>335.52</v>
      </c>
      <c r="J271" s="217">
        <v>1062.82</v>
      </c>
      <c r="K271" s="214"/>
      <c r="L271" s="339" t="s">
        <v>276</v>
      </c>
      <c r="M271" s="194"/>
      <c r="N271" s="244" t="s">
        <v>788</v>
      </c>
      <c r="O271" s="218" t="s">
        <v>283</v>
      </c>
      <c r="P271" s="219" t="s">
        <v>97</v>
      </c>
      <c r="Q271" s="220">
        <v>45451</v>
      </c>
      <c r="R271" s="221" t="s">
        <v>789</v>
      </c>
      <c r="S271" s="222">
        <v>382530979</v>
      </c>
      <c r="T271" s="218" t="s">
        <v>790</v>
      </c>
      <c r="U271" s="227" t="s">
        <v>122</v>
      </c>
      <c r="V271" s="225">
        <v>2</v>
      </c>
      <c r="W271" s="225">
        <v>1</v>
      </c>
      <c r="X271" s="225">
        <v>0</v>
      </c>
      <c r="Y271" s="225">
        <v>0</v>
      </c>
      <c r="Z271" s="226">
        <v>939290863</v>
      </c>
      <c r="AA271" s="211">
        <v>168</v>
      </c>
      <c r="AB271" s="212" t="s">
        <v>947</v>
      </c>
      <c r="AC271" s="190" t="s">
        <v>942</v>
      </c>
      <c r="AD271" s="70"/>
    </row>
    <row r="272" spans="1:30" ht="22.35" customHeight="1">
      <c r="A272" s="190" t="s">
        <v>15</v>
      </c>
      <c r="B272" s="215" t="s">
        <v>88</v>
      </c>
      <c r="C272" s="1341">
        <v>45619</v>
      </c>
      <c r="D272" s="216">
        <v>40</v>
      </c>
      <c r="E272" s="214">
        <v>65.040000000000006</v>
      </c>
      <c r="F272" s="246">
        <v>2601.6</v>
      </c>
      <c r="G272" s="214">
        <v>0</v>
      </c>
      <c r="H272" s="214">
        <v>82.7</v>
      </c>
      <c r="I272" s="214">
        <v>0</v>
      </c>
      <c r="J272" s="217">
        <v>2214.0700000000002</v>
      </c>
      <c r="K272" s="214"/>
      <c r="L272" s="339" t="s">
        <v>276</v>
      </c>
      <c r="M272" s="194">
        <v>5</v>
      </c>
      <c r="N272" s="244" t="s">
        <v>829</v>
      </c>
      <c r="O272" s="218" t="s">
        <v>283</v>
      </c>
      <c r="P272" s="219" t="s">
        <v>114</v>
      </c>
      <c r="Q272" s="220">
        <v>45471</v>
      </c>
      <c r="R272" s="221" t="s">
        <v>830</v>
      </c>
      <c r="S272" s="222">
        <v>42873075</v>
      </c>
      <c r="T272" s="223" t="s">
        <v>831</v>
      </c>
      <c r="U272" s="227" t="s">
        <v>832</v>
      </c>
      <c r="V272" s="225">
        <v>3</v>
      </c>
      <c r="W272" s="225">
        <v>0</v>
      </c>
      <c r="X272" s="225">
        <v>0</v>
      </c>
      <c r="Y272" s="225">
        <v>0</v>
      </c>
      <c r="Z272" s="226">
        <v>949515022</v>
      </c>
      <c r="AA272" s="211">
        <v>147</v>
      </c>
      <c r="AB272" s="212" t="s">
        <v>947</v>
      </c>
      <c r="AC272" s="190" t="s">
        <v>942</v>
      </c>
      <c r="AD272" s="70" t="s">
        <v>1159</v>
      </c>
    </row>
    <row r="273" spans="1:30" ht="22.35" customHeight="1">
      <c r="A273" s="190" t="s">
        <v>8</v>
      </c>
      <c r="B273" s="215" t="s">
        <v>88</v>
      </c>
      <c r="C273" s="1341">
        <v>45618</v>
      </c>
      <c r="D273" s="216">
        <v>4</v>
      </c>
      <c r="E273" s="190">
        <v>281.45999999999998</v>
      </c>
      <c r="F273" s="246">
        <v>1125.82</v>
      </c>
      <c r="G273" s="190">
        <v>90</v>
      </c>
      <c r="H273" s="190">
        <v>34.57</v>
      </c>
      <c r="I273" s="190">
        <v>257.17</v>
      </c>
      <c r="J273" s="228">
        <v>668.66</v>
      </c>
      <c r="K273" s="229"/>
      <c r="L273" s="338" t="s">
        <v>276</v>
      </c>
      <c r="M273" s="194">
        <v>5</v>
      </c>
      <c r="N273" s="244" t="s">
        <v>1088</v>
      </c>
      <c r="O273" s="218" t="s">
        <v>283</v>
      </c>
      <c r="P273" s="219" t="s">
        <v>89</v>
      </c>
      <c r="Q273" s="220">
        <v>45598</v>
      </c>
      <c r="R273" s="221" t="s">
        <v>1089</v>
      </c>
      <c r="S273" s="222">
        <v>660175722</v>
      </c>
      <c r="T273" s="218" t="s">
        <v>1090</v>
      </c>
      <c r="U273" s="227" t="s">
        <v>345</v>
      </c>
      <c r="V273" s="225">
        <v>3</v>
      </c>
      <c r="W273" s="225">
        <v>0</v>
      </c>
      <c r="X273" s="225">
        <v>0</v>
      </c>
      <c r="Y273" s="225">
        <v>0</v>
      </c>
      <c r="Z273" s="226">
        <v>1013907716</v>
      </c>
      <c r="AA273" s="211"/>
      <c r="AB273" s="211"/>
      <c r="AC273" s="190"/>
      <c r="AD273" s="70"/>
    </row>
    <row r="274" spans="1:30" ht="22.35" customHeight="1">
      <c r="A274" s="190" t="s">
        <v>10</v>
      </c>
      <c r="B274" s="215" t="s">
        <v>88</v>
      </c>
      <c r="C274" s="1341">
        <v>45616</v>
      </c>
      <c r="D274" s="216">
        <v>3</v>
      </c>
      <c r="E274" s="190">
        <v>169.1</v>
      </c>
      <c r="F274" s="246">
        <v>507.31</v>
      </c>
      <c r="G274" s="190">
        <v>70</v>
      </c>
      <c r="H274" s="190">
        <v>15.43</v>
      </c>
      <c r="I274" s="190">
        <v>138.68</v>
      </c>
      <c r="J274" s="228">
        <v>274.69</v>
      </c>
      <c r="K274" s="524"/>
      <c r="L274" s="338" t="s">
        <v>276</v>
      </c>
      <c r="M274" s="198">
        <v>5</v>
      </c>
      <c r="N274" s="244" t="s">
        <v>1081</v>
      </c>
      <c r="O274" s="218" t="s">
        <v>283</v>
      </c>
      <c r="P274" s="219" t="s">
        <v>97</v>
      </c>
      <c r="Q274" s="220">
        <v>45593</v>
      </c>
      <c r="R274" s="221" t="s">
        <v>1082</v>
      </c>
      <c r="S274" s="222">
        <v>28385984</v>
      </c>
      <c r="T274" s="218" t="s">
        <v>1083</v>
      </c>
      <c r="U274" s="227" t="s">
        <v>1084</v>
      </c>
      <c r="V274" s="225">
        <v>2</v>
      </c>
      <c r="W274" s="225">
        <v>0</v>
      </c>
      <c r="X274" s="225">
        <v>0</v>
      </c>
      <c r="Y274" s="225">
        <v>0</v>
      </c>
      <c r="Z274" s="226">
        <v>1011709772</v>
      </c>
      <c r="AA274" s="211"/>
      <c r="AB274" s="211"/>
      <c r="AC274" s="190"/>
      <c r="AD274" s="70"/>
    </row>
    <row r="275" spans="1:30" ht="22.35" customHeight="1">
      <c r="A275" s="190" t="s">
        <v>8</v>
      </c>
      <c r="B275" s="215" t="s">
        <v>23</v>
      </c>
      <c r="C275" s="1341">
        <v>45614</v>
      </c>
      <c r="D275" s="216">
        <v>3</v>
      </c>
      <c r="E275" s="214">
        <v>436.05</v>
      </c>
      <c r="F275" s="246" t="s">
        <v>2077</v>
      </c>
      <c r="G275" s="214">
        <v>90</v>
      </c>
      <c r="H275" s="214">
        <v>304.16000000000003</v>
      </c>
      <c r="I275" s="214">
        <v>272.8</v>
      </c>
      <c r="J275" s="217">
        <v>731.19</v>
      </c>
      <c r="K275" s="217"/>
      <c r="L275" s="339" t="s">
        <v>276</v>
      </c>
      <c r="M275" s="198"/>
      <c r="N275" s="244" t="s">
        <v>769</v>
      </c>
      <c r="O275" s="223" t="s">
        <v>283</v>
      </c>
      <c r="P275" s="219"/>
      <c r="Q275" s="220">
        <v>45434</v>
      </c>
      <c r="R275" s="329" t="s">
        <v>2076</v>
      </c>
      <c r="S275" s="222"/>
      <c r="T275" s="223"/>
      <c r="U275" s="224"/>
      <c r="V275" s="225"/>
      <c r="W275" s="225"/>
      <c r="X275" s="225"/>
      <c r="Y275" s="225"/>
      <c r="Z275" s="226"/>
      <c r="AA275" s="211">
        <v>180</v>
      </c>
      <c r="AB275" s="212" t="s">
        <v>947</v>
      </c>
      <c r="AC275" s="190" t="s">
        <v>942</v>
      </c>
      <c r="AD275" s="70"/>
    </row>
    <row r="276" spans="1:30" ht="22.35" customHeight="1">
      <c r="A276" s="190" t="s">
        <v>10</v>
      </c>
      <c r="B276" s="215" t="s">
        <v>23</v>
      </c>
      <c r="C276" s="1341">
        <v>45611</v>
      </c>
      <c r="D276" s="216">
        <v>5</v>
      </c>
      <c r="E276" s="190">
        <v>318.25</v>
      </c>
      <c r="F276" s="246" t="s">
        <v>2094</v>
      </c>
      <c r="G276" s="190">
        <v>70</v>
      </c>
      <c r="H276" s="190">
        <v>374.45</v>
      </c>
      <c r="I276" s="190">
        <v>299.36</v>
      </c>
      <c r="J276" s="228">
        <v>917.44</v>
      </c>
      <c r="K276" s="229"/>
      <c r="L276" s="338" t="s">
        <v>276</v>
      </c>
      <c r="M276" s="194">
        <v>7</v>
      </c>
      <c r="N276" s="244" t="s">
        <v>1067</v>
      </c>
      <c r="O276" s="218" t="s">
        <v>283</v>
      </c>
      <c r="P276" s="219"/>
      <c r="Q276" s="220">
        <v>45585</v>
      </c>
      <c r="R276" s="329" t="s">
        <v>2093</v>
      </c>
      <c r="S276" s="222"/>
      <c r="T276" s="218"/>
      <c r="U276" s="227"/>
      <c r="V276" s="225"/>
      <c r="W276" s="225"/>
      <c r="X276" s="225"/>
      <c r="Y276" s="225"/>
      <c r="Z276" s="226"/>
      <c r="AA276" s="211"/>
      <c r="AB276" s="211"/>
      <c r="AC276" s="190"/>
      <c r="AD276" s="70"/>
    </row>
    <row r="277" spans="1:30" ht="22.35" customHeight="1">
      <c r="A277" s="190" t="s">
        <v>8</v>
      </c>
      <c r="B277" s="215" t="s">
        <v>88</v>
      </c>
      <c r="C277" s="1341">
        <v>45610</v>
      </c>
      <c r="D277" s="216">
        <v>3</v>
      </c>
      <c r="E277" s="190">
        <v>289.55</v>
      </c>
      <c r="F277" s="246">
        <v>868.64</v>
      </c>
      <c r="G277" s="190">
        <v>90</v>
      </c>
      <c r="H277" s="190">
        <v>26.74</v>
      </c>
      <c r="I277" s="190">
        <v>215.19</v>
      </c>
      <c r="J277" s="228">
        <v>500.85</v>
      </c>
      <c r="K277" s="229"/>
      <c r="L277" s="338" t="s">
        <v>276</v>
      </c>
      <c r="M277" s="194">
        <v>5</v>
      </c>
      <c r="N277" s="244" t="s">
        <v>1062</v>
      </c>
      <c r="O277" s="218" t="s">
        <v>283</v>
      </c>
      <c r="P277" s="219" t="s">
        <v>89</v>
      </c>
      <c r="Q277" s="230">
        <v>45584</v>
      </c>
      <c r="R277" s="221" t="s">
        <v>1063</v>
      </c>
      <c r="S277" s="222">
        <v>573011183</v>
      </c>
      <c r="T277" s="218" t="s">
        <v>1064</v>
      </c>
      <c r="U277" s="227" t="s">
        <v>1065</v>
      </c>
      <c r="V277" s="225">
        <v>3</v>
      </c>
      <c r="W277" s="225">
        <v>0</v>
      </c>
      <c r="X277" s="225">
        <v>0</v>
      </c>
      <c r="Y277" s="225">
        <v>0</v>
      </c>
      <c r="Z277" s="226">
        <v>1007471960</v>
      </c>
      <c r="AA277" s="211"/>
      <c r="AB277" s="211"/>
      <c r="AC277" s="190"/>
      <c r="AD277" s="70"/>
    </row>
    <row r="278" spans="1:30" ht="22.35" customHeight="1">
      <c r="A278" s="190" t="s">
        <v>10</v>
      </c>
      <c r="B278" s="215" t="s">
        <v>88</v>
      </c>
      <c r="C278" s="1341">
        <v>45607</v>
      </c>
      <c r="D278" s="216">
        <v>4</v>
      </c>
      <c r="E278" s="190">
        <v>160.33000000000001</v>
      </c>
      <c r="F278" s="246">
        <v>641.29999999999995</v>
      </c>
      <c r="G278" s="190">
        <v>70</v>
      </c>
      <c r="H278" s="190">
        <v>19.739999999999998</v>
      </c>
      <c r="I278" s="190">
        <v>161.72999999999999</v>
      </c>
      <c r="J278" s="228">
        <v>366.93</v>
      </c>
      <c r="K278" s="229"/>
      <c r="L278" s="338" t="s">
        <v>276</v>
      </c>
      <c r="M278" s="194"/>
      <c r="N278" s="244" t="s">
        <v>1078</v>
      </c>
      <c r="O278" s="218" t="s">
        <v>283</v>
      </c>
      <c r="P278" s="219" t="s">
        <v>97</v>
      </c>
      <c r="Q278" s="220">
        <v>45591</v>
      </c>
      <c r="R278" s="221" t="s">
        <v>1079</v>
      </c>
      <c r="S278" s="222">
        <v>211529240</v>
      </c>
      <c r="T278" s="218" t="s">
        <v>1080</v>
      </c>
      <c r="U278" s="227" t="s">
        <v>648</v>
      </c>
      <c r="V278" s="225">
        <v>2</v>
      </c>
      <c r="W278" s="225">
        <v>0</v>
      </c>
      <c r="X278" s="225">
        <v>0</v>
      </c>
      <c r="Y278" s="225">
        <v>0</v>
      </c>
      <c r="Z278" s="226">
        <v>1010756283</v>
      </c>
      <c r="AA278" s="211"/>
      <c r="AB278" s="211"/>
      <c r="AC278" s="190"/>
      <c r="AD278" s="70"/>
    </row>
    <row r="279" spans="1:30" ht="22.35" customHeight="1">
      <c r="A279" s="190" t="s">
        <v>10</v>
      </c>
      <c r="B279" s="215" t="s">
        <v>88</v>
      </c>
      <c r="C279" s="1341">
        <v>45607</v>
      </c>
      <c r="D279" s="216">
        <v>0</v>
      </c>
      <c r="E279" s="190"/>
      <c r="F279" s="246">
        <v>0</v>
      </c>
      <c r="G279" s="190">
        <v>0</v>
      </c>
      <c r="H279" s="190">
        <v>10.6</v>
      </c>
      <c r="I279" s="190">
        <v>56.76</v>
      </c>
      <c r="J279" s="228">
        <v>227.04</v>
      </c>
      <c r="K279" s="524"/>
      <c r="L279" s="338" t="s">
        <v>276</v>
      </c>
      <c r="M279" s="198"/>
      <c r="N279" s="244"/>
      <c r="O279" s="218" t="s">
        <v>283</v>
      </c>
      <c r="P279" s="219"/>
      <c r="Q279" s="230"/>
      <c r="R279" s="221"/>
      <c r="S279" s="222"/>
      <c r="T279" s="218"/>
      <c r="U279" s="227"/>
      <c r="V279" s="225"/>
      <c r="W279" s="225"/>
      <c r="X279" s="225"/>
      <c r="Y279" s="225"/>
      <c r="Z279" s="226"/>
      <c r="AA279" s="211"/>
      <c r="AB279" s="211"/>
      <c r="AC279" s="190"/>
      <c r="AD279" s="70"/>
    </row>
    <row r="280" spans="1:30" ht="22.35" customHeight="1">
      <c r="A280" s="190" t="s">
        <v>10</v>
      </c>
      <c r="B280" s="215" t="s">
        <v>88</v>
      </c>
      <c r="C280" s="1341">
        <v>45603</v>
      </c>
      <c r="D280" s="216">
        <v>4</v>
      </c>
      <c r="E280" s="214">
        <v>253.57</v>
      </c>
      <c r="F280" s="246">
        <v>1014.28</v>
      </c>
      <c r="G280" s="214">
        <v>70</v>
      </c>
      <c r="H280" s="214">
        <v>31.68</v>
      </c>
      <c r="I280" s="214">
        <v>225.66</v>
      </c>
      <c r="J280" s="217">
        <v>622.66</v>
      </c>
      <c r="K280" s="214"/>
      <c r="L280" s="339" t="s">
        <v>276</v>
      </c>
      <c r="M280" s="194"/>
      <c r="N280" s="244" t="s">
        <v>890</v>
      </c>
      <c r="O280" s="218" t="s">
        <v>283</v>
      </c>
      <c r="P280" s="219" t="s">
        <v>97</v>
      </c>
      <c r="Q280" s="220">
        <v>45521</v>
      </c>
      <c r="R280" s="221" t="s">
        <v>891</v>
      </c>
      <c r="S280" s="222">
        <v>41756667</v>
      </c>
      <c r="T280" s="218" t="s">
        <v>892</v>
      </c>
      <c r="U280" s="227" t="s">
        <v>529</v>
      </c>
      <c r="V280" s="225">
        <v>2</v>
      </c>
      <c r="W280" s="225">
        <v>0</v>
      </c>
      <c r="X280" s="225">
        <v>0</v>
      </c>
      <c r="Y280" s="225">
        <v>0</v>
      </c>
      <c r="Z280" s="226">
        <v>977334330</v>
      </c>
      <c r="AA280" s="211">
        <v>83</v>
      </c>
      <c r="AB280" s="212" t="s">
        <v>947</v>
      </c>
      <c r="AC280" s="190" t="s">
        <v>943</v>
      </c>
      <c r="AD280" s="70"/>
    </row>
    <row r="281" spans="1:30" ht="22.35" customHeight="1">
      <c r="A281" s="190" t="s">
        <v>8</v>
      </c>
      <c r="B281" s="215" t="s">
        <v>88</v>
      </c>
      <c r="C281" s="1341">
        <v>45599</v>
      </c>
      <c r="D281" s="216">
        <v>10</v>
      </c>
      <c r="E281" s="214">
        <v>298.23</v>
      </c>
      <c r="F281" s="246">
        <v>2982.33</v>
      </c>
      <c r="G281" s="214">
        <v>90</v>
      </c>
      <c r="H281" s="214">
        <v>93.16</v>
      </c>
      <c r="I281" s="214">
        <v>571.14</v>
      </c>
      <c r="J281" s="217">
        <v>1923.48</v>
      </c>
      <c r="K281" s="214"/>
      <c r="L281" s="339" t="s">
        <v>276</v>
      </c>
      <c r="M281" s="194">
        <v>5</v>
      </c>
      <c r="N281" s="244" t="s">
        <v>933</v>
      </c>
      <c r="O281" s="218" t="s">
        <v>283</v>
      </c>
      <c r="P281" s="219" t="s">
        <v>89</v>
      </c>
      <c r="Q281" s="220">
        <v>45547</v>
      </c>
      <c r="R281" s="221" t="s">
        <v>934</v>
      </c>
      <c r="S281" s="222">
        <v>302563750</v>
      </c>
      <c r="T281" s="218" t="s">
        <v>935</v>
      </c>
      <c r="U281" s="227" t="s">
        <v>122</v>
      </c>
      <c r="V281" s="225">
        <v>4</v>
      </c>
      <c r="W281" s="225">
        <v>0</v>
      </c>
      <c r="X281" s="225">
        <v>0</v>
      </c>
      <c r="Y281" s="225">
        <v>0</v>
      </c>
      <c r="Z281" s="226">
        <v>990056750</v>
      </c>
      <c r="AA281" s="211">
        <v>52</v>
      </c>
      <c r="AB281" s="212" t="s">
        <v>947</v>
      </c>
      <c r="AC281" s="190" t="s">
        <v>941</v>
      </c>
      <c r="AD281" s="70"/>
    </row>
    <row r="282" spans="1:30" ht="22.35" customHeight="1">
      <c r="A282" s="190" t="s">
        <v>8</v>
      </c>
      <c r="B282" s="215" t="s">
        <v>88</v>
      </c>
      <c r="C282" s="1341">
        <v>45594</v>
      </c>
      <c r="D282" s="216">
        <v>5</v>
      </c>
      <c r="E282" s="214">
        <v>273.89999999999998</v>
      </c>
      <c r="F282" s="246">
        <v>1369.51</v>
      </c>
      <c r="G282" s="214">
        <v>90</v>
      </c>
      <c r="H282" s="214">
        <v>42.78</v>
      </c>
      <c r="I282" s="214">
        <v>301.20999999999998</v>
      </c>
      <c r="J282" s="217">
        <v>844.34</v>
      </c>
      <c r="K282" s="214"/>
      <c r="L282" s="339" t="s">
        <v>276</v>
      </c>
      <c r="M282" s="194">
        <v>5</v>
      </c>
      <c r="N282" s="244" t="s">
        <v>1011</v>
      </c>
      <c r="O282" s="218" t="s">
        <v>283</v>
      </c>
      <c r="P282" s="219" t="s">
        <v>89</v>
      </c>
      <c r="Q282" s="220">
        <v>45569</v>
      </c>
      <c r="R282" s="221" t="s">
        <v>1012</v>
      </c>
      <c r="S282" s="222">
        <v>23929646</v>
      </c>
      <c r="T282" s="218" t="s">
        <v>1013</v>
      </c>
      <c r="U282" s="227" t="s">
        <v>127</v>
      </c>
      <c r="V282" s="225">
        <v>2</v>
      </c>
      <c r="W282" s="225">
        <v>0</v>
      </c>
      <c r="X282" s="225">
        <v>0</v>
      </c>
      <c r="Y282" s="225">
        <v>0</v>
      </c>
      <c r="Z282" s="226">
        <v>1000641097</v>
      </c>
      <c r="AA282" s="211"/>
      <c r="AB282" s="211"/>
      <c r="AC282" s="214"/>
      <c r="AD282" s="70"/>
    </row>
    <row r="283" spans="1:30" ht="22.35" customHeight="1">
      <c r="A283" s="190" t="s">
        <v>10</v>
      </c>
      <c r="B283" s="215" t="s">
        <v>88</v>
      </c>
      <c r="C283" s="1341">
        <v>45593</v>
      </c>
      <c r="D283" s="216">
        <v>9</v>
      </c>
      <c r="E283" s="214">
        <v>238.39</v>
      </c>
      <c r="F283" s="246">
        <v>2145.48</v>
      </c>
      <c r="G283" s="214">
        <v>70</v>
      </c>
      <c r="H283" s="214">
        <v>67.010000000000005</v>
      </c>
      <c r="I283" s="214">
        <v>414.83</v>
      </c>
      <c r="J283" s="217">
        <v>1379.55</v>
      </c>
      <c r="K283" s="214"/>
      <c r="L283" s="339" t="s">
        <v>276</v>
      </c>
      <c r="M283" s="194"/>
      <c r="N283" s="244" t="s">
        <v>926</v>
      </c>
      <c r="O283" s="218" t="s">
        <v>283</v>
      </c>
      <c r="P283" s="219" t="s">
        <v>97</v>
      </c>
      <c r="Q283" s="220">
        <v>45547</v>
      </c>
      <c r="R283" s="221" t="s">
        <v>927</v>
      </c>
      <c r="S283" s="222">
        <v>60361234</v>
      </c>
      <c r="T283" s="218" t="s">
        <v>928</v>
      </c>
      <c r="U283" s="227" t="s">
        <v>637</v>
      </c>
      <c r="V283" s="225">
        <v>3</v>
      </c>
      <c r="W283" s="225">
        <v>0</v>
      </c>
      <c r="X283" s="225">
        <v>0</v>
      </c>
      <c r="Y283" s="225">
        <v>0</v>
      </c>
      <c r="Z283" s="226">
        <v>989820263</v>
      </c>
      <c r="AA283" s="211">
        <v>46</v>
      </c>
      <c r="AB283" s="212" t="s">
        <v>948</v>
      </c>
      <c r="AC283" s="190" t="s">
        <v>941</v>
      </c>
      <c r="AD283" s="70"/>
    </row>
    <row r="284" spans="1:30" ht="22.35" customHeight="1">
      <c r="A284" s="190" t="s">
        <v>8</v>
      </c>
      <c r="B284" s="215" t="s">
        <v>88</v>
      </c>
      <c r="C284" s="1341">
        <v>45590</v>
      </c>
      <c r="D284" s="216">
        <v>4</v>
      </c>
      <c r="E284" s="214">
        <v>367.1</v>
      </c>
      <c r="F284" s="246">
        <v>1468.4</v>
      </c>
      <c r="G284" s="214">
        <v>90</v>
      </c>
      <c r="H284" s="214">
        <v>45.86</v>
      </c>
      <c r="I284" s="214">
        <v>317.52</v>
      </c>
      <c r="J284" s="217">
        <v>910.51</v>
      </c>
      <c r="K284" s="214"/>
      <c r="L284" s="339" t="s">
        <v>276</v>
      </c>
      <c r="M284" s="194">
        <v>4</v>
      </c>
      <c r="N284" s="244" t="s">
        <v>929</v>
      </c>
      <c r="O284" s="218" t="s">
        <v>283</v>
      </c>
      <c r="P284" s="219" t="s">
        <v>89</v>
      </c>
      <c r="Q284" s="220">
        <v>45547</v>
      </c>
      <c r="R284" s="221" t="s">
        <v>930</v>
      </c>
      <c r="S284" s="222">
        <v>41577453</v>
      </c>
      <c r="T284" s="218" t="s">
        <v>931</v>
      </c>
      <c r="U284" s="227" t="s">
        <v>932</v>
      </c>
      <c r="V284" s="225">
        <v>4</v>
      </c>
      <c r="W284" s="225">
        <v>0</v>
      </c>
      <c r="X284" s="225">
        <v>0</v>
      </c>
      <c r="Y284" s="225">
        <v>0</v>
      </c>
      <c r="Z284" s="226">
        <v>989802330</v>
      </c>
      <c r="AA284" s="211">
        <v>43</v>
      </c>
      <c r="AB284" s="212" t="s">
        <v>948</v>
      </c>
      <c r="AC284" s="190" t="s">
        <v>941</v>
      </c>
      <c r="AD284" s="70"/>
    </row>
    <row r="285" spans="1:30" ht="22.35" customHeight="1">
      <c r="A285" s="190" t="s">
        <v>10</v>
      </c>
      <c r="B285" s="215" t="s">
        <v>88</v>
      </c>
      <c r="C285" s="1341">
        <v>45589</v>
      </c>
      <c r="D285" s="216">
        <v>3</v>
      </c>
      <c r="E285" s="214">
        <v>222.43</v>
      </c>
      <c r="F285" s="246">
        <v>667.28</v>
      </c>
      <c r="G285" s="214">
        <v>70</v>
      </c>
      <c r="H285" s="214">
        <v>20.309999999999999</v>
      </c>
      <c r="I285" s="214">
        <v>164.91</v>
      </c>
      <c r="J285" s="217">
        <v>378.95</v>
      </c>
      <c r="K285" s="214"/>
      <c r="L285" s="339" t="s">
        <v>276</v>
      </c>
      <c r="M285" s="194">
        <v>4</v>
      </c>
      <c r="N285" s="244" t="s">
        <v>1016</v>
      </c>
      <c r="O285" s="218" t="s">
        <v>283</v>
      </c>
      <c r="P285" s="219" t="s">
        <v>97</v>
      </c>
      <c r="Q285" s="220">
        <v>45573</v>
      </c>
      <c r="R285" s="221" t="s">
        <v>1017</v>
      </c>
      <c r="S285" s="222">
        <v>28238531</v>
      </c>
      <c r="T285" s="223" t="s">
        <v>1018</v>
      </c>
      <c r="U285" s="227" t="s">
        <v>1008</v>
      </c>
      <c r="V285" s="225">
        <v>2</v>
      </c>
      <c r="W285" s="225">
        <v>1</v>
      </c>
      <c r="X285" s="225">
        <v>0</v>
      </c>
      <c r="Y285" s="225">
        <v>0</v>
      </c>
      <c r="Z285" s="226">
        <v>1002728741</v>
      </c>
      <c r="AA285" s="211"/>
      <c r="AB285" s="211"/>
      <c r="AC285" s="214"/>
      <c r="AD285" s="70"/>
    </row>
    <row r="286" spans="1:30" ht="22.35" customHeight="1">
      <c r="A286" s="190" t="s">
        <v>8</v>
      </c>
      <c r="B286" s="215" t="s">
        <v>88</v>
      </c>
      <c r="C286" s="1341">
        <v>45588</v>
      </c>
      <c r="D286" s="216">
        <v>2</v>
      </c>
      <c r="E286" s="190">
        <v>211.92</v>
      </c>
      <c r="F286" s="246">
        <v>423.84</v>
      </c>
      <c r="G286" s="190">
        <v>90</v>
      </c>
      <c r="H286" s="190">
        <v>13.03</v>
      </c>
      <c r="I286" s="190">
        <v>141.80000000000001</v>
      </c>
      <c r="J286" s="228">
        <v>207.17</v>
      </c>
      <c r="K286" s="229"/>
      <c r="L286" s="338" t="s">
        <v>276</v>
      </c>
      <c r="M286" s="194">
        <v>5</v>
      </c>
      <c r="N286" s="244" t="s">
        <v>1071</v>
      </c>
      <c r="O286" s="218" t="s">
        <v>283</v>
      </c>
      <c r="P286" s="219" t="s">
        <v>89</v>
      </c>
      <c r="Q286" s="220">
        <v>45586</v>
      </c>
      <c r="R286" s="221" t="s">
        <v>1072</v>
      </c>
      <c r="S286" s="222">
        <v>279424311</v>
      </c>
      <c r="T286" s="218" t="s">
        <v>1073</v>
      </c>
      <c r="U286" s="227" t="s">
        <v>1074</v>
      </c>
      <c r="V286" s="225">
        <v>1</v>
      </c>
      <c r="W286" s="225">
        <v>0</v>
      </c>
      <c r="X286" s="225">
        <v>0</v>
      </c>
      <c r="Y286" s="225">
        <v>0</v>
      </c>
      <c r="Z286" s="226">
        <v>1008562245</v>
      </c>
      <c r="AA286" s="211"/>
      <c r="AB286" s="211"/>
      <c r="AC286" s="190"/>
      <c r="AD286" s="70"/>
    </row>
    <row r="287" spans="1:30" ht="22.35" customHeight="1">
      <c r="A287" s="190" t="s">
        <v>8</v>
      </c>
      <c r="B287" s="215" t="s">
        <v>88</v>
      </c>
      <c r="C287" s="1341">
        <v>45582</v>
      </c>
      <c r="D287" s="216">
        <v>6</v>
      </c>
      <c r="E287" s="214">
        <v>451.31</v>
      </c>
      <c r="F287" s="246">
        <v>2707.87</v>
      </c>
      <c r="G287" s="214">
        <v>90</v>
      </c>
      <c r="H287" s="214">
        <v>83.16</v>
      </c>
      <c r="I287" s="214">
        <v>517.37</v>
      </c>
      <c r="J287" s="217">
        <v>1709.47</v>
      </c>
      <c r="K287" s="214"/>
      <c r="L287" s="339" t="s">
        <v>276</v>
      </c>
      <c r="M287" s="194">
        <v>5</v>
      </c>
      <c r="N287" s="244" t="s">
        <v>90</v>
      </c>
      <c r="O287" s="218" t="s">
        <v>283</v>
      </c>
      <c r="P287" s="219" t="s">
        <v>89</v>
      </c>
      <c r="Q287" s="220">
        <v>45371</v>
      </c>
      <c r="R287" s="221" t="s">
        <v>91</v>
      </c>
      <c r="S287" s="222">
        <v>147861173</v>
      </c>
      <c r="T287" s="223" t="s">
        <v>92</v>
      </c>
      <c r="U287" s="227" t="s">
        <v>93</v>
      </c>
      <c r="V287" s="225">
        <v>3</v>
      </c>
      <c r="W287" s="225">
        <v>0</v>
      </c>
      <c r="X287" s="225">
        <v>0</v>
      </c>
      <c r="Y287" s="225">
        <v>0</v>
      </c>
      <c r="Z287" s="226">
        <v>897968657</v>
      </c>
      <c r="AA287" s="211">
        <v>211</v>
      </c>
      <c r="AB287" s="212" t="s">
        <v>948</v>
      </c>
      <c r="AC287" s="190" t="s">
        <v>940</v>
      </c>
      <c r="AD287" s="70"/>
    </row>
    <row r="288" spans="1:30" ht="22.35" customHeight="1">
      <c r="A288" s="190" t="s">
        <v>10</v>
      </c>
      <c r="B288" s="215" t="s">
        <v>23</v>
      </c>
      <c r="C288" s="1341">
        <v>45582</v>
      </c>
      <c r="D288" s="216">
        <v>7</v>
      </c>
      <c r="E288" s="214">
        <v>264.95999999999998</v>
      </c>
      <c r="F288" s="246">
        <v>1854.72</v>
      </c>
      <c r="G288" s="214">
        <v>70</v>
      </c>
      <c r="H288" s="214">
        <v>430.74</v>
      </c>
      <c r="I288" s="214">
        <v>340.8</v>
      </c>
      <c r="J288" s="217">
        <v>1083.18</v>
      </c>
      <c r="K288" s="214"/>
      <c r="L288" s="339" t="s">
        <v>276</v>
      </c>
      <c r="M288" s="194">
        <v>10</v>
      </c>
      <c r="N288" s="244" t="s">
        <v>757</v>
      </c>
      <c r="O288" s="218" t="s">
        <v>283</v>
      </c>
      <c r="P288" s="219"/>
      <c r="Q288" s="220">
        <v>45425</v>
      </c>
      <c r="R288" s="221" t="s">
        <v>756</v>
      </c>
      <c r="S288" s="222"/>
      <c r="T288" s="223"/>
      <c r="U288" s="224"/>
      <c r="V288" s="225"/>
      <c r="W288" s="225"/>
      <c r="X288" s="225"/>
      <c r="Y288" s="225"/>
      <c r="Z288" s="226"/>
      <c r="AA288" s="211">
        <v>157</v>
      </c>
      <c r="AB288" s="212" t="s">
        <v>948</v>
      </c>
      <c r="AC288" s="190" t="s">
        <v>942</v>
      </c>
      <c r="AD288" s="70"/>
    </row>
    <row r="289" spans="1:30" ht="22.35" customHeight="1">
      <c r="A289" s="190" t="s">
        <v>10</v>
      </c>
      <c r="B289" s="215" t="s">
        <v>23</v>
      </c>
      <c r="C289" s="1341">
        <v>45579</v>
      </c>
      <c r="D289" s="216">
        <v>3</v>
      </c>
      <c r="E289" s="214">
        <v>351.5</v>
      </c>
      <c r="F289" s="246">
        <v>1054.5</v>
      </c>
      <c r="G289" s="214">
        <v>70</v>
      </c>
      <c r="H289" s="214">
        <v>248.01</v>
      </c>
      <c r="I289" s="214">
        <v>217.3</v>
      </c>
      <c r="J289" s="217">
        <v>589.19000000000005</v>
      </c>
      <c r="K289" s="214"/>
      <c r="L289" s="209" t="s">
        <v>276</v>
      </c>
      <c r="M289" s="194"/>
      <c r="N289" s="244" t="s">
        <v>1015</v>
      </c>
      <c r="O289" s="223" t="s">
        <v>283</v>
      </c>
      <c r="P289" s="219"/>
      <c r="Q289" s="220">
        <v>45571</v>
      </c>
      <c r="R289" s="221" t="s">
        <v>1014</v>
      </c>
      <c r="S289" s="222"/>
      <c r="T289" s="223"/>
      <c r="U289" s="224"/>
      <c r="V289" s="225"/>
      <c r="W289" s="225"/>
      <c r="X289" s="225"/>
      <c r="Y289" s="225"/>
      <c r="Z289" s="226"/>
      <c r="AA289" s="211"/>
      <c r="AB289" s="211"/>
      <c r="AC289" s="214"/>
      <c r="AD289" s="70"/>
    </row>
    <row r="290" spans="1:30" ht="22.35" customHeight="1">
      <c r="A290" s="190" t="s">
        <v>8</v>
      </c>
      <c r="B290" s="215" t="s">
        <v>88</v>
      </c>
      <c r="C290" s="1341">
        <v>45578</v>
      </c>
      <c r="D290" s="216">
        <v>4</v>
      </c>
      <c r="E290" s="214">
        <v>311.16000000000003</v>
      </c>
      <c r="F290" s="246">
        <v>1244.6400000000001</v>
      </c>
      <c r="G290" s="214">
        <v>90</v>
      </c>
      <c r="H290" s="214">
        <v>37.880000000000003</v>
      </c>
      <c r="I290" s="214">
        <v>275.05</v>
      </c>
      <c r="J290" s="217">
        <v>739.29</v>
      </c>
      <c r="K290" s="214"/>
      <c r="L290" s="209" t="s">
        <v>276</v>
      </c>
      <c r="M290" s="194">
        <v>5</v>
      </c>
      <c r="N290" s="244" t="s">
        <v>1005</v>
      </c>
      <c r="O290" s="218" t="s">
        <v>283</v>
      </c>
      <c r="P290" s="219" t="s">
        <v>89</v>
      </c>
      <c r="Q290" s="220">
        <v>45557</v>
      </c>
      <c r="R290" s="221" t="s">
        <v>1006</v>
      </c>
      <c r="S290" s="222">
        <v>88709702</v>
      </c>
      <c r="T290" s="223" t="s">
        <v>1007</v>
      </c>
      <c r="U290" s="227" t="s">
        <v>1008</v>
      </c>
      <c r="V290" s="225">
        <v>3</v>
      </c>
      <c r="W290" s="225">
        <v>0</v>
      </c>
      <c r="X290" s="225">
        <v>0</v>
      </c>
      <c r="Y290" s="225">
        <v>0</v>
      </c>
      <c r="Z290" s="226">
        <v>994643531</v>
      </c>
      <c r="AA290" s="211"/>
      <c r="AB290" s="211"/>
      <c r="AC290" s="214"/>
      <c r="AD290" s="70"/>
    </row>
    <row r="291" spans="1:30" ht="22.35" customHeight="1">
      <c r="A291" s="190" t="s">
        <v>10</v>
      </c>
      <c r="B291" s="215" t="s">
        <v>88</v>
      </c>
      <c r="C291" s="1341">
        <v>45576</v>
      </c>
      <c r="D291" s="216">
        <v>3</v>
      </c>
      <c r="E291" s="214">
        <v>286.55</v>
      </c>
      <c r="F291" s="246">
        <v>859.65</v>
      </c>
      <c r="G291" s="214">
        <v>70</v>
      </c>
      <c r="H291" s="214">
        <v>26.5</v>
      </c>
      <c r="I291" s="214">
        <v>198.01</v>
      </c>
      <c r="J291" s="217">
        <v>511.6</v>
      </c>
      <c r="K291" s="214"/>
      <c r="L291" s="209" t="s">
        <v>276</v>
      </c>
      <c r="M291" s="194">
        <v>5</v>
      </c>
      <c r="N291" s="244" t="s">
        <v>1001</v>
      </c>
      <c r="O291" s="218" t="s">
        <v>283</v>
      </c>
      <c r="P291" s="219" t="s">
        <v>97</v>
      </c>
      <c r="Q291" s="220">
        <v>45555</v>
      </c>
      <c r="R291" s="221" t="s">
        <v>1002</v>
      </c>
      <c r="S291" s="222">
        <v>563796334</v>
      </c>
      <c r="T291" s="223" t="s">
        <v>1003</v>
      </c>
      <c r="U291" s="227" t="s">
        <v>1004</v>
      </c>
      <c r="V291" s="225">
        <v>3</v>
      </c>
      <c r="W291" s="225">
        <v>0</v>
      </c>
      <c r="X291" s="225">
        <v>0</v>
      </c>
      <c r="Y291" s="225">
        <v>0</v>
      </c>
      <c r="Z291" s="226">
        <v>993966691</v>
      </c>
      <c r="AA291" s="211"/>
      <c r="AB291" s="211"/>
      <c r="AC291" s="214"/>
      <c r="AD291" s="70"/>
    </row>
    <row r="292" spans="1:30" ht="22.35" customHeight="1">
      <c r="A292" s="190" t="s">
        <v>15</v>
      </c>
      <c r="B292" s="215" t="s">
        <v>88</v>
      </c>
      <c r="C292" s="1341">
        <v>45575</v>
      </c>
      <c r="D292" s="216">
        <v>40</v>
      </c>
      <c r="E292" s="214">
        <v>77.290000000000006</v>
      </c>
      <c r="F292" s="246">
        <v>3091.55</v>
      </c>
      <c r="G292" s="214">
        <v>0</v>
      </c>
      <c r="H292" s="214">
        <v>98.64</v>
      </c>
      <c r="I292" s="214">
        <v>0</v>
      </c>
      <c r="J292" s="217">
        <v>2641.36</v>
      </c>
      <c r="K292" s="214"/>
      <c r="L292" s="209" t="s">
        <v>276</v>
      </c>
      <c r="M292" s="194">
        <v>5</v>
      </c>
      <c r="N292" s="244" t="s">
        <v>774</v>
      </c>
      <c r="O292" s="218" t="s">
        <v>283</v>
      </c>
      <c r="P292" s="219" t="s">
        <v>114</v>
      </c>
      <c r="Q292" s="220">
        <v>45438</v>
      </c>
      <c r="R292" s="221" t="s">
        <v>775</v>
      </c>
      <c r="S292" s="222">
        <v>5309117</v>
      </c>
      <c r="T292" s="223" t="s">
        <v>776</v>
      </c>
      <c r="U292" s="227" t="s">
        <v>810</v>
      </c>
      <c r="V292" s="225">
        <v>3</v>
      </c>
      <c r="W292" s="225">
        <v>0</v>
      </c>
      <c r="X292" s="225">
        <v>0</v>
      </c>
      <c r="Y292" s="225">
        <v>0</v>
      </c>
      <c r="Z292" s="226">
        <v>932578130</v>
      </c>
      <c r="AA292" s="211">
        <v>137</v>
      </c>
      <c r="AB292" s="212" t="s">
        <v>948</v>
      </c>
      <c r="AC292" s="190" t="s">
        <v>942</v>
      </c>
      <c r="AD292" s="70"/>
    </row>
    <row r="293" spans="1:30" ht="22.35" customHeight="1">
      <c r="A293" s="190" t="s">
        <v>8</v>
      </c>
      <c r="B293" s="215" t="s">
        <v>23</v>
      </c>
      <c r="C293" s="1341">
        <v>45574</v>
      </c>
      <c r="D293" s="216">
        <v>3</v>
      </c>
      <c r="E293" s="214">
        <v>413.1</v>
      </c>
      <c r="F293" s="246" t="s">
        <v>2075</v>
      </c>
      <c r="G293" s="214">
        <v>90</v>
      </c>
      <c r="H293" s="214">
        <v>288.25</v>
      </c>
      <c r="I293" s="214">
        <v>262.20999999999998</v>
      </c>
      <c r="J293" s="217">
        <v>688.84</v>
      </c>
      <c r="K293" s="214"/>
      <c r="L293" s="209" t="s">
        <v>276</v>
      </c>
      <c r="M293" s="194">
        <v>10</v>
      </c>
      <c r="N293" s="244" t="s">
        <v>768</v>
      </c>
      <c r="O293" s="223" t="s">
        <v>283</v>
      </c>
      <c r="P293" s="219"/>
      <c r="Q293" s="220">
        <v>45428</v>
      </c>
      <c r="R293" s="329" t="s">
        <v>2074</v>
      </c>
      <c r="S293" s="222"/>
      <c r="T293" s="223"/>
      <c r="U293" s="224"/>
      <c r="V293" s="225"/>
      <c r="W293" s="225"/>
      <c r="X293" s="225"/>
      <c r="Y293" s="225"/>
      <c r="Z293" s="226"/>
      <c r="AA293" s="211">
        <v>146</v>
      </c>
      <c r="AB293" s="212" t="s">
        <v>948</v>
      </c>
      <c r="AC293" s="190" t="s">
        <v>942</v>
      </c>
      <c r="AD293" s="70"/>
    </row>
    <row r="294" spans="1:30" ht="22.35" customHeight="1">
      <c r="A294" s="190" t="s">
        <v>8</v>
      </c>
      <c r="B294" s="215" t="s">
        <v>23</v>
      </c>
      <c r="C294" s="1341">
        <v>45566</v>
      </c>
      <c r="D294" s="216">
        <v>7</v>
      </c>
      <c r="E294" s="214">
        <v>258.37</v>
      </c>
      <c r="F294" s="246">
        <v>1808.58</v>
      </c>
      <c r="G294" s="214">
        <v>90</v>
      </c>
      <c r="H294" s="214">
        <v>328.12</v>
      </c>
      <c r="I294" s="214">
        <v>368.09</v>
      </c>
      <c r="J294" s="217">
        <v>1112.3699999999999</v>
      </c>
      <c r="K294" s="214"/>
      <c r="L294" s="209" t="s">
        <v>276</v>
      </c>
      <c r="M294" s="194">
        <v>8</v>
      </c>
      <c r="N294" s="244" t="s">
        <v>94</v>
      </c>
      <c r="O294" s="218" t="s">
        <v>283</v>
      </c>
      <c r="P294" s="219"/>
      <c r="Q294" s="220">
        <v>45245</v>
      </c>
      <c r="R294" s="221" t="s">
        <v>95</v>
      </c>
      <c r="S294" s="222"/>
      <c r="T294" s="223"/>
      <c r="U294" s="224"/>
      <c r="V294" s="225"/>
      <c r="W294" s="225"/>
      <c r="X294" s="225"/>
      <c r="Y294" s="225"/>
      <c r="Z294" s="226"/>
      <c r="AA294" s="211">
        <v>321</v>
      </c>
      <c r="AB294" s="212" t="s">
        <v>948</v>
      </c>
      <c r="AC294" s="190" t="s">
        <v>940</v>
      </c>
      <c r="AD294" s="70"/>
    </row>
    <row r="295" spans="1:30" ht="22.35" customHeight="1">
      <c r="A295" s="190" t="s">
        <v>10</v>
      </c>
      <c r="B295" s="215" t="s">
        <v>88</v>
      </c>
      <c r="C295" s="1341">
        <v>45565</v>
      </c>
      <c r="D295" s="216">
        <v>11</v>
      </c>
      <c r="E295" s="214">
        <v>284.57</v>
      </c>
      <c r="F295" s="246">
        <v>3130.25</v>
      </c>
      <c r="G295" s="214">
        <v>70</v>
      </c>
      <c r="H295" s="214">
        <v>98.75</v>
      </c>
      <c r="I295" s="214">
        <v>584.91</v>
      </c>
      <c r="J295" s="217">
        <v>2059.4</v>
      </c>
      <c r="K295" s="214"/>
      <c r="L295" s="209" t="s">
        <v>276</v>
      </c>
      <c r="M295" s="194">
        <v>5</v>
      </c>
      <c r="N295" s="244" t="s">
        <v>96</v>
      </c>
      <c r="O295" s="218" t="s">
        <v>283</v>
      </c>
      <c r="P295" s="219" t="s">
        <v>97</v>
      </c>
      <c r="Q295" s="220">
        <v>45328</v>
      </c>
      <c r="R295" s="221" t="s">
        <v>98</v>
      </c>
      <c r="S295" s="222">
        <v>117137822</v>
      </c>
      <c r="T295" s="218" t="s">
        <v>99</v>
      </c>
      <c r="U295" s="227" t="s">
        <v>100</v>
      </c>
      <c r="V295" s="225">
        <v>2</v>
      </c>
      <c r="W295" s="225">
        <v>0</v>
      </c>
      <c r="X295" s="225">
        <v>0</v>
      </c>
      <c r="Y295" s="225">
        <v>0</v>
      </c>
      <c r="Z295" s="226">
        <v>875941499</v>
      </c>
      <c r="AA295" s="211">
        <v>237</v>
      </c>
      <c r="AB295" s="212" t="s">
        <v>949</v>
      </c>
      <c r="AC295" s="190" t="s">
        <v>940</v>
      </c>
      <c r="AD295" s="70"/>
    </row>
    <row r="296" spans="1:30" ht="22.35" customHeight="1">
      <c r="A296" s="190" t="s">
        <v>10</v>
      </c>
      <c r="B296" s="215" t="s">
        <v>88</v>
      </c>
      <c r="C296" s="1341">
        <v>45563</v>
      </c>
      <c r="D296" s="216">
        <v>2</v>
      </c>
      <c r="E296" s="214">
        <v>246.77</v>
      </c>
      <c r="F296" s="246">
        <v>493.54</v>
      </c>
      <c r="G296" s="214">
        <v>70</v>
      </c>
      <c r="H296" s="214">
        <v>15.26</v>
      </c>
      <c r="I296" s="214">
        <v>137.63999999999999</v>
      </c>
      <c r="J296" s="217">
        <v>270.99</v>
      </c>
      <c r="K296" s="214"/>
      <c r="L296" s="209" t="s">
        <v>276</v>
      </c>
      <c r="M296" s="194">
        <v>5</v>
      </c>
      <c r="N296" s="244" t="s">
        <v>991</v>
      </c>
      <c r="O296" s="218" t="s">
        <v>283</v>
      </c>
      <c r="P296" s="219" t="s">
        <v>97</v>
      </c>
      <c r="Q296" s="220">
        <v>45550</v>
      </c>
      <c r="R296" s="221" t="s">
        <v>992</v>
      </c>
      <c r="S296" s="222">
        <v>399523714</v>
      </c>
      <c r="T296" s="223" t="s">
        <v>993</v>
      </c>
      <c r="U296" s="227" t="s">
        <v>994</v>
      </c>
      <c r="V296" s="225">
        <v>3</v>
      </c>
      <c r="W296" s="225">
        <v>0</v>
      </c>
      <c r="X296" s="225">
        <v>0</v>
      </c>
      <c r="Y296" s="225">
        <v>0</v>
      </c>
      <c r="Z296" s="226">
        <v>991525535</v>
      </c>
      <c r="AA296" s="211">
        <v>13</v>
      </c>
      <c r="AB296" s="212" t="s">
        <v>949</v>
      </c>
      <c r="AC296" s="190" t="s">
        <v>939</v>
      </c>
      <c r="AD296" s="70"/>
    </row>
    <row r="297" spans="1:30" ht="22.35" customHeight="1">
      <c r="A297" s="190" t="s">
        <v>8</v>
      </c>
      <c r="B297" s="215" t="s">
        <v>23</v>
      </c>
      <c r="C297" s="1341">
        <v>45562</v>
      </c>
      <c r="D297" s="216">
        <v>3</v>
      </c>
      <c r="E297" s="214">
        <v>478.8</v>
      </c>
      <c r="F297" s="246">
        <v>1436.4</v>
      </c>
      <c r="G297" s="214">
        <v>90</v>
      </c>
      <c r="H297" s="214">
        <v>334.28</v>
      </c>
      <c r="I297" s="214">
        <v>292.42</v>
      </c>
      <c r="J297" s="217">
        <v>809.7</v>
      </c>
      <c r="K297" s="214"/>
      <c r="L297" s="209" t="s">
        <v>276</v>
      </c>
      <c r="M297" s="194">
        <v>9</v>
      </c>
      <c r="N297" s="244" t="s">
        <v>843</v>
      </c>
      <c r="O297" s="218" t="s">
        <v>283</v>
      </c>
      <c r="P297" s="219"/>
      <c r="Q297" s="220">
        <v>45482</v>
      </c>
      <c r="R297" s="221" t="s">
        <v>842</v>
      </c>
      <c r="S297" s="222"/>
      <c r="T297" s="223"/>
      <c r="U297" s="224"/>
      <c r="V297" s="225"/>
      <c r="W297" s="225"/>
      <c r="X297" s="225"/>
      <c r="Y297" s="225"/>
      <c r="Z297" s="226"/>
      <c r="AA297" s="211">
        <v>80</v>
      </c>
      <c r="AB297" s="212" t="s">
        <v>949</v>
      </c>
      <c r="AC297" s="190" t="s">
        <v>943</v>
      </c>
      <c r="AD297" s="70"/>
    </row>
    <row r="298" spans="1:30" ht="22.35" customHeight="1">
      <c r="A298" s="190" t="s">
        <v>8</v>
      </c>
      <c r="B298" s="215" t="s">
        <v>88</v>
      </c>
      <c r="C298" s="1341">
        <v>45559</v>
      </c>
      <c r="D298" s="216">
        <v>3</v>
      </c>
      <c r="E298" s="214">
        <v>456.47</v>
      </c>
      <c r="F298" s="246">
        <v>1369.41</v>
      </c>
      <c r="G298" s="214">
        <v>90</v>
      </c>
      <c r="H298" s="214">
        <v>43.2</v>
      </c>
      <c r="I298" s="214">
        <v>303.36</v>
      </c>
      <c r="J298" s="217">
        <v>853.44</v>
      </c>
      <c r="K298" s="214"/>
      <c r="L298" s="209" t="s">
        <v>276</v>
      </c>
      <c r="M298" s="194"/>
      <c r="N298" s="244" t="s">
        <v>101</v>
      </c>
      <c r="O298" s="218" t="s">
        <v>283</v>
      </c>
      <c r="P298" s="219" t="s">
        <v>89</v>
      </c>
      <c r="Q298" s="220">
        <v>45375</v>
      </c>
      <c r="R298" s="221" t="s">
        <v>102</v>
      </c>
      <c r="S298" s="222">
        <v>122245016</v>
      </c>
      <c r="T298" s="218" t="s">
        <v>103</v>
      </c>
      <c r="U298" s="227" t="s">
        <v>104</v>
      </c>
      <c r="V298" s="225">
        <v>4</v>
      </c>
      <c r="W298" s="225">
        <v>0</v>
      </c>
      <c r="X298" s="225">
        <v>0</v>
      </c>
      <c r="Y298" s="225">
        <v>0</v>
      </c>
      <c r="Z298" s="226">
        <v>899971017</v>
      </c>
      <c r="AA298" s="211">
        <v>184</v>
      </c>
      <c r="AB298" s="212" t="s">
        <v>949</v>
      </c>
      <c r="AC298" s="190" t="s">
        <v>940</v>
      </c>
      <c r="AD298" s="70"/>
    </row>
    <row r="299" spans="1:30" ht="22.35" customHeight="1">
      <c r="A299" s="190" t="s">
        <v>10</v>
      </c>
      <c r="B299" s="215" t="s">
        <v>88</v>
      </c>
      <c r="C299" s="1341">
        <v>45558</v>
      </c>
      <c r="D299" s="216">
        <v>5</v>
      </c>
      <c r="E299" s="214">
        <v>202.86</v>
      </c>
      <c r="F299" s="246">
        <v>1014.28</v>
      </c>
      <c r="G299" s="214">
        <v>70</v>
      </c>
      <c r="H299" s="214">
        <v>31.68</v>
      </c>
      <c r="I299" s="214">
        <v>225.66</v>
      </c>
      <c r="J299" s="217">
        <v>622.66</v>
      </c>
      <c r="K299" s="214"/>
      <c r="L299" s="209" t="s">
        <v>276</v>
      </c>
      <c r="M299" s="194">
        <v>4</v>
      </c>
      <c r="N299" s="244" t="s">
        <v>908</v>
      </c>
      <c r="O299" s="218" t="s">
        <v>283</v>
      </c>
      <c r="P299" s="219" t="s">
        <v>97</v>
      </c>
      <c r="Q299" s="220">
        <v>45534</v>
      </c>
      <c r="R299" s="221" t="s">
        <v>909</v>
      </c>
      <c r="S299" s="222">
        <v>1406627</v>
      </c>
      <c r="T299" s="218" t="s">
        <v>910</v>
      </c>
      <c r="U299" s="227" t="s">
        <v>127</v>
      </c>
      <c r="V299" s="225">
        <v>2</v>
      </c>
      <c r="W299" s="225">
        <v>0</v>
      </c>
      <c r="X299" s="225">
        <v>0</v>
      </c>
      <c r="Y299" s="225">
        <v>0</v>
      </c>
      <c r="Z299" s="226">
        <v>983665918</v>
      </c>
      <c r="AA299" s="211">
        <v>24</v>
      </c>
      <c r="AB299" s="212" t="s">
        <v>949</v>
      </c>
      <c r="AC299" s="190" t="s">
        <v>939</v>
      </c>
      <c r="AD299" s="70"/>
    </row>
    <row r="300" spans="1:30" ht="22.35" customHeight="1">
      <c r="A300" s="190" t="s">
        <v>8</v>
      </c>
      <c r="B300" s="215" t="s">
        <v>88</v>
      </c>
      <c r="C300" s="1341">
        <v>45556</v>
      </c>
      <c r="D300" s="216">
        <v>3</v>
      </c>
      <c r="E300" s="214">
        <v>290.45</v>
      </c>
      <c r="F300" s="246">
        <v>871.36</v>
      </c>
      <c r="G300" s="214">
        <v>90</v>
      </c>
      <c r="H300" s="214">
        <v>27.21</v>
      </c>
      <c r="I300" s="214">
        <v>217.58</v>
      </c>
      <c r="J300" s="217">
        <v>511.04</v>
      </c>
      <c r="K300" s="214"/>
      <c r="L300" s="209" t="s">
        <v>276</v>
      </c>
      <c r="M300" s="194">
        <v>5</v>
      </c>
      <c r="N300" s="244" t="s">
        <v>917</v>
      </c>
      <c r="O300" s="218" t="s">
        <v>283</v>
      </c>
      <c r="P300" s="219" t="s">
        <v>89</v>
      </c>
      <c r="Q300" s="220">
        <v>45539</v>
      </c>
      <c r="R300" s="221" t="s">
        <v>918</v>
      </c>
      <c r="S300" s="222">
        <v>594868885</v>
      </c>
      <c r="T300" s="218" t="s">
        <v>919</v>
      </c>
      <c r="U300" s="227" t="s">
        <v>920</v>
      </c>
      <c r="V300" s="225">
        <v>3</v>
      </c>
      <c r="W300" s="225">
        <v>1</v>
      </c>
      <c r="X300" s="225">
        <v>0</v>
      </c>
      <c r="Y300" s="225">
        <v>0</v>
      </c>
      <c r="Z300" s="226">
        <v>985793380</v>
      </c>
      <c r="AA300" s="211">
        <v>17</v>
      </c>
      <c r="AB300" s="212" t="s">
        <v>949</v>
      </c>
      <c r="AC300" s="190" t="s">
        <v>939</v>
      </c>
      <c r="AD300" s="70"/>
    </row>
    <row r="301" spans="1:30" ht="22.35" customHeight="1">
      <c r="A301" s="190" t="s">
        <v>10</v>
      </c>
      <c r="B301" s="215" t="s">
        <v>88</v>
      </c>
      <c r="C301" s="1341">
        <v>45555</v>
      </c>
      <c r="D301" s="216">
        <v>3</v>
      </c>
      <c r="E301" s="214">
        <v>215.53</v>
      </c>
      <c r="F301" s="246">
        <v>646.6</v>
      </c>
      <c r="G301" s="214">
        <v>70</v>
      </c>
      <c r="H301" s="214">
        <v>20.190000000000001</v>
      </c>
      <c r="I301" s="214">
        <v>163.99</v>
      </c>
      <c r="J301" s="217">
        <v>376.65</v>
      </c>
      <c r="K301" s="214"/>
      <c r="L301" s="209" t="s">
        <v>276</v>
      </c>
      <c r="M301" s="194">
        <v>4</v>
      </c>
      <c r="N301" s="244" t="s">
        <v>922</v>
      </c>
      <c r="O301" s="218" t="s">
        <v>283</v>
      </c>
      <c r="P301" s="219" t="s">
        <v>97</v>
      </c>
      <c r="Q301" s="220">
        <v>45543</v>
      </c>
      <c r="R301" s="221" t="s">
        <v>923</v>
      </c>
      <c r="S301" s="222">
        <v>88586527</v>
      </c>
      <c r="T301" s="218" t="s">
        <v>924</v>
      </c>
      <c r="U301" s="227" t="s">
        <v>925</v>
      </c>
      <c r="V301" s="225">
        <v>2</v>
      </c>
      <c r="W301" s="225">
        <v>1</v>
      </c>
      <c r="X301" s="225">
        <v>0</v>
      </c>
      <c r="Y301" s="225">
        <v>0</v>
      </c>
      <c r="Z301" s="226">
        <v>988162836</v>
      </c>
      <c r="AA301" s="211">
        <v>12</v>
      </c>
      <c r="AB301" s="212" t="s">
        <v>949</v>
      </c>
      <c r="AC301" s="190" t="s">
        <v>939</v>
      </c>
      <c r="AD301" s="70"/>
    </row>
    <row r="302" spans="1:30" ht="22.35" customHeight="1">
      <c r="A302" s="190" t="s">
        <v>8</v>
      </c>
      <c r="B302" s="215" t="s">
        <v>88</v>
      </c>
      <c r="C302" s="1341">
        <v>45551</v>
      </c>
      <c r="D302" s="216">
        <v>5</v>
      </c>
      <c r="E302" s="214">
        <v>276.62</v>
      </c>
      <c r="F302" s="246">
        <v>1383.1</v>
      </c>
      <c r="G302" s="214">
        <v>90</v>
      </c>
      <c r="H302" s="214">
        <v>43.2</v>
      </c>
      <c r="I302" s="214">
        <v>303.36</v>
      </c>
      <c r="J302" s="217">
        <v>853.44</v>
      </c>
      <c r="K302" s="214"/>
      <c r="L302" s="209" t="s">
        <v>276</v>
      </c>
      <c r="M302" s="194">
        <v>5</v>
      </c>
      <c r="N302" s="244" t="s">
        <v>914</v>
      </c>
      <c r="O302" s="218" t="s">
        <v>283</v>
      </c>
      <c r="P302" s="219" t="s">
        <v>89</v>
      </c>
      <c r="Q302" s="220">
        <v>45535</v>
      </c>
      <c r="R302" s="221" t="s">
        <v>915</v>
      </c>
      <c r="S302" s="222">
        <v>554055917</v>
      </c>
      <c r="T302" s="218" t="s">
        <v>916</v>
      </c>
      <c r="U302" s="227" t="s">
        <v>36</v>
      </c>
      <c r="V302" s="225">
        <v>4</v>
      </c>
      <c r="W302" s="225">
        <v>0</v>
      </c>
      <c r="X302" s="225">
        <v>0</v>
      </c>
      <c r="Y302" s="225">
        <v>0</v>
      </c>
      <c r="Z302" s="226">
        <v>984120802</v>
      </c>
      <c r="AA302" s="211">
        <v>16</v>
      </c>
      <c r="AB302" s="212" t="s">
        <v>949</v>
      </c>
      <c r="AC302" s="190" t="s">
        <v>939</v>
      </c>
      <c r="AD302" s="70"/>
    </row>
    <row r="303" spans="1:30" ht="22.35" customHeight="1">
      <c r="A303" s="190" t="s">
        <v>10</v>
      </c>
      <c r="B303" s="215" t="s">
        <v>23</v>
      </c>
      <c r="C303" s="1341">
        <v>45550</v>
      </c>
      <c r="D303" s="216">
        <v>5</v>
      </c>
      <c r="E303" s="214">
        <v>314.45</v>
      </c>
      <c r="F303" s="246">
        <v>1572.25</v>
      </c>
      <c r="G303" s="214">
        <v>70</v>
      </c>
      <c r="H303" s="214">
        <v>364.83</v>
      </c>
      <c r="I303" s="214">
        <v>297.48</v>
      </c>
      <c r="J303" s="217">
        <v>909.94</v>
      </c>
      <c r="K303" s="214"/>
      <c r="L303" s="209" t="s">
        <v>276</v>
      </c>
      <c r="M303" s="194">
        <v>8</v>
      </c>
      <c r="N303" s="244" t="s">
        <v>856</v>
      </c>
      <c r="O303" s="223" t="s">
        <v>283</v>
      </c>
      <c r="P303" s="219"/>
      <c r="Q303" s="220">
        <v>45491</v>
      </c>
      <c r="R303" s="221" t="s">
        <v>855</v>
      </c>
      <c r="S303" s="222"/>
      <c r="T303" s="223"/>
      <c r="U303" s="224"/>
      <c r="V303" s="225"/>
      <c r="W303" s="225"/>
      <c r="X303" s="225"/>
      <c r="Y303" s="225"/>
      <c r="Z303" s="226"/>
      <c r="AA303" s="211">
        <v>59</v>
      </c>
      <c r="AB303" s="212" t="s">
        <v>949</v>
      </c>
      <c r="AC303" s="190" t="s">
        <v>941</v>
      </c>
      <c r="AD303" s="70"/>
    </row>
    <row r="304" spans="1:30" ht="22.35" customHeight="1">
      <c r="A304" s="190" t="s">
        <v>8</v>
      </c>
      <c r="B304" s="215" t="s">
        <v>88</v>
      </c>
      <c r="C304" s="1341">
        <v>45546</v>
      </c>
      <c r="D304" s="216">
        <v>5</v>
      </c>
      <c r="E304" s="214">
        <v>448.25</v>
      </c>
      <c r="F304" s="246">
        <v>2241.27</v>
      </c>
      <c r="G304" s="214">
        <v>90</v>
      </c>
      <c r="H304" s="214">
        <v>69.84</v>
      </c>
      <c r="I304" s="214">
        <v>446.03</v>
      </c>
      <c r="J304" s="217">
        <v>1424.13</v>
      </c>
      <c r="K304" s="214"/>
      <c r="L304" s="209" t="s">
        <v>276</v>
      </c>
      <c r="M304" s="194">
        <v>5</v>
      </c>
      <c r="N304" s="244" t="s">
        <v>109</v>
      </c>
      <c r="O304" s="218" t="s">
        <v>283</v>
      </c>
      <c r="P304" s="219" t="s">
        <v>89</v>
      </c>
      <c r="Q304" s="220">
        <v>45322</v>
      </c>
      <c r="R304" s="221" t="s">
        <v>110</v>
      </c>
      <c r="S304" s="222">
        <v>57717</v>
      </c>
      <c r="T304" s="223" t="s">
        <v>111</v>
      </c>
      <c r="U304" s="227" t="s">
        <v>112</v>
      </c>
      <c r="V304" s="225">
        <v>2</v>
      </c>
      <c r="W304" s="225">
        <v>2</v>
      </c>
      <c r="X304" s="225">
        <v>0</v>
      </c>
      <c r="Y304" s="225">
        <v>0</v>
      </c>
      <c r="Z304" s="226">
        <v>872559453</v>
      </c>
      <c r="AA304" s="211">
        <v>224</v>
      </c>
      <c r="AB304" s="212" t="s">
        <v>949</v>
      </c>
      <c r="AC304" s="190" t="s">
        <v>940</v>
      </c>
      <c r="AD304" s="70"/>
    </row>
    <row r="305" spans="1:30" ht="22.35" customHeight="1">
      <c r="A305" s="190" t="s">
        <v>15</v>
      </c>
      <c r="B305" s="215" t="s">
        <v>88</v>
      </c>
      <c r="C305" s="1341">
        <v>45545</v>
      </c>
      <c r="D305" s="216">
        <v>30</v>
      </c>
      <c r="E305" s="214">
        <v>94.58</v>
      </c>
      <c r="F305" s="246">
        <v>2837.34</v>
      </c>
      <c r="G305" s="214">
        <v>0</v>
      </c>
      <c r="H305" s="214">
        <v>92.34</v>
      </c>
      <c r="I305" s="214">
        <v>0</v>
      </c>
      <c r="J305" s="217">
        <v>2472.66</v>
      </c>
      <c r="K305" s="214"/>
      <c r="L305" s="209" t="s">
        <v>276</v>
      </c>
      <c r="M305" s="194">
        <v>5</v>
      </c>
      <c r="N305" s="244" t="s">
        <v>113</v>
      </c>
      <c r="O305" s="218" t="s">
        <v>283</v>
      </c>
      <c r="P305" s="219" t="s">
        <v>114</v>
      </c>
      <c r="Q305" s="220">
        <v>45305</v>
      </c>
      <c r="R305" s="221" t="s">
        <v>115</v>
      </c>
      <c r="S305" s="222">
        <v>2790575</v>
      </c>
      <c r="T305" s="218" t="s">
        <v>116</v>
      </c>
      <c r="U305" s="227" t="s">
        <v>117</v>
      </c>
      <c r="V305" s="225">
        <v>2</v>
      </c>
      <c r="W305" s="225">
        <v>0</v>
      </c>
      <c r="X305" s="225">
        <v>0</v>
      </c>
      <c r="Y305" s="225">
        <v>0</v>
      </c>
      <c r="Z305" s="226">
        <v>864282779</v>
      </c>
      <c r="AA305" s="211">
        <v>240</v>
      </c>
      <c r="AB305" s="212" t="s">
        <v>949</v>
      </c>
      <c r="AC305" s="190" t="s">
        <v>940</v>
      </c>
      <c r="AD305" s="70"/>
    </row>
    <row r="306" spans="1:30" ht="22.35" customHeight="1">
      <c r="A306" s="190" t="s">
        <v>18</v>
      </c>
      <c r="B306" s="215" t="s">
        <v>88</v>
      </c>
      <c r="C306" s="1341">
        <v>45545</v>
      </c>
      <c r="D306" s="216">
        <v>180</v>
      </c>
      <c r="E306" s="214">
        <v>58.17</v>
      </c>
      <c r="F306" s="246">
        <v>10470.94</v>
      </c>
      <c r="G306" s="214">
        <v>75</v>
      </c>
      <c r="H306" s="214">
        <v>351.43</v>
      </c>
      <c r="I306" s="214"/>
      <c r="J306" s="217">
        <v>9409.57</v>
      </c>
      <c r="K306" s="214"/>
      <c r="L306" s="209" t="s">
        <v>276</v>
      </c>
      <c r="M306" s="194"/>
      <c r="N306" s="244" t="s">
        <v>105</v>
      </c>
      <c r="O306" s="218" t="s">
        <v>283</v>
      </c>
      <c r="P306" s="219" t="s">
        <v>106</v>
      </c>
      <c r="Q306" s="220">
        <v>45371</v>
      </c>
      <c r="R306" s="221" t="s">
        <v>107</v>
      </c>
      <c r="S306" s="222">
        <v>438564240</v>
      </c>
      <c r="T306" s="218" t="s">
        <v>921</v>
      </c>
      <c r="U306" s="227" t="s">
        <v>108</v>
      </c>
      <c r="V306" s="225">
        <v>2</v>
      </c>
      <c r="W306" s="225">
        <v>0</v>
      </c>
      <c r="X306" s="225">
        <v>0</v>
      </c>
      <c r="Y306" s="225">
        <v>0</v>
      </c>
      <c r="Z306" s="226">
        <v>898126112</v>
      </c>
      <c r="AA306" s="211"/>
      <c r="AB306" s="211"/>
      <c r="AC306" s="214"/>
      <c r="AD306" s="70" t="s">
        <v>2380</v>
      </c>
    </row>
    <row r="307" spans="1:30" ht="22.35" customHeight="1">
      <c r="A307" s="190" t="s">
        <v>10</v>
      </c>
      <c r="B307" s="215" t="s">
        <v>23</v>
      </c>
      <c r="C307" s="1341">
        <v>45545</v>
      </c>
      <c r="D307" s="216">
        <v>4</v>
      </c>
      <c r="E307" s="214">
        <v>314.45</v>
      </c>
      <c r="F307" s="246">
        <v>1257.8</v>
      </c>
      <c r="G307" s="214">
        <v>70</v>
      </c>
      <c r="H307" s="214">
        <v>291.87</v>
      </c>
      <c r="I307" s="214">
        <v>249.19</v>
      </c>
      <c r="J307" s="217">
        <v>716.74</v>
      </c>
      <c r="K307" s="214"/>
      <c r="L307" s="209" t="s">
        <v>276</v>
      </c>
      <c r="M307" s="194"/>
      <c r="N307" s="244" t="s">
        <v>841</v>
      </c>
      <c r="O307" s="223" t="s">
        <v>283</v>
      </c>
      <c r="P307" s="219"/>
      <c r="Q307" s="220">
        <v>45481</v>
      </c>
      <c r="R307" s="221" t="s">
        <v>840</v>
      </c>
      <c r="S307" s="222"/>
      <c r="T307" s="223"/>
      <c r="U307" s="224"/>
      <c r="V307" s="225"/>
      <c r="W307" s="225"/>
      <c r="X307" s="225"/>
      <c r="Y307" s="225"/>
      <c r="Z307" s="226"/>
      <c r="AA307" s="211">
        <v>64</v>
      </c>
      <c r="AB307" s="212" t="s">
        <v>949</v>
      </c>
      <c r="AC307" s="190" t="s">
        <v>943</v>
      </c>
      <c r="AD307" s="70"/>
    </row>
    <row r="308" spans="1:30" ht="22.35" customHeight="1">
      <c r="A308" s="190" t="s">
        <v>8</v>
      </c>
      <c r="B308" s="215" t="s">
        <v>88</v>
      </c>
      <c r="C308" s="1341">
        <v>45542</v>
      </c>
      <c r="D308" s="216">
        <v>3</v>
      </c>
      <c r="E308" s="214">
        <v>271.79000000000002</v>
      </c>
      <c r="F308" s="246">
        <v>815.38</v>
      </c>
      <c r="G308" s="214">
        <v>90</v>
      </c>
      <c r="H308" s="214">
        <v>25.22</v>
      </c>
      <c r="I308" s="214">
        <v>207.12</v>
      </c>
      <c r="J308" s="217">
        <v>468.22</v>
      </c>
      <c r="K308" s="214"/>
      <c r="L308" s="209" t="s">
        <v>276</v>
      </c>
      <c r="M308" s="194">
        <v>5</v>
      </c>
      <c r="N308" s="244" t="s">
        <v>898</v>
      </c>
      <c r="O308" s="218" t="s">
        <v>283</v>
      </c>
      <c r="P308" s="219" t="s">
        <v>89</v>
      </c>
      <c r="Q308" s="220">
        <v>45528</v>
      </c>
      <c r="R308" s="221" t="s">
        <v>899</v>
      </c>
      <c r="S308" s="222">
        <v>13106151</v>
      </c>
      <c r="T308" s="218" t="s">
        <v>900</v>
      </c>
      <c r="U308" s="227" t="s">
        <v>901</v>
      </c>
      <c r="V308" s="225">
        <v>3</v>
      </c>
      <c r="W308" s="225">
        <v>0</v>
      </c>
      <c r="X308" s="225">
        <v>0</v>
      </c>
      <c r="Y308" s="225">
        <v>0</v>
      </c>
      <c r="Z308" s="226">
        <v>980482321</v>
      </c>
      <c r="AA308" s="211">
        <v>14</v>
      </c>
      <c r="AB308" s="212" t="s">
        <v>949</v>
      </c>
      <c r="AC308" s="190" t="s">
        <v>939</v>
      </c>
      <c r="AD308" s="70"/>
    </row>
    <row r="309" spans="1:30" ht="22.35" customHeight="1">
      <c r="A309" s="190" t="s">
        <v>10</v>
      </c>
      <c r="B309" s="215" t="s">
        <v>88</v>
      </c>
      <c r="C309" s="1341">
        <v>45542</v>
      </c>
      <c r="D309" s="216">
        <v>3</v>
      </c>
      <c r="E309" s="214">
        <v>171.35</v>
      </c>
      <c r="F309" s="246">
        <v>514.05999999999995</v>
      </c>
      <c r="G309" s="214">
        <v>70</v>
      </c>
      <c r="H309" s="214">
        <v>15.65</v>
      </c>
      <c r="I309" s="214">
        <v>139.99</v>
      </c>
      <c r="J309" s="217">
        <v>279.08</v>
      </c>
      <c r="K309" s="214"/>
      <c r="L309" s="209" t="s">
        <v>276</v>
      </c>
      <c r="M309" s="194"/>
      <c r="N309" s="244" t="s">
        <v>911</v>
      </c>
      <c r="O309" s="218" t="s">
        <v>283</v>
      </c>
      <c r="P309" s="219" t="s">
        <v>97</v>
      </c>
      <c r="Q309" s="220">
        <v>45535</v>
      </c>
      <c r="R309" s="221" t="s">
        <v>912</v>
      </c>
      <c r="S309" s="222">
        <v>474035974</v>
      </c>
      <c r="T309" s="223" t="s">
        <v>913</v>
      </c>
      <c r="U309" s="227" t="s">
        <v>773</v>
      </c>
      <c r="V309" s="225">
        <v>2</v>
      </c>
      <c r="W309" s="225">
        <v>0</v>
      </c>
      <c r="X309" s="225">
        <v>0</v>
      </c>
      <c r="Y309" s="225">
        <v>0</v>
      </c>
      <c r="Z309" s="226">
        <v>983940080</v>
      </c>
      <c r="AA309" s="211">
        <v>7</v>
      </c>
      <c r="AB309" s="212" t="s">
        <v>949</v>
      </c>
      <c r="AC309" s="190" t="s">
        <v>939</v>
      </c>
      <c r="AD309" s="70"/>
    </row>
    <row r="310" spans="1:30" ht="22.35" customHeight="1">
      <c r="A310" s="190" t="s">
        <v>10</v>
      </c>
      <c r="B310" s="215" t="s">
        <v>88</v>
      </c>
      <c r="C310" s="1341">
        <v>45538</v>
      </c>
      <c r="D310" s="216">
        <v>4</v>
      </c>
      <c r="E310" s="214">
        <v>302.41000000000003</v>
      </c>
      <c r="F310" s="246">
        <v>1209.6500000000001</v>
      </c>
      <c r="G310" s="214">
        <v>70</v>
      </c>
      <c r="H310" s="214">
        <v>38.159999999999997</v>
      </c>
      <c r="I310" s="214">
        <v>260.37</v>
      </c>
      <c r="J310" s="217">
        <v>761.47</v>
      </c>
      <c r="K310" s="214"/>
      <c r="L310" s="209" t="s">
        <v>276</v>
      </c>
      <c r="M310" s="194">
        <v>5</v>
      </c>
      <c r="N310" s="581" t="s">
        <v>118</v>
      </c>
      <c r="O310" s="218" t="s">
        <v>283</v>
      </c>
      <c r="P310" s="231" t="s">
        <v>97</v>
      </c>
      <c r="Q310" s="220">
        <v>45202</v>
      </c>
      <c r="R310" s="232" t="s">
        <v>119</v>
      </c>
      <c r="S310" s="222">
        <v>383953115</v>
      </c>
      <c r="T310" s="218" t="s">
        <v>120</v>
      </c>
      <c r="U310" s="227" t="s">
        <v>121</v>
      </c>
      <c r="V310" s="225">
        <v>2</v>
      </c>
      <c r="W310" s="225">
        <v>0</v>
      </c>
      <c r="X310" s="225">
        <v>0</v>
      </c>
      <c r="Y310" s="225">
        <v>0</v>
      </c>
      <c r="Z310" s="226">
        <v>827478392</v>
      </c>
      <c r="AA310" s="211">
        <v>336</v>
      </c>
      <c r="AB310" s="212" t="s">
        <v>949</v>
      </c>
      <c r="AC310" s="190" t="s">
        <v>940</v>
      </c>
      <c r="AD310" s="70"/>
    </row>
    <row r="311" spans="1:30" ht="22.35" customHeight="1">
      <c r="A311" s="190" t="s">
        <v>8</v>
      </c>
      <c r="B311" s="215" t="s">
        <v>88</v>
      </c>
      <c r="C311" s="1341">
        <v>45536</v>
      </c>
      <c r="D311" s="216">
        <v>5</v>
      </c>
      <c r="E311" s="214">
        <v>325.49</v>
      </c>
      <c r="F311" s="246">
        <v>1627.45</v>
      </c>
      <c r="G311" s="214">
        <v>90</v>
      </c>
      <c r="H311" s="214">
        <v>50.83</v>
      </c>
      <c r="I311" s="214">
        <v>344.18</v>
      </c>
      <c r="J311" s="217">
        <v>1016.93</v>
      </c>
      <c r="K311" s="214"/>
      <c r="L311" s="209" t="s">
        <v>276</v>
      </c>
      <c r="M311" s="194"/>
      <c r="N311" s="244" t="s">
        <v>882</v>
      </c>
      <c r="O311" s="218" t="s">
        <v>283</v>
      </c>
      <c r="P311" s="231" t="s">
        <v>89</v>
      </c>
      <c r="Q311" s="220">
        <v>45515</v>
      </c>
      <c r="R311" s="221" t="s">
        <v>883</v>
      </c>
      <c r="S311" s="222">
        <v>90896385</v>
      </c>
      <c r="T311" s="218" t="s">
        <v>884</v>
      </c>
      <c r="U311" s="227" t="s">
        <v>122</v>
      </c>
      <c r="V311" s="225">
        <v>5</v>
      </c>
      <c r="W311" s="225">
        <v>0</v>
      </c>
      <c r="X311" s="225">
        <v>0</v>
      </c>
      <c r="Y311" s="225">
        <v>0</v>
      </c>
      <c r="Z311" s="226">
        <v>974215022</v>
      </c>
      <c r="AA311" s="211">
        <v>21</v>
      </c>
      <c r="AB311" s="212" t="s">
        <v>949</v>
      </c>
      <c r="AC311" s="190" t="s">
        <v>939</v>
      </c>
      <c r="AD311" s="70"/>
    </row>
    <row r="312" spans="1:30" ht="22.35" customHeight="1">
      <c r="A312" s="190" t="s">
        <v>10</v>
      </c>
      <c r="B312" s="215" t="s">
        <v>88</v>
      </c>
      <c r="C312" s="1341">
        <v>45534</v>
      </c>
      <c r="D312" s="216">
        <v>3</v>
      </c>
      <c r="E312" s="214">
        <v>249.11</v>
      </c>
      <c r="F312" s="246">
        <v>747.33</v>
      </c>
      <c r="G312" s="214">
        <v>70</v>
      </c>
      <c r="H312" s="214">
        <v>23.09</v>
      </c>
      <c r="I312" s="214">
        <v>179.57</v>
      </c>
      <c r="J312" s="217">
        <v>438.73</v>
      </c>
      <c r="K312" s="214"/>
      <c r="L312" s="209" t="s">
        <v>276</v>
      </c>
      <c r="M312" s="194">
        <v>5</v>
      </c>
      <c r="N312" s="244" t="s">
        <v>848</v>
      </c>
      <c r="O312" s="218" t="s">
        <v>283</v>
      </c>
      <c r="P312" s="231" t="s">
        <v>97</v>
      </c>
      <c r="Q312" s="220">
        <v>45488</v>
      </c>
      <c r="R312" s="221" t="s">
        <v>849</v>
      </c>
      <c r="S312" s="222">
        <v>8852513</v>
      </c>
      <c r="T312" s="223" t="s">
        <v>850</v>
      </c>
      <c r="U312" s="227" t="s">
        <v>851</v>
      </c>
      <c r="V312" s="225">
        <v>2</v>
      </c>
      <c r="W312" s="225">
        <v>1</v>
      </c>
      <c r="X312" s="225">
        <v>1</v>
      </c>
      <c r="Y312" s="225">
        <v>0</v>
      </c>
      <c r="Z312" s="226">
        <v>959118934</v>
      </c>
      <c r="AA312" s="211">
        <v>46</v>
      </c>
      <c r="AB312" s="212" t="s">
        <v>950</v>
      </c>
      <c r="AC312" s="190" t="s">
        <v>941</v>
      </c>
      <c r="AD312" s="70"/>
    </row>
    <row r="313" spans="1:30" ht="22.35" customHeight="1">
      <c r="A313" s="190" t="s">
        <v>8</v>
      </c>
      <c r="B313" s="215" t="s">
        <v>88</v>
      </c>
      <c r="C313" s="1341">
        <v>45533</v>
      </c>
      <c r="D313" s="216">
        <v>3</v>
      </c>
      <c r="E313" s="214">
        <v>290.45</v>
      </c>
      <c r="F313" s="246">
        <v>871.36</v>
      </c>
      <c r="G313" s="214">
        <v>90</v>
      </c>
      <c r="H313" s="214">
        <v>27.22</v>
      </c>
      <c r="I313" s="214">
        <v>217.86</v>
      </c>
      <c r="J313" s="217">
        <v>511.03</v>
      </c>
      <c r="K313" s="214"/>
      <c r="L313" s="209" t="s">
        <v>276</v>
      </c>
      <c r="M313" s="194">
        <v>5</v>
      </c>
      <c r="N313" s="244" t="s">
        <v>873</v>
      </c>
      <c r="O313" s="218" t="s">
        <v>283</v>
      </c>
      <c r="P313" s="231" t="s">
        <v>89</v>
      </c>
      <c r="Q313" s="220">
        <v>45508</v>
      </c>
      <c r="R313" s="221" t="s">
        <v>874</v>
      </c>
      <c r="S313" s="222">
        <v>134799125</v>
      </c>
      <c r="T313" s="218" t="s">
        <v>875</v>
      </c>
      <c r="U313" s="227" t="s">
        <v>836</v>
      </c>
      <c r="V313" s="225">
        <v>2</v>
      </c>
      <c r="W313" s="225">
        <v>2</v>
      </c>
      <c r="X313" s="225">
        <v>0</v>
      </c>
      <c r="Y313" s="225">
        <v>0</v>
      </c>
      <c r="Z313" s="226">
        <v>969975373</v>
      </c>
      <c r="AA313" s="211">
        <v>25</v>
      </c>
      <c r="AB313" s="212" t="s">
        <v>950</v>
      </c>
      <c r="AC313" s="190" t="s">
        <v>939</v>
      </c>
      <c r="AD313" s="70"/>
    </row>
    <row r="314" spans="1:30" ht="22.35" customHeight="1">
      <c r="A314" s="190" t="s">
        <v>8</v>
      </c>
      <c r="B314" s="215" t="s">
        <v>88</v>
      </c>
      <c r="C314" s="1341">
        <v>45529</v>
      </c>
      <c r="D314" s="216">
        <v>4</v>
      </c>
      <c r="E314" s="214">
        <v>175.2</v>
      </c>
      <c r="F314" s="246">
        <v>700.78</v>
      </c>
      <c r="G314" s="214">
        <v>90</v>
      </c>
      <c r="H314" s="214">
        <v>21.89</v>
      </c>
      <c r="I314" s="214">
        <v>189.28</v>
      </c>
      <c r="J314" s="217">
        <v>396.89</v>
      </c>
      <c r="K314" s="214"/>
      <c r="L314" s="209" t="s">
        <v>276</v>
      </c>
      <c r="M314" s="194"/>
      <c r="N314" s="244" t="s">
        <v>902</v>
      </c>
      <c r="O314" s="218" t="s">
        <v>283</v>
      </c>
      <c r="P314" s="231" t="s">
        <v>89</v>
      </c>
      <c r="Q314" s="220">
        <v>45528</v>
      </c>
      <c r="R314" s="221" t="s">
        <v>903</v>
      </c>
      <c r="S314" s="222">
        <v>129048614</v>
      </c>
      <c r="T314" s="218" t="s">
        <v>904</v>
      </c>
      <c r="U314" s="227" t="s">
        <v>905</v>
      </c>
      <c r="V314" s="225">
        <v>3</v>
      </c>
      <c r="W314" s="225">
        <v>0</v>
      </c>
      <c r="X314" s="225">
        <v>0</v>
      </c>
      <c r="Y314" s="225">
        <v>0</v>
      </c>
      <c r="Z314" s="226">
        <v>980582033</v>
      </c>
      <c r="AA314" s="211">
        <v>1</v>
      </c>
      <c r="AB314" s="212" t="s">
        <v>950</v>
      </c>
      <c r="AC314" s="190" t="s">
        <v>939</v>
      </c>
      <c r="AD314" s="70"/>
    </row>
    <row r="315" spans="1:30" ht="22.35" customHeight="1">
      <c r="A315" s="190" t="s">
        <v>10</v>
      </c>
      <c r="B315" s="215" t="s">
        <v>88</v>
      </c>
      <c r="C315" s="1341">
        <v>45529</v>
      </c>
      <c r="D315" s="216">
        <v>4</v>
      </c>
      <c r="E315" s="214">
        <v>274.81</v>
      </c>
      <c r="F315" s="246">
        <v>1099.25</v>
      </c>
      <c r="G315" s="214">
        <v>70</v>
      </c>
      <c r="H315" s="214">
        <v>33.840000000000003</v>
      </c>
      <c r="I315" s="214">
        <v>237.23</v>
      </c>
      <c r="J315" s="217">
        <v>668.93</v>
      </c>
      <c r="K315" s="214"/>
      <c r="L315" s="209" t="s">
        <v>276</v>
      </c>
      <c r="M315" s="194"/>
      <c r="N315" s="244" t="s">
        <v>784</v>
      </c>
      <c r="O315" s="218" t="s">
        <v>283</v>
      </c>
      <c r="P315" s="219" t="s">
        <v>97</v>
      </c>
      <c r="Q315" s="220">
        <v>45446</v>
      </c>
      <c r="R315" s="221" t="s">
        <v>785</v>
      </c>
      <c r="S315" s="222">
        <v>557570437</v>
      </c>
      <c r="T315" s="223" t="s">
        <v>786</v>
      </c>
      <c r="U315" s="227" t="s">
        <v>787</v>
      </c>
      <c r="V315" s="225">
        <v>2</v>
      </c>
      <c r="W315" s="225">
        <v>1</v>
      </c>
      <c r="X315" s="225">
        <v>0</v>
      </c>
      <c r="Y315" s="225">
        <v>0</v>
      </c>
      <c r="Z315" s="226">
        <v>936447368</v>
      </c>
      <c r="AA315" s="211">
        <v>83</v>
      </c>
      <c r="AB315" s="212" t="s">
        <v>950</v>
      </c>
      <c r="AC315" s="190" t="s">
        <v>943</v>
      </c>
      <c r="AD315" s="70"/>
    </row>
    <row r="316" spans="1:30" ht="22.35" customHeight="1">
      <c r="A316" s="190" t="s">
        <v>10</v>
      </c>
      <c r="B316" s="215" t="s">
        <v>88</v>
      </c>
      <c r="C316" s="1341">
        <v>45526</v>
      </c>
      <c r="D316" s="216">
        <v>3</v>
      </c>
      <c r="E316" s="214">
        <v>213.61</v>
      </c>
      <c r="F316" s="246">
        <v>640.83000000000004</v>
      </c>
      <c r="G316" s="214">
        <v>70</v>
      </c>
      <c r="H316" s="214">
        <v>20.010000000000002</v>
      </c>
      <c r="I316" s="214">
        <v>163.02000000000001</v>
      </c>
      <c r="J316" s="217">
        <v>372.8</v>
      </c>
      <c r="K316" s="214"/>
      <c r="L316" s="209" t="s">
        <v>276</v>
      </c>
      <c r="M316" s="194"/>
      <c r="N316" s="244" t="s">
        <v>844</v>
      </c>
      <c r="O316" s="218" t="s">
        <v>283</v>
      </c>
      <c r="P316" s="219" t="s">
        <v>97</v>
      </c>
      <c r="Q316" s="220">
        <v>45486</v>
      </c>
      <c r="R316" s="221" t="s">
        <v>845</v>
      </c>
      <c r="S316" s="222">
        <v>168961566</v>
      </c>
      <c r="T316" s="218" t="s">
        <v>846</v>
      </c>
      <c r="U316" s="227" t="s">
        <v>847</v>
      </c>
      <c r="V316" s="225">
        <v>2</v>
      </c>
      <c r="W316" s="225">
        <v>0</v>
      </c>
      <c r="X316" s="225">
        <v>0</v>
      </c>
      <c r="Y316" s="225">
        <v>0</v>
      </c>
      <c r="Z316" s="226">
        <v>957974921</v>
      </c>
      <c r="AA316" s="211">
        <v>40</v>
      </c>
      <c r="AB316" s="212" t="s">
        <v>950</v>
      </c>
      <c r="AC316" s="190" t="s">
        <v>941</v>
      </c>
      <c r="AD316" s="70"/>
    </row>
    <row r="317" spans="1:30" ht="22.35" customHeight="1">
      <c r="A317" s="190" t="s">
        <v>8</v>
      </c>
      <c r="B317" s="215" t="s">
        <v>88</v>
      </c>
      <c r="C317" s="1341">
        <v>45525</v>
      </c>
      <c r="D317" s="216">
        <v>3</v>
      </c>
      <c r="E317" s="214">
        <v>255.9</v>
      </c>
      <c r="F317" s="246">
        <v>767.7</v>
      </c>
      <c r="G317" s="214">
        <v>90</v>
      </c>
      <c r="H317" s="214">
        <v>23.22</v>
      </c>
      <c r="I317" s="214">
        <v>196.36</v>
      </c>
      <c r="J317" s="217">
        <v>425.42</v>
      </c>
      <c r="K317" s="214"/>
      <c r="L317" s="209" t="s">
        <v>276</v>
      </c>
      <c r="M317" s="194">
        <v>5</v>
      </c>
      <c r="N317" s="244" t="s">
        <v>876</v>
      </c>
      <c r="O317" s="218" t="s">
        <v>283</v>
      </c>
      <c r="P317" s="219" t="s">
        <v>89</v>
      </c>
      <c r="Q317" s="220">
        <v>45510</v>
      </c>
      <c r="R317" s="221" t="s">
        <v>877</v>
      </c>
      <c r="S317" s="222">
        <v>219015921</v>
      </c>
      <c r="T317" s="223" t="s">
        <v>878</v>
      </c>
      <c r="U317" s="227" t="s">
        <v>879</v>
      </c>
      <c r="V317" s="225">
        <v>4</v>
      </c>
      <c r="W317" s="225">
        <v>0</v>
      </c>
      <c r="X317" s="225">
        <v>0</v>
      </c>
      <c r="Y317" s="225">
        <v>0</v>
      </c>
      <c r="Z317" s="226">
        <v>971650912</v>
      </c>
      <c r="AA317" s="211">
        <v>15</v>
      </c>
      <c r="AB317" s="212" t="s">
        <v>950</v>
      </c>
      <c r="AC317" s="190" t="s">
        <v>939</v>
      </c>
      <c r="AD317" s="70"/>
    </row>
    <row r="318" spans="1:30" ht="22.35" customHeight="1">
      <c r="A318" s="190" t="s">
        <v>8</v>
      </c>
      <c r="B318" s="215" t="s">
        <v>88</v>
      </c>
      <c r="C318" s="1341">
        <v>45522</v>
      </c>
      <c r="D318" s="216">
        <v>5</v>
      </c>
      <c r="E318" s="214">
        <v>0</v>
      </c>
      <c r="F318" s="246">
        <v>0</v>
      </c>
      <c r="G318" s="214">
        <v>0</v>
      </c>
      <c r="H318" s="214"/>
      <c r="I318" s="214">
        <v>178.34</v>
      </c>
      <c r="J318" s="217">
        <v>713.36</v>
      </c>
      <c r="K318" s="214"/>
      <c r="L318" s="209" t="s">
        <v>276</v>
      </c>
      <c r="M318" s="194"/>
      <c r="N318" s="244"/>
      <c r="O318" s="218" t="s">
        <v>283</v>
      </c>
      <c r="P318" s="219"/>
      <c r="Q318" s="230"/>
      <c r="R318" s="233"/>
      <c r="S318" s="222"/>
      <c r="T318" s="223"/>
      <c r="U318" s="224"/>
      <c r="V318" s="225"/>
      <c r="W318" s="225"/>
      <c r="X318" s="225"/>
      <c r="Y318" s="225"/>
      <c r="Z318" s="226"/>
      <c r="AA318" s="211">
        <v>45522</v>
      </c>
      <c r="AB318" s="212" t="s">
        <v>950</v>
      </c>
      <c r="AC318" s="190" t="s">
        <v>940</v>
      </c>
      <c r="AD318" s="70"/>
    </row>
    <row r="319" spans="1:30" ht="22.35" customHeight="1">
      <c r="A319" s="190" t="s">
        <v>10</v>
      </c>
      <c r="B319" s="215" t="s">
        <v>88</v>
      </c>
      <c r="C319" s="1341">
        <v>45522</v>
      </c>
      <c r="D319" s="216">
        <v>4</v>
      </c>
      <c r="E319" s="214">
        <v>148.47999999999999</v>
      </c>
      <c r="F319" s="246">
        <v>593.91999999999996</v>
      </c>
      <c r="G319" s="214">
        <v>70</v>
      </c>
      <c r="H319" s="214">
        <v>18.07</v>
      </c>
      <c r="I319" s="214">
        <v>152.72999999999999</v>
      </c>
      <c r="J319" s="217">
        <v>331.14</v>
      </c>
      <c r="K319" s="214"/>
      <c r="L319" s="209" t="s">
        <v>276</v>
      </c>
      <c r="M319" s="194">
        <v>5</v>
      </c>
      <c r="N319" s="244" t="s">
        <v>885</v>
      </c>
      <c r="O319" s="218" t="s">
        <v>283</v>
      </c>
      <c r="P319" s="219" t="s">
        <v>97</v>
      </c>
      <c r="Q319" s="220">
        <v>45517</v>
      </c>
      <c r="R319" s="221" t="s">
        <v>886</v>
      </c>
      <c r="S319" s="222">
        <v>206251893</v>
      </c>
      <c r="T319" s="223" t="s">
        <v>887</v>
      </c>
      <c r="U319" s="227" t="s">
        <v>888</v>
      </c>
      <c r="V319" s="225">
        <v>1</v>
      </c>
      <c r="W319" s="225">
        <v>1</v>
      </c>
      <c r="X319" s="225">
        <v>0</v>
      </c>
      <c r="Y319" s="225">
        <v>0</v>
      </c>
      <c r="Z319" s="226">
        <v>975375003</v>
      </c>
      <c r="AA319" s="211">
        <v>5</v>
      </c>
      <c r="AB319" s="212" t="s">
        <v>950</v>
      </c>
      <c r="AC319" s="190" t="s">
        <v>939</v>
      </c>
      <c r="AD319" s="70"/>
    </row>
    <row r="320" spans="1:30" ht="22.35" customHeight="1">
      <c r="A320" s="190" t="s">
        <v>8</v>
      </c>
      <c r="B320" s="215" t="s">
        <v>23</v>
      </c>
      <c r="C320" s="1341">
        <v>45520</v>
      </c>
      <c r="D320" s="216">
        <v>2</v>
      </c>
      <c r="E320" s="214">
        <v>342</v>
      </c>
      <c r="F320" s="246">
        <v>684</v>
      </c>
      <c r="G320" s="214">
        <v>90</v>
      </c>
      <c r="H320" s="214">
        <v>158.66</v>
      </c>
      <c r="I320" s="214">
        <v>177.07</v>
      </c>
      <c r="J320" s="217">
        <v>348.27</v>
      </c>
      <c r="K320" s="214"/>
      <c r="L320" s="209" t="s">
        <v>276</v>
      </c>
      <c r="M320" s="194"/>
      <c r="N320" s="244" t="s">
        <v>805</v>
      </c>
      <c r="O320" s="218" t="s">
        <v>283</v>
      </c>
      <c r="P320" s="219"/>
      <c r="Q320" s="220">
        <v>45463</v>
      </c>
      <c r="R320" s="221" t="s">
        <v>804</v>
      </c>
      <c r="S320" s="222"/>
      <c r="T320" s="223"/>
      <c r="U320" s="224"/>
      <c r="V320" s="225"/>
      <c r="W320" s="225"/>
      <c r="X320" s="225"/>
      <c r="Y320" s="225"/>
      <c r="Z320" s="226"/>
      <c r="AA320" s="211">
        <v>57</v>
      </c>
      <c r="AB320" s="212" t="s">
        <v>950</v>
      </c>
      <c r="AC320" s="190" t="s">
        <v>941</v>
      </c>
      <c r="AD320" s="70"/>
    </row>
    <row r="321" spans="1:30" ht="22.35" customHeight="1">
      <c r="A321" s="190" t="s">
        <v>10</v>
      </c>
      <c r="B321" s="215" t="s">
        <v>88</v>
      </c>
      <c r="C321" s="1341">
        <v>45518</v>
      </c>
      <c r="D321" s="216">
        <v>4</v>
      </c>
      <c r="E321" s="214">
        <v>206.89</v>
      </c>
      <c r="F321" s="246">
        <v>827.56</v>
      </c>
      <c r="G321" s="214">
        <v>70</v>
      </c>
      <c r="H321" s="214">
        <v>25.84</v>
      </c>
      <c r="I321" s="214">
        <v>194.21</v>
      </c>
      <c r="J321" s="217">
        <v>497.73</v>
      </c>
      <c r="K321" s="214"/>
      <c r="L321" s="209" t="s">
        <v>276</v>
      </c>
      <c r="M321" s="194">
        <v>5</v>
      </c>
      <c r="N321" s="244" t="s">
        <v>852</v>
      </c>
      <c r="O321" s="218" t="s">
        <v>283</v>
      </c>
      <c r="P321" s="219" t="s">
        <v>97</v>
      </c>
      <c r="Q321" s="220">
        <v>45486</v>
      </c>
      <c r="R321" s="221" t="s">
        <v>853</v>
      </c>
      <c r="S321" s="222">
        <v>36639708</v>
      </c>
      <c r="T321" s="223">
        <v>-3066</v>
      </c>
      <c r="U321" s="227" t="s">
        <v>854</v>
      </c>
      <c r="V321" s="225">
        <v>2</v>
      </c>
      <c r="W321" s="225">
        <v>0</v>
      </c>
      <c r="X321" s="225">
        <v>0</v>
      </c>
      <c r="Y321" s="225">
        <v>0</v>
      </c>
      <c r="Z321" s="226">
        <v>958402545</v>
      </c>
      <c r="AA321" s="211">
        <v>32</v>
      </c>
      <c r="AB321" s="212" t="s">
        <v>950</v>
      </c>
      <c r="AC321" s="190" t="s">
        <v>941</v>
      </c>
      <c r="AD321" s="73"/>
    </row>
    <row r="322" spans="1:30" ht="22.35" customHeight="1">
      <c r="A322" s="190" t="s">
        <v>8</v>
      </c>
      <c r="B322" s="215" t="s">
        <v>88</v>
      </c>
      <c r="C322" s="1341">
        <v>45517</v>
      </c>
      <c r="D322" s="216">
        <v>3</v>
      </c>
      <c r="E322" s="214">
        <v>639.05999999999995</v>
      </c>
      <c r="F322" s="246">
        <v>1917.18</v>
      </c>
      <c r="G322" s="214">
        <v>90</v>
      </c>
      <c r="H322" s="214">
        <v>60.48</v>
      </c>
      <c r="I322" s="214">
        <v>395.9</v>
      </c>
      <c r="J322" s="217">
        <v>1223.6199999999999</v>
      </c>
      <c r="K322" s="214"/>
      <c r="L322" s="209" t="s">
        <v>276</v>
      </c>
      <c r="M322" s="194">
        <v>5</v>
      </c>
      <c r="N322" s="244" t="s">
        <v>123</v>
      </c>
      <c r="O322" s="218" t="s">
        <v>283</v>
      </c>
      <c r="P322" s="219" t="s">
        <v>89</v>
      </c>
      <c r="Q322" s="220">
        <v>45329</v>
      </c>
      <c r="R322" s="221" t="s">
        <v>124</v>
      </c>
      <c r="S322" s="222">
        <v>97150916</v>
      </c>
      <c r="T322" s="218" t="s">
        <v>125</v>
      </c>
      <c r="U322" s="227" t="s">
        <v>126</v>
      </c>
      <c r="V322" s="225">
        <v>5</v>
      </c>
      <c r="W322" s="225">
        <v>0</v>
      </c>
      <c r="X322" s="225">
        <v>0</v>
      </c>
      <c r="Y322" s="225">
        <v>0</v>
      </c>
      <c r="Z322" s="226">
        <v>876213280</v>
      </c>
      <c r="AA322" s="211">
        <v>188</v>
      </c>
      <c r="AB322" s="212" t="s">
        <v>950</v>
      </c>
      <c r="AC322" s="190" t="s">
        <v>940</v>
      </c>
      <c r="AD322" s="70"/>
    </row>
    <row r="323" spans="1:30" ht="22.35" customHeight="1">
      <c r="A323" s="190" t="s">
        <v>10</v>
      </c>
      <c r="B323" s="215" t="s">
        <v>88</v>
      </c>
      <c r="C323" s="1341">
        <v>45512</v>
      </c>
      <c r="D323" s="216">
        <v>4</v>
      </c>
      <c r="E323" s="214">
        <v>288.14999999999998</v>
      </c>
      <c r="F323" s="246">
        <v>1152.5899999999999</v>
      </c>
      <c r="G323" s="214">
        <v>70</v>
      </c>
      <c r="H323" s="214">
        <v>36</v>
      </c>
      <c r="I323" s="214">
        <v>248.8</v>
      </c>
      <c r="J323" s="217">
        <v>715.2</v>
      </c>
      <c r="K323" s="214"/>
      <c r="L323" s="209" t="s">
        <v>276</v>
      </c>
      <c r="M323" s="194">
        <v>5</v>
      </c>
      <c r="N323" s="244" t="s">
        <v>815</v>
      </c>
      <c r="O323" s="218" t="s">
        <v>283</v>
      </c>
      <c r="P323" s="219" t="s">
        <v>97</v>
      </c>
      <c r="Q323" s="220">
        <v>45465</v>
      </c>
      <c r="R323" s="221" t="s">
        <v>816</v>
      </c>
      <c r="S323" s="222">
        <v>292940527</v>
      </c>
      <c r="T323" s="218" t="s">
        <v>817</v>
      </c>
      <c r="U323" s="227" t="s">
        <v>122</v>
      </c>
      <c r="V323" s="225">
        <v>4</v>
      </c>
      <c r="W323" s="225">
        <v>0</v>
      </c>
      <c r="X323" s="225">
        <v>0</v>
      </c>
      <c r="Y323" s="225">
        <v>0</v>
      </c>
      <c r="Z323" s="226">
        <v>946729837</v>
      </c>
      <c r="AA323" s="211">
        <v>47</v>
      </c>
      <c r="AB323" s="212" t="s">
        <v>950</v>
      </c>
      <c r="AC323" s="190" t="s">
        <v>941</v>
      </c>
      <c r="AD323" s="70"/>
    </row>
    <row r="324" spans="1:30" ht="22.35" customHeight="1">
      <c r="A324" s="190" t="s">
        <v>13</v>
      </c>
      <c r="B324" s="215" t="s">
        <v>88</v>
      </c>
      <c r="C324" s="1341">
        <v>45510</v>
      </c>
      <c r="D324" s="216">
        <v>5</v>
      </c>
      <c r="E324" s="214">
        <v>842.19</v>
      </c>
      <c r="F324" s="246">
        <v>4210.9399999999996</v>
      </c>
      <c r="G324" s="214">
        <v>90</v>
      </c>
      <c r="H324" s="214">
        <v>132.84</v>
      </c>
      <c r="I324" s="214">
        <v>783.43</v>
      </c>
      <c r="J324" s="217">
        <v>2773.73</v>
      </c>
      <c r="K324" s="214"/>
      <c r="L324" s="209" t="s">
        <v>276</v>
      </c>
      <c r="M324" s="194">
        <v>5</v>
      </c>
      <c r="N324" s="244" t="s">
        <v>737</v>
      </c>
      <c r="O324" s="218" t="s">
        <v>283</v>
      </c>
      <c r="P324" s="231" t="s">
        <v>143</v>
      </c>
      <c r="Q324" s="220">
        <v>45406</v>
      </c>
      <c r="R324" s="221" t="s">
        <v>738</v>
      </c>
      <c r="S324" s="222">
        <v>6661946</v>
      </c>
      <c r="T324" s="218" t="s">
        <v>739</v>
      </c>
      <c r="U324" s="227" t="s">
        <v>740</v>
      </c>
      <c r="V324" s="225">
        <v>4</v>
      </c>
      <c r="W324" s="225">
        <v>3</v>
      </c>
      <c r="X324" s="225">
        <v>0</v>
      </c>
      <c r="Y324" s="225">
        <v>0</v>
      </c>
      <c r="Z324" s="226">
        <v>916077507</v>
      </c>
      <c r="AA324" s="211">
        <v>104</v>
      </c>
      <c r="AB324" s="212" t="s">
        <v>950</v>
      </c>
      <c r="AC324" s="190" t="s">
        <v>942</v>
      </c>
      <c r="AD324" s="70"/>
    </row>
    <row r="325" spans="1:30" ht="22.35" customHeight="1">
      <c r="A325" s="190" t="s">
        <v>10</v>
      </c>
      <c r="B325" s="215" t="s">
        <v>88</v>
      </c>
      <c r="C325" s="1341">
        <v>45509</v>
      </c>
      <c r="D325" s="216">
        <v>3</v>
      </c>
      <c r="E325" s="214">
        <v>454.29</v>
      </c>
      <c r="F325" s="246">
        <v>1362.86</v>
      </c>
      <c r="G325" s="214">
        <v>70</v>
      </c>
      <c r="H325" s="214">
        <v>42.21</v>
      </c>
      <c r="I325" s="214">
        <v>282.05</v>
      </c>
      <c r="J325" s="217">
        <v>848.24</v>
      </c>
      <c r="K325" s="214"/>
      <c r="L325" s="209" t="s">
        <v>276</v>
      </c>
      <c r="M325" s="194"/>
      <c r="N325" s="244" t="s">
        <v>128</v>
      </c>
      <c r="O325" s="218" t="s">
        <v>283</v>
      </c>
      <c r="P325" s="231" t="s">
        <v>97</v>
      </c>
      <c r="Q325" s="220">
        <v>45396</v>
      </c>
      <c r="R325" s="221" t="s">
        <v>129</v>
      </c>
      <c r="S325" s="222">
        <v>52025250</v>
      </c>
      <c r="T325" s="223" t="s">
        <v>130</v>
      </c>
      <c r="U325" s="227" t="s">
        <v>131</v>
      </c>
      <c r="V325" s="225">
        <v>2</v>
      </c>
      <c r="W325" s="225">
        <v>2</v>
      </c>
      <c r="X325" s="225">
        <v>0</v>
      </c>
      <c r="Y325" s="225">
        <v>0</v>
      </c>
      <c r="Z325" s="226">
        <v>910778310</v>
      </c>
      <c r="AA325" s="211">
        <v>113</v>
      </c>
      <c r="AB325" s="212" t="s">
        <v>950</v>
      </c>
      <c r="AC325" s="190" t="s">
        <v>942</v>
      </c>
      <c r="AD325" s="70"/>
    </row>
    <row r="326" spans="1:30" ht="22.35" customHeight="1">
      <c r="A326" s="190" t="s">
        <v>8</v>
      </c>
      <c r="B326" s="215" t="s">
        <v>88</v>
      </c>
      <c r="C326" s="1341">
        <v>45508</v>
      </c>
      <c r="D326" s="216">
        <v>7</v>
      </c>
      <c r="E326" s="214">
        <v>717.34</v>
      </c>
      <c r="F326" s="246">
        <v>5021.3599999999997</v>
      </c>
      <c r="G326" s="214">
        <v>90</v>
      </c>
      <c r="H326" s="214">
        <v>155.52000000000001</v>
      </c>
      <c r="I326" s="214">
        <v>904.9</v>
      </c>
      <c r="J326" s="217">
        <v>3259.58</v>
      </c>
      <c r="K326" s="214"/>
      <c r="L326" s="209" t="s">
        <v>276</v>
      </c>
      <c r="M326" s="194">
        <v>5</v>
      </c>
      <c r="N326" s="244" t="s">
        <v>132</v>
      </c>
      <c r="O326" s="218" t="s">
        <v>283</v>
      </c>
      <c r="P326" s="231" t="s">
        <v>89</v>
      </c>
      <c r="Q326" s="220">
        <v>45209</v>
      </c>
      <c r="R326" s="232" t="s">
        <v>133</v>
      </c>
      <c r="S326" s="222">
        <v>75338659</v>
      </c>
      <c r="T326" s="223" t="s">
        <v>134</v>
      </c>
      <c r="U326" s="227" t="s">
        <v>135</v>
      </c>
      <c r="V326" s="225">
        <v>2</v>
      </c>
      <c r="W326" s="225">
        <v>2</v>
      </c>
      <c r="X326" s="225">
        <v>0</v>
      </c>
      <c r="Y326" s="225">
        <v>0</v>
      </c>
      <c r="Z326" s="226">
        <v>830431159</v>
      </c>
      <c r="AA326" s="211">
        <v>299</v>
      </c>
      <c r="AB326" s="212" t="s">
        <v>950</v>
      </c>
      <c r="AC326" s="190" t="s">
        <v>940</v>
      </c>
      <c r="AD326" s="70"/>
    </row>
    <row r="327" spans="1:30" ht="22.35" customHeight="1">
      <c r="A327" s="190" t="s">
        <v>10</v>
      </c>
      <c r="B327" s="215" t="s">
        <v>88</v>
      </c>
      <c r="C327" s="1341">
        <v>45505</v>
      </c>
      <c r="D327" s="216">
        <v>4</v>
      </c>
      <c r="E327" s="214">
        <v>216.11</v>
      </c>
      <c r="F327" s="246">
        <v>864.44</v>
      </c>
      <c r="G327" s="214">
        <v>70</v>
      </c>
      <c r="H327" s="214">
        <v>27</v>
      </c>
      <c r="I327" s="214">
        <v>200.6</v>
      </c>
      <c r="J327" s="217">
        <v>522.4</v>
      </c>
      <c r="K327" s="214"/>
      <c r="L327" s="209" t="s">
        <v>276</v>
      </c>
      <c r="M327" s="194">
        <v>5</v>
      </c>
      <c r="N327" s="244" t="s">
        <v>869</v>
      </c>
      <c r="O327" s="218" t="s">
        <v>283</v>
      </c>
      <c r="P327" s="231" t="s">
        <v>97</v>
      </c>
      <c r="Q327" s="220">
        <v>45498</v>
      </c>
      <c r="R327" s="221" t="s">
        <v>870</v>
      </c>
      <c r="S327" s="222">
        <v>209680593</v>
      </c>
      <c r="T327" s="218" t="s">
        <v>871</v>
      </c>
      <c r="U327" s="227" t="s">
        <v>872</v>
      </c>
      <c r="V327" s="225">
        <v>2</v>
      </c>
      <c r="W327" s="225">
        <v>2</v>
      </c>
      <c r="X327" s="225">
        <v>0</v>
      </c>
      <c r="Y327" s="225">
        <v>0</v>
      </c>
      <c r="Z327" s="226">
        <v>964846449</v>
      </c>
      <c r="AA327" s="211">
        <v>7</v>
      </c>
      <c r="AB327" s="212" t="s">
        <v>950</v>
      </c>
      <c r="AC327" s="190" t="s">
        <v>939</v>
      </c>
      <c r="AD327" s="70"/>
    </row>
    <row r="328" spans="1:30" ht="22.35" customHeight="1">
      <c r="A328" s="187" t="s">
        <v>10</v>
      </c>
      <c r="B328" s="195" t="s">
        <v>88</v>
      </c>
      <c r="C328" s="1341">
        <v>45502</v>
      </c>
      <c r="D328" s="194">
        <v>3</v>
      </c>
      <c r="E328" s="188">
        <v>280.33</v>
      </c>
      <c r="F328" s="246">
        <v>840.99</v>
      </c>
      <c r="G328" s="188">
        <v>70</v>
      </c>
      <c r="H328" s="188">
        <v>26.02</v>
      </c>
      <c r="I328" s="188">
        <v>195.57</v>
      </c>
      <c r="J328" s="208">
        <v>501.19</v>
      </c>
      <c r="K328" s="188"/>
      <c r="L328" s="209" t="s">
        <v>276</v>
      </c>
      <c r="M328" s="194"/>
      <c r="N328" s="238" t="s">
        <v>795</v>
      </c>
      <c r="O328" s="207" t="s">
        <v>283</v>
      </c>
      <c r="P328" s="238" t="s">
        <v>97</v>
      </c>
      <c r="Q328" s="239">
        <v>45461</v>
      </c>
      <c r="R328" s="202" t="s">
        <v>796</v>
      </c>
      <c r="S328" s="240">
        <v>143519191</v>
      </c>
      <c r="T328" s="207" t="s">
        <v>797</v>
      </c>
      <c r="U328" s="202" t="s">
        <v>316</v>
      </c>
      <c r="V328" s="241">
        <v>2</v>
      </c>
      <c r="W328" s="241">
        <v>1</v>
      </c>
      <c r="X328" s="241">
        <v>0</v>
      </c>
      <c r="Y328" s="241">
        <v>0</v>
      </c>
      <c r="Z328" s="242">
        <v>944332639</v>
      </c>
      <c r="AA328" s="211">
        <v>41</v>
      </c>
      <c r="AB328" s="212" t="s">
        <v>951</v>
      </c>
      <c r="AC328" s="190" t="s">
        <v>941</v>
      </c>
      <c r="AD328" s="70"/>
    </row>
    <row r="329" spans="1:30" ht="22.35" customHeight="1">
      <c r="A329" s="190" t="s">
        <v>10</v>
      </c>
      <c r="B329" s="215" t="s">
        <v>23</v>
      </c>
      <c r="C329" s="1341">
        <v>45499</v>
      </c>
      <c r="D329" s="216">
        <v>3</v>
      </c>
      <c r="E329" s="214">
        <v>360</v>
      </c>
      <c r="F329" s="246">
        <v>1080</v>
      </c>
      <c r="G329" s="214">
        <v>70</v>
      </c>
      <c r="H329" s="214">
        <v>196.14</v>
      </c>
      <c r="I329" s="214">
        <v>232.77</v>
      </c>
      <c r="J329" s="217">
        <v>651.09</v>
      </c>
      <c r="K329" s="214"/>
      <c r="L329" s="209" t="s">
        <v>276</v>
      </c>
      <c r="M329" s="194"/>
      <c r="N329" s="244" t="s">
        <v>140</v>
      </c>
      <c r="O329" s="190" t="s">
        <v>283</v>
      </c>
      <c r="P329" s="244"/>
      <c r="Q329" s="212">
        <v>45246</v>
      </c>
      <c r="R329" s="221" t="s">
        <v>141</v>
      </c>
      <c r="S329" s="235"/>
      <c r="T329" s="214"/>
      <c r="U329" s="233"/>
      <c r="V329" s="236"/>
      <c r="W329" s="236"/>
      <c r="X329" s="236"/>
      <c r="Y329" s="236"/>
      <c r="Z329" s="237"/>
      <c r="AA329" s="211">
        <v>253</v>
      </c>
      <c r="AB329" s="212" t="s">
        <v>951</v>
      </c>
      <c r="AC329" s="190" t="s">
        <v>940</v>
      </c>
      <c r="AD329" s="70"/>
    </row>
    <row r="330" spans="1:30" ht="22.35" customHeight="1">
      <c r="A330" s="190" t="s">
        <v>8</v>
      </c>
      <c r="B330" s="215" t="s">
        <v>88</v>
      </c>
      <c r="C330" s="1341">
        <v>45499</v>
      </c>
      <c r="D330" s="216">
        <v>8</v>
      </c>
      <c r="E330" s="214">
        <v>834.49</v>
      </c>
      <c r="F330" s="246">
        <v>6675.89</v>
      </c>
      <c r="G330" s="214">
        <v>90</v>
      </c>
      <c r="H330" s="214">
        <v>210.6</v>
      </c>
      <c r="I330" s="214">
        <v>1199.8800000000001</v>
      </c>
      <c r="J330" s="217">
        <v>4439.5200000000004</v>
      </c>
      <c r="K330" s="214"/>
      <c r="L330" s="209" t="s">
        <v>276</v>
      </c>
      <c r="M330" s="194">
        <v>5</v>
      </c>
      <c r="N330" s="244" t="s">
        <v>136</v>
      </c>
      <c r="O330" s="190" t="s">
        <v>283</v>
      </c>
      <c r="P330" s="234" t="s">
        <v>89</v>
      </c>
      <c r="Q330" s="212">
        <v>45201</v>
      </c>
      <c r="R330" s="232" t="s">
        <v>137</v>
      </c>
      <c r="S330" s="235">
        <v>171185208</v>
      </c>
      <c r="T330" s="190" t="s">
        <v>138</v>
      </c>
      <c r="U330" s="221" t="s">
        <v>139</v>
      </c>
      <c r="V330" s="236">
        <v>4</v>
      </c>
      <c r="W330" s="236">
        <v>0</v>
      </c>
      <c r="X330" s="236">
        <v>0</v>
      </c>
      <c r="Y330" s="236">
        <v>0</v>
      </c>
      <c r="Z330" s="237">
        <v>827399163</v>
      </c>
      <c r="AA330" s="211">
        <v>298</v>
      </c>
      <c r="AB330" s="212" t="s">
        <v>951</v>
      </c>
      <c r="AC330" s="190" t="s">
        <v>940</v>
      </c>
      <c r="AD330" s="70"/>
    </row>
    <row r="331" spans="1:30" ht="22.35" customHeight="1">
      <c r="A331" s="190" t="s">
        <v>13</v>
      </c>
      <c r="B331" s="215" t="s">
        <v>88</v>
      </c>
      <c r="C331" s="1341">
        <v>45498</v>
      </c>
      <c r="D331" s="216">
        <v>9</v>
      </c>
      <c r="E331" s="214">
        <v>1550.1</v>
      </c>
      <c r="F331" s="246">
        <v>13950.89</v>
      </c>
      <c r="G331" s="214">
        <v>75</v>
      </c>
      <c r="H331" s="214">
        <v>440.1</v>
      </c>
      <c r="I331" s="214">
        <v>2416.98</v>
      </c>
      <c r="J331" s="217">
        <v>9367.92</v>
      </c>
      <c r="K331" s="214"/>
      <c r="L331" s="209" t="s">
        <v>276</v>
      </c>
      <c r="M331" s="194"/>
      <c r="N331" s="244" t="s">
        <v>142</v>
      </c>
      <c r="O331" s="190" t="s">
        <v>283</v>
      </c>
      <c r="P331" s="234" t="s">
        <v>143</v>
      </c>
      <c r="Q331" s="212">
        <v>45168</v>
      </c>
      <c r="R331" s="232" t="s">
        <v>14</v>
      </c>
      <c r="S331" s="235">
        <v>67644983</v>
      </c>
      <c r="T331" s="190" t="s">
        <v>144</v>
      </c>
      <c r="U331" s="221" t="s">
        <v>145</v>
      </c>
      <c r="V331" s="236">
        <v>5</v>
      </c>
      <c r="W331" s="236">
        <v>0</v>
      </c>
      <c r="X331" s="236">
        <v>1</v>
      </c>
      <c r="Y331" s="236">
        <v>0</v>
      </c>
      <c r="Z331" s="237">
        <v>814362131</v>
      </c>
      <c r="AA331" s="211">
        <v>330</v>
      </c>
      <c r="AB331" s="212" t="s">
        <v>951</v>
      </c>
      <c r="AC331" s="190" t="s">
        <v>940</v>
      </c>
      <c r="AD331" s="70"/>
    </row>
    <row r="332" spans="1:30" ht="22.35" customHeight="1">
      <c r="A332" s="190" t="s">
        <v>10</v>
      </c>
      <c r="B332" s="215" t="s">
        <v>88</v>
      </c>
      <c r="C332" s="1341">
        <v>45496</v>
      </c>
      <c r="D332" s="216">
        <v>3</v>
      </c>
      <c r="E332" s="214">
        <v>151.37</v>
      </c>
      <c r="F332" s="246">
        <v>454.12</v>
      </c>
      <c r="G332" s="214">
        <v>70</v>
      </c>
      <c r="H332" s="214">
        <v>14.18</v>
      </c>
      <c r="I332" s="214">
        <v>131.86000000000001</v>
      </c>
      <c r="J332" s="217">
        <v>247.85</v>
      </c>
      <c r="K332" s="214"/>
      <c r="L332" s="209" t="s">
        <v>276</v>
      </c>
      <c r="M332" s="194">
        <v>5</v>
      </c>
      <c r="N332" s="244" t="s">
        <v>865</v>
      </c>
      <c r="O332" s="190" t="s">
        <v>283</v>
      </c>
      <c r="P332" s="234" t="s">
        <v>97</v>
      </c>
      <c r="Q332" s="212">
        <v>45494</v>
      </c>
      <c r="R332" s="221" t="s">
        <v>866</v>
      </c>
      <c r="S332" s="235">
        <v>5150233</v>
      </c>
      <c r="T332" s="190" t="s">
        <v>867</v>
      </c>
      <c r="U332" s="221" t="s">
        <v>868</v>
      </c>
      <c r="V332" s="236">
        <v>1</v>
      </c>
      <c r="W332" s="236">
        <v>0</v>
      </c>
      <c r="X332" s="236">
        <v>0</v>
      </c>
      <c r="Y332" s="236">
        <v>0</v>
      </c>
      <c r="Z332" s="237">
        <v>962688868</v>
      </c>
      <c r="AA332" s="211">
        <v>2</v>
      </c>
      <c r="AB332" s="212" t="s">
        <v>951</v>
      </c>
      <c r="AC332" s="190" t="s">
        <v>939</v>
      </c>
      <c r="AD332" s="70"/>
    </row>
    <row r="333" spans="1:30" ht="22.35" customHeight="1">
      <c r="A333" s="190" t="s">
        <v>8</v>
      </c>
      <c r="B333" s="215" t="s">
        <v>88</v>
      </c>
      <c r="C333" s="1341">
        <v>45495</v>
      </c>
      <c r="D333" s="216">
        <v>4</v>
      </c>
      <c r="E333" s="214">
        <v>447.91</v>
      </c>
      <c r="F333" s="246">
        <v>1791.65</v>
      </c>
      <c r="G333" s="214">
        <v>90</v>
      </c>
      <c r="H333" s="214">
        <v>56.52</v>
      </c>
      <c r="I333" s="214">
        <v>374.7</v>
      </c>
      <c r="J333" s="217">
        <v>1138.78</v>
      </c>
      <c r="K333" s="214"/>
      <c r="L333" s="209" t="s">
        <v>276</v>
      </c>
      <c r="M333" s="194">
        <v>5</v>
      </c>
      <c r="N333" s="244" t="s">
        <v>146</v>
      </c>
      <c r="O333" s="190" t="s">
        <v>283</v>
      </c>
      <c r="P333" s="234" t="s">
        <v>89</v>
      </c>
      <c r="Q333" s="212">
        <v>45364</v>
      </c>
      <c r="R333" s="221" t="s">
        <v>147</v>
      </c>
      <c r="S333" s="235">
        <v>525417255</v>
      </c>
      <c r="T333" s="190" t="s">
        <v>148</v>
      </c>
      <c r="U333" s="221" t="s">
        <v>122</v>
      </c>
      <c r="V333" s="236">
        <v>2</v>
      </c>
      <c r="W333" s="236">
        <v>2</v>
      </c>
      <c r="X333" s="236">
        <v>0</v>
      </c>
      <c r="Y333" s="236">
        <v>0</v>
      </c>
      <c r="Z333" s="237">
        <v>894105490</v>
      </c>
      <c r="AA333" s="211">
        <v>131</v>
      </c>
      <c r="AB333" s="212" t="s">
        <v>951</v>
      </c>
      <c r="AC333" s="190" t="s">
        <v>942</v>
      </c>
      <c r="AD333" s="70"/>
    </row>
    <row r="334" spans="1:30" ht="22.35" customHeight="1">
      <c r="A334" s="190" t="s">
        <v>10</v>
      </c>
      <c r="B334" s="215" t="s">
        <v>88</v>
      </c>
      <c r="C334" s="1341">
        <v>45491</v>
      </c>
      <c r="D334" s="216">
        <v>5</v>
      </c>
      <c r="E334" s="214">
        <v>189.03</v>
      </c>
      <c r="F334" s="246">
        <v>945.13</v>
      </c>
      <c r="G334" s="214">
        <v>70</v>
      </c>
      <c r="H334" s="214">
        <v>29.52</v>
      </c>
      <c r="I334" s="214">
        <v>214.1</v>
      </c>
      <c r="J334" s="217">
        <v>576.38</v>
      </c>
      <c r="K334" s="214"/>
      <c r="L334" s="209" t="s">
        <v>276</v>
      </c>
      <c r="M334" s="194"/>
      <c r="N334" s="244" t="s">
        <v>833</v>
      </c>
      <c r="O334" s="190" t="s">
        <v>283</v>
      </c>
      <c r="P334" s="234" t="s">
        <v>97</v>
      </c>
      <c r="Q334" s="212">
        <v>45476</v>
      </c>
      <c r="R334" s="221" t="s">
        <v>834</v>
      </c>
      <c r="S334" s="235">
        <v>228938933</v>
      </c>
      <c r="T334" s="190" t="s">
        <v>835</v>
      </c>
      <c r="U334" s="221" t="s">
        <v>836</v>
      </c>
      <c r="V334" s="236">
        <v>2</v>
      </c>
      <c r="W334" s="236">
        <v>1</v>
      </c>
      <c r="X334" s="236">
        <v>0</v>
      </c>
      <c r="Y334" s="236">
        <v>0</v>
      </c>
      <c r="Z334" s="237">
        <v>952286561</v>
      </c>
      <c r="AA334" s="211">
        <v>15</v>
      </c>
      <c r="AB334" s="212" t="s">
        <v>951</v>
      </c>
      <c r="AC334" s="190" t="s">
        <v>939</v>
      </c>
      <c r="AD334" s="70"/>
    </row>
    <row r="335" spans="1:30" ht="22.35" customHeight="1">
      <c r="A335" s="190" t="s">
        <v>10</v>
      </c>
      <c r="B335" s="215" t="s">
        <v>88</v>
      </c>
      <c r="C335" s="1341">
        <v>45487</v>
      </c>
      <c r="D335" s="216">
        <v>3</v>
      </c>
      <c r="E335" s="214">
        <v>351.86</v>
      </c>
      <c r="F335" s="246">
        <v>1055.5899999999999</v>
      </c>
      <c r="G335" s="214">
        <v>70</v>
      </c>
      <c r="H335" s="214">
        <v>33.299999999999997</v>
      </c>
      <c r="I335" s="214">
        <v>234.34</v>
      </c>
      <c r="J335" s="217">
        <v>657.36</v>
      </c>
      <c r="K335" s="214"/>
      <c r="L335" s="209" t="s">
        <v>276</v>
      </c>
      <c r="M335" s="194">
        <v>5</v>
      </c>
      <c r="N335" s="244" t="s">
        <v>149</v>
      </c>
      <c r="O335" s="190" t="s">
        <v>283</v>
      </c>
      <c r="P335" s="234" t="s">
        <v>97</v>
      </c>
      <c r="Q335" s="212">
        <v>45382</v>
      </c>
      <c r="R335" s="221" t="s">
        <v>150</v>
      </c>
      <c r="S335" s="235">
        <v>124150693</v>
      </c>
      <c r="T335" s="190" t="s">
        <v>151</v>
      </c>
      <c r="U335" s="221" t="s">
        <v>127</v>
      </c>
      <c r="V335" s="236">
        <v>3</v>
      </c>
      <c r="W335" s="236">
        <v>0</v>
      </c>
      <c r="X335" s="236">
        <v>0</v>
      </c>
      <c r="Y335" s="236">
        <v>0</v>
      </c>
      <c r="Z335" s="237">
        <v>903621111</v>
      </c>
      <c r="AA335" s="211">
        <v>105</v>
      </c>
      <c r="AB335" s="212" t="s">
        <v>951</v>
      </c>
      <c r="AC335" s="190" t="s">
        <v>942</v>
      </c>
      <c r="AD335" s="70"/>
    </row>
    <row r="336" spans="1:30" ht="22.35" customHeight="1">
      <c r="A336" s="190" t="s">
        <v>8</v>
      </c>
      <c r="B336" s="215" t="s">
        <v>88</v>
      </c>
      <c r="C336" s="1341">
        <v>45486</v>
      </c>
      <c r="D336" s="216">
        <v>7</v>
      </c>
      <c r="E336" s="214">
        <v>517.92999999999995</v>
      </c>
      <c r="F336" s="246">
        <v>3625.52</v>
      </c>
      <c r="G336" s="214">
        <v>90</v>
      </c>
      <c r="H336" s="214">
        <v>114.37</v>
      </c>
      <c r="I336" s="214">
        <v>684.47</v>
      </c>
      <c r="J336" s="217">
        <v>2378.1</v>
      </c>
      <c r="K336" s="214"/>
      <c r="L336" s="209" t="s">
        <v>276</v>
      </c>
      <c r="M336" s="194">
        <v>5</v>
      </c>
      <c r="N336" s="244" t="s">
        <v>156</v>
      </c>
      <c r="O336" s="190" t="s">
        <v>283</v>
      </c>
      <c r="P336" s="234" t="s">
        <v>89</v>
      </c>
      <c r="Q336" s="212">
        <v>45331</v>
      </c>
      <c r="R336" s="221" t="s">
        <v>157</v>
      </c>
      <c r="S336" s="235">
        <v>349533189</v>
      </c>
      <c r="T336" s="190" t="s">
        <v>158</v>
      </c>
      <c r="U336" s="221" t="s">
        <v>159</v>
      </c>
      <c r="V336" s="236">
        <v>3</v>
      </c>
      <c r="W336" s="236">
        <v>0</v>
      </c>
      <c r="X336" s="236">
        <v>0</v>
      </c>
      <c r="Y336" s="236">
        <v>0</v>
      </c>
      <c r="Z336" s="237">
        <v>877492803</v>
      </c>
      <c r="AA336" s="211">
        <v>155</v>
      </c>
      <c r="AB336" s="212" t="s">
        <v>951</v>
      </c>
      <c r="AC336" s="190" t="s">
        <v>942</v>
      </c>
      <c r="AD336" s="70"/>
    </row>
    <row r="337" spans="1:30" ht="22.35" customHeight="1">
      <c r="A337" s="190" t="s">
        <v>10</v>
      </c>
      <c r="B337" s="215" t="s">
        <v>88</v>
      </c>
      <c r="C337" s="1341">
        <v>45484</v>
      </c>
      <c r="D337" s="216">
        <v>3</v>
      </c>
      <c r="E337" s="214">
        <v>334.75</v>
      </c>
      <c r="F337" s="246">
        <v>1004.24</v>
      </c>
      <c r="G337" s="214">
        <v>70</v>
      </c>
      <c r="H337" s="214">
        <v>31.68</v>
      </c>
      <c r="I337" s="214">
        <v>225.66</v>
      </c>
      <c r="J337" s="217">
        <v>622.66</v>
      </c>
      <c r="K337" s="214"/>
      <c r="L337" s="209" t="s">
        <v>276</v>
      </c>
      <c r="M337" s="194"/>
      <c r="N337" s="244" t="s">
        <v>160</v>
      </c>
      <c r="O337" s="190" t="s">
        <v>283</v>
      </c>
      <c r="P337" s="234" t="s">
        <v>97</v>
      </c>
      <c r="Q337" s="212">
        <v>45321</v>
      </c>
      <c r="R337" s="221" t="s">
        <v>161</v>
      </c>
      <c r="S337" s="235">
        <v>125401126</v>
      </c>
      <c r="T337" s="190" t="s">
        <v>162</v>
      </c>
      <c r="U337" s="221" t="s">
        <v>163</v>
      </c>
      <c r="V337" s="236">
        <v>2</v>
      </c>
      <c r="W337" s="236">
        <v>0</v>
      </c>
      <c r="X337" s="236">
        <v>0</v>
      </c>
      <c r="Y337" s="236">
        <v>0</v>
      </c>
      <c r="Z337" s="237">
        <v>872409848</v>
      </c>
      <c r="AA337" s="211">
        <v>163</v>
      </c>
      <c r="AB337" s="212" t="s">
        <v>951</v>
      </c>
      <c r="AC337" s="190" t="s">
        <v>942</v>
      </c>
      <c r="AD337" s="70"/>
    </row>
    <row r="338" spans="1:30" ht="22.35" customHeight="1">
      <c r="A338" s="190" t="s">
        <v>15</v>
      </c>
      <c r="B338" s="215" t="s">
        <v>88</v>
      </c>
      <c r="C338" s="1341">
        <v>45483</v>
      </c>
      <c r="D338" s="216">
        <v>34</v>
      </c>
      <c r="E338" s="214">
        <v>102.81</v>
      </c>
      <c r="F338" s="246">
        <v>3495.51</v>
      </c>
      <c r="G338" s="214">
        <v>0</v>
      </c>
      <c r="H338" s="214">
        <v>113.76</v>
      </c>
      <c r="I338" s="214">
        <v>0</v>
      </c>
      <c r="J338" s="217">
        <v>3046.24</v>
      </c>
      <c r="K338" s="214"/>
      <c r="L338" s="209" t="s">
        <v>276</v>
      </c>
      <c r="M338" s="194">
        <v>5</v>
      </c>
      <c r="N338" s="244" t="s">
        <v>152</v>
      </c>
      <c r="O338" s="190" t="s">
        <v>283</v>
      </c>
      <c r="P338" s="234" t="s">
        <v>114</v>
      </c>
      <c r="Q338" s="212">
        <v>45188</v>
      </c>
      <c r="R338" s="221" t="s">
        <v>153</v>
      </c>
      <c r="S338" s="235">
        <v>60842916</v>
      </c>
      <c r="T338" s="190" t="s">
        <v>154</v>
      </c>
      <c r="U338" s="221" t="s">
        <v>155</v>
      </c>
      <c r="V338" s="236">
        <v>2</v>
      </c>
      <c r="W338" s="236">
        <v>0</v>
      </c>
      <c r="X338" s="236">
        <v>0</v>
      </c>
      <c r="Y338" s="236">
        <v>0</v>
      </c>
      <c r="Z338" s="237">
        <v>822433388</v>
      </c>
      <c r="AA338" s="211">
        <v>295</v>
      </c>
      <c r="AB338" s="212" t="s">
        <v>951</v>
      </c>
      <c r="AC338" s="190" t="s">
        <v>940</v>
      </c>
      <c r="AD338" s="70"/>
    </row>
    <row r="339" spans="1:30" ht="22.35" customHeight="1">
      <c r="A339" s="190" t="s">
        <v>18</v>
      </c>
      <c r="B339" s="215" t="s">
        <v>88</v>
      </c>
      <c r="C339" s="1341">
        <v>45481</v>
      </c>
      <c r="D339" s="216">
        <v>64</v>
      </c>
      <c r="E339" s="214">
        <v>101.7</v>
      </c>
      <c r="F339" s="246">
        <v>6508.51</v>
      </c>
      <c r="G339" s="214">
        <v>0</v>
      </c>
      <c r="H339" s="214">
        <v>208.63</v>
      </c>
      <c r="I339" s="214">
        <v>0</v>
      </c>
      <c r="J339" s="217">
        <v>5586.17</v>
      </c>
      <c r="K339" s="214"/>
      <c r="L339" s="209" t="s">
        <v>276</v>
      </c>
      <c r="M339" s="194">
        <v>5</v>
      </c>
      <c r="N339" s="244" t="s">
        <v>164</v>
      </c>
      <c r="O339" s="190" t="s">
        <v>283</v>
      </c>
      <c r="P339" s="234" t="s">
        <v>106</v>
      </c>
      <c r="Q339" s="212">
        <v>45171</v>
      </c>
      <c r="R339" s="232" t="s">
        <v>165</v>
      </c>
      <c r="S339" s="235">
        <v>44215204</v>
      </c>
      <c r="T339" s="214" t="s">
        <v>166</v>
      </c>
      <c r="U339" s="221" t="s">
        <v>167</v>
      </c>
      <c r="V339" s="236">
        <v>1</v>
      </c>
      <c r="W339" s="236">
        <v>0</v>
      </c>
      <c r="X339" s="236">
        <v>0</v>
      </c>
      <c r="Y339" s="236">
        <v>0</v>
      </c>
      <c r="Z339" s="237">
        <v>815616470</v>
      </c>
      <c r="AA339" s="211">
        <v>310</v>
      </c>
      <c r="AB339" s="212" t="s">
        <v>951</v>
      </c>
      <c r="AC339" s="190" t="s">
        <v>940</v>
      </c>
      <c r="AD339" s="70"/>
    </row>
    <row r="340" spans="1:30" ht="22.35" customHeight="1">
      <c r="A340" s="190" t="s">
        <v>10</v>
      </c>
      <c r="B340" s="215" t="s">
        <v>88</v>
      </c>
      <c r="C340" s="1341">
        <v>45479</v>
      </c>
      <c r="D340" s="216">
        <v>3</v>
      </c>
      <c r="E340" s="214">
        <v>217.07</v>
      </c>
      <c r="F340" s="246">
        <v>651.22</v>
      </c>
      <c r="G340" s="214">
        <v>70</v>
      </c>
      <c r="H340" s="214">
        <v>20.34</v>
      </c>
      <c r="I340" s="214">
        <v>164.93</v>
      </c>
      <c r="J340" s="217">
        <v>379.73</v>
      </c>
      <c r="K340" s="214"/>
      <c r="L340" s="209" t="s">
        <v>276</v>
      </c>
      <c r="M340" s="194">
        <v>5</v>
      </c>
      <c r="N340" s="244" t="s">
        <v>821</v>
      </c>
      <c r="O340" s="190" t="s">
        <v>283</v>
      </c>
      <c r="P340" s="234" t="s">
        <v>97</v>
      </c>
      <c r="Q340" s="212">
        <v>45470</v>
      </c>
      <c r="R340" s="221" t="s">
        <v>822</v>
      </c>
      <c r="S340" s="235">
        <v>583975750</v>
      </c>
      <c r="T340" s="214" t="s">
        <v>823</v>
      </c>
      <c r="U340" s="221" t="s">
        <v>824</v>
      </c>
      <c r="V340" s="236">
        <v>4</v>
      </c>
      <c r="W340" s="236">
        <v>0</v>
      </c>
      <c r="X340" s="236">
        <v>0</v>
      </c>
      <c r="Y340" s="236">
        <v>0</v>
      </c>
      <c r="Z340" s="237">
        <v>949151585</v>
      </c>
      <c r="AA340" s="211">
        <v>9</v>
      </c>
      <c r="AB340" s="212" t="s">
        <v>951</v>
      </c>
      <c r="AC340" s="190" t="s">
        <v>939</v>
      </c>
      <c r="AD340" s="70"/>
    </row>
    <row r="341" spans="1:30" ht="22.35" customHeight="1">
      <c r="A341" s="190" t="s">
        <v>8</v>
      </c>
      <c r="B341" s="190" t="s">
        <v>88</v>
      </c>
      <c r="C341" s="1341">
        <v>45479</v>
      </c>
      <c r="D341" s="236">
        <v>6</v>
      </c>
      <c r="E341" s="214">
        <v>399.41</v>
      </c>
      <c r="F341" s="246">
        <v>2396.4699999999998</v>
      </c>
      <c r="G341" s="214">
        <v>90</v>
      </c>
      <c r="H341" s="214">
        <v>75.599999999999994</v>
      </c>
      <c r="I341" s="214">
        <v>476.88</v>
      </c>
      <c r="J341" s="214">
        <v>1547.52</v>
      </c>
      <c r="K341" s="214"/>
      <c r="L341" s="209" t="s">
        <v>276</v>
      </c>
      <c r="M341" s="243">
        <v>5</v>
      </c>
      <c r="N341" s="244" t="s">
        <v>168</v>
      </c>
      <c r="O341" s="190" t="s">
        <v>283</v>
      </c>
      <c r="P341" s="234" t="s">
        <v>89</v>
      </c>
      <c r="Q341" s="212">
        <v>45200</v>
      </c>
      <c r="R341" s="221" t="s">
        <v>169</v>
      </c>
      <c r="S341" s="235">
        <v>382445672</v>
      </c>
      <c r="T341" s="190" t="s">
        <v>170</v>
      </c>
      <c r="U341" s="221" t="s">
        <v>171</v>
      </c>
      <c r="V341" s="236">
        <v>4</v>
      </c>
      <c r="W341" s="236">
        <v>1</v>
      </c>
      <c r="X341" s="236">
        <v>1</v>
      </c>
      <c r="Y341" s="236">
        <v>0</v>
      </c>
      <c r="Z341" s="237">
        <v>826966644</v>
      </c>
      <c r="AA341" s="211">
        <v>279</v>
      </c>
      <c r="AB341" s="212" t="s">
        <v>951</v>
      </c>
      <c r="AC341" s="190" t="s">
        <v>940</v>
      </c>
      <c r="AD341" s="70"/>
    </row>
    <row r="342" spans="1:30" ht="22.35" customHeight="1">
      <c r="A342" s="190" t="s">
        <v>8</v>
      </c>
      <c r="B342" s="215" t="s">
        <v>88</v>
      </c>
      <c r="C342" s="1341">
        <v>45476</v>
      </c>
      <c r="D342" s="216">
        <v>3</v>
      </c>
      <c r="E342" s="214">
        <v>388</v>
      </c>
      <c r="F342" s="246">
        <v>1164</v>
      </c>
      <c r="G342" s="214">
        <v>90</v>
      </c>
      <c r="H342" s="214">
        <v>36.72</v>
      </c>
      <c r="I342" s="214">
        <v>268.66000000000003</v>
      </c>
      <c r="J342" s="217">
        <v>714.62</v>
      </c>
      <c r="K342" s="214"/>
      <c r="L342" s="209" t="s">
        <v>276</v>
      </c>
      <c r="M342" s="194"/>
      <c r="N342" s="244" t="s">
        <v>172</v>
      </c>
      <c r="O342" s="190" t="s">
        <v>283</v>
      </c>
      <c r="P342" s="234" t="s">
        <v>89</v>
      </c>
      <c r="Q342" s="212">
        <v>45202</v>
      </c>
      <c r="R342" s="232" t="s">
        <v>173</v>
      </c>
      <c r="S342" s="235">
        <v>540211642</v>
      </c>
      <c r="T342" s="190" t="s">
        <v>174</v>
      </c>
      <c r="U342" s="221" t="s">
        <v>122</v>
      </c>
      <c r="V342" s="236">
        <v>4</v>
      </c>
      <c r="W342" s="236">
        <v>0</v>
      </c>
      <c r="X342" s="236">
        <v>0</v>
      </c>
      <c r="Y342" s="236">
        <v>0</v>
      </c>
      <c r="Z342" s="237">
        <v>827774914</v>
      </c>
      <c r="AA342" s="211">
        <v>274</v>
      </c>
      <c r="AB342" s="212" t="s">
        <v>951</v>
      </c>
      <c r="AC342" s="190" t="s">
        <v>940</v>
      </c>
      <c r="AD342" s="70"/>
    </row>
    <row r="343" spans="1:30" ht="22.35" customHeight="1">
      <c r="A343" s="190" t="s">
        <v>8</v>
      </c>
      <c r="B343" s="190" t="s">
        <v>88</v>
      </c>
      <c r="C343" s="1341">
        <v>45472</v>
      </c>
      <c r="D343" s="236">
        <v>3</v>
      </c>
      <c r="E343" s="214">
        <v>417.67</v>
      </c>
      <c r="F343" s="246">
        <v>1253.01</v>
      </c>
      <c r="G343" s="214">
        <v>90</v>
      </c>
      <c r="H343" s="214">
        <v>39.53</v>
      </c>
      <c r="I343" s="214">
        <v>283.75</v>
      </c>
      <c r="J343" s="214">
        <v>774.78</v>
      </c>
      <c r="K343" s="214"/>
      <c r="L343" s="209" t="s">
        <v>276</v>
      </c>
      <c r="M343" s="243"/>
      <c r="N343" s="244" t="s">
        <v>781</v>
      </c>
      <c r="O343" s="190" t="s">
        <v>283</v>
      </c>
      <c r="P343" s="244" t="s">
        <v>89</v>
      </c>
      <c r="Q343" s="212">
        <v>45444</v>
      </c>
      <c r="R343" s="221" t="s">
        <v>782</v>
      </c>
      <c r="S343" s="235">
        <v>17018409</v>
      </c>
      <c r="T343" s="190" t="s">
        <v>783</v>
      </c>
      <c r="U343" s="221" t="s">
        <v>122</v>
      </c>
      <c r="V343" s="236">
        <v>2</v>
      </c>
      <c r="W343" s="236">
        <v>3</v>
      </c>
      <c r="X343" s="236">
        <v>0</v>
      </c>
      <c r="Y343" s="236">
        <v>0</v>
      </c>
      <c r="Z343" s="237">
        <v>935574834</v>
      </c>
      <c r="AA343" s="211">
        <v>28</v>
      </c>
      <c r="AB343" s="212" t="s">
        <v>952</v>
      </c>
      <c r="AC343" s="190" t="s">
        <v>939</v>
      </c>
      <c r="AD343" s="70"/>
    </row>
    <row r="344" spans="1:30" ht="22.35" customHeight="1">
      <c r="A344" s="190" t="s">
        <v>10</v>
      </c>
      <c r="B344" s="215" t="s">
        <v>88</v>
      </c>
      <c r="C344" s="1341">
        <v>45471</v>
      </c>
      <c r="D344" s="216">
        <v>8</v>
      </c>
      <c r="E344" s="214">
        <v>321.52999999999997</v>
      </c>
      <c r="F344" s="246">
        <v>2572.21</v>
      </c>
      <c r="G344" s="214">
        <v>70</v>
      </c>
      <c r="H344" s="214">
        <v>81.14</v>
      </c>
      <c r="I344" s="214">
        <v>490.47</v>
      </c>
      <c r="J344" s="217">
        <v>1682.28</v>
      </c>
      <c r="K344" s="214"/>
      <c r="L344" s="209" t="s">
        <v>276</v>
      </c>
      <c r="M344" s="194"/>
      <c r="N344" s="244" t="s">
        <v>175</v>
      </c>
      <c r="O344" s="190" t="s">
        <v>283</v>
      </c>
      <c r="P344" s="234" t="s">
        <v>97</v>
      </c>
      <c r="Q344" s="212">
        <v>45271</v>
      </c>
      <c r="R344" s="221" t="s">
        <v>176</v>
      </c>
      <c r="S344" s="235">
        <v>409770688</v>
      </c>
      <c r="T344" s="190" t="s">
        <v>177</v>
      </c>
      <c r="U344" s="221" t="s">
        <v>122</v>
      </c>
      <c r="V344" s="236">
        <v>2</v>
      </c>
      <c r="W344" s="236">
        <v>2</v>
      </c>
      <c r="X344" s="236">
        <v>0</v>
      </c>
      <c r="Y344" s="236">
        <v>0</v>
      </c>
      <c r="Z344" s="237">
        <v>851247105</v>
      </c>
      <c r="AA344" s="211">
        <v>200</v>
      </c>
      <c r="AB344" s="212" t="s">
        <v>952</v>
      </c>
      <c r="AC344" s="190" t="s">
        <v>940</v>
      </c>
      <c r="AD344" s="70"/>
    </row>
    <row r="345" spans="1:30" ht="22.35" customHeight="1">
      <c r="A345" s="190" t="s">
        <v>8</v>
      </c>
      <c r="B345" s="190" t="s">
        <v>88</v>
      </c>
      <c r="C345" s="1341">
        <v>45469</v>
      </c>
      <c r="D345" s="236">
        <v>3</v>
      </c>
      <c r="E345" s="214">
        <v>276.62</v>
      </c>
      <c r="F345" s="246">
        <v>829.87</v>
      </c>
      <c r="G345" s="214">
        <v>90</v>
      </c>
      <c r="H345" s="214">
        <v>25.92</v>
      </c>
      <c r="I345" s="214">
        <v>210.82</v>
      </c>
      <c r="J345" s="214">
        <v>483.26</v>
      </c>
      <c r="K345" s="214"/>
      <c r="L345" s="209" t="s">
        <v>276</v>
      </c>
      <c r="M345" s="243"/>
      <c r="N345" s="244" t="s">
        <v>798</v>
      </c>
      <c r="O345" s="190" t="s">
        <v>283</v>
      </c>
      <c r="P345" s="234" t="s">
        <v>89</v>
      </c>
      <c r="Q345" s="212">
        <v>45461</v>
      </c>
      <c r="R345" s="221" t="s">
        <v>799</v>
      </c>
      <c r="S345" s="235">
        <v>524975831</v>
      </c>
      <c r="T345" s="190" t="s">
        <v>800</v>
      </c>
      <c r="U345" s="221" t="s">
        <v>801</v>
      </c>
      <c r="V345" s="236">
        <v>2</v>
      </c>
      <c r="W345" s="236">
        <v>2</v>
      </c>
      <c r="X345" s="236">
        <v>0</v>
      </c>
      <c r="Y345" s="236">
        <v>0</v>
      </c>
      <c r="Z345" s="237">
        <v>944295752</v>
      </c>
      <c r="AA345" s="211">
        <v>8</v>
      </c>
      <c r="AB345" s="212" t="s">
        <v>952</v>
      </c>
      <c r="AC345" s="190" t="s">
        <v>939</v>
      </c>
      <c r="AD345" s="70"/>
    </row>
    <row r="346" spans="1:30" ht="22.35" customHeight="1">
      <c r="A346" s="190" t="s">
        <v>10</v>
      </c>
      <c r="B346" s="215" t="s">
        <v>88</v>
      </c>
      <c r="C346" s="1341">
        <v>45468</v>
      </c>
      <c r="D346" s="216">
        <v>3</v>
      </c>
      <c r="E346" s="214">
        <v>368.98</v>
      </c>
      <c r="F346" s="246">
        <v>1106.94</v>
      </c>
      <c r="G346" s="214">
        <v>70</v>
      </c>
      <c r="H346" s="214">
        <v>34.92</v>
      </c>
      <c r="I346" s="214">
        <v>243.02</v>
      </c>
      <c r="J346" s="217">
        <v>692.06</v>
      </c>
      <c r="K346" s="214"/>
      <c r="L346" s="209" t="s">
        <v>276</v>
      </c>
      <c r="M346" s="194"/>
      <c r="N346" s="244" t="s">
        <v>178</v>
      </c>
      <c r="O346" s="190" t="s">
        <v>283</v>
      </c>
      <c r="P346" s="234" t="s">
        <v>97</v>
      </c>
      <c r="Q346" s="212">
        <v>45331</v>
      </c>
      <c r="R346" s="221" t="s">
        <v>179</v>
      </c>
      <c r="S346" s="235">
        <v>122554887</v>
      </c>
      <c r="T346" s="190" t="s">
        <v>180</v>
      </c>
      <c r="U346" s="221" t="s">
        <v>181</v>
      </c>
      <c r="V346" s="236">
        <v>4</v>
      </c>
      <c r="W346" s="236">
        <v>0</v>
      </c>
      <c r="X346" s="236">
        <v>0</v>
      </c>
      <c r="Y346" s="236">
        <v>0</v>
      </c>
      <c r="Z346" s="237">
        <v>877559845</v>
      </c>
      <c r="AA346" s="211">
        <v>137</v>
      </c>
      <c r="AB346" s="212" t="s">
        <v>952</v>
      </c>
      <c r="AC346" s="190" t="s">
        <v>942</v>
      </c>
      <c r="AD346" s="70"/>
    </row>
    <row r="347" spans="1:30" ht="22.35" customHeight="1">
      <c r="A347" s="190" t="s">
        <v>10</v>
      </c>
      <c r="B347" s="215" t="s">
        <v>88</v>
      </c>
      <c r="C347" s="1341">
        <v>45466</v>
      </c>
      <c r="D347" s="216">
        <v>2</v>
      </c>
      <c r="E347" s="214">
        <v>301.83999999999997</v>
      </c>
      <c r="F347" s="246">
        <v>603.67999999999995</v>
      </c>
      <c r="G347" s="214">
        <v>70</v>
      </c>
      <c r="H347" s="214">
        <v>19.04</v>
      </c>
      <c r="I347" s="214">
        <v>157.88999999999999</v>
      </c>
      <c r="J347" s="217">
        <v>351.96</v>
      </c>
      <c r="K347" s="214"/>
      <c r="L347" s="209" t="s">
        <v>276</v>
      </c>
      <c r="M347" s="194"/>
      <c r="N347" s="244" t="s">
        <v>182</v>
      </c>
      <c r="O347" s="190" t="s">
        <v>283</v>
      </c>
      <c r="P347" s="234" t="s">
        <v>97</v>
      </c>
      <c r="Q347" s="212">
        <v>45402</v>
      </c>
      <c r="R347" s="221" t="s">
        <v>183</v>
      </c>
      <c r="S347" s="235">
        <v>153976421</v>
      </c>
      <c r="T347" s="190" t="s">
        <v>184</v>
      </c>
      <c r="U347" s="221" t="s">
        <v>122</v>
      </c>
      <c r="V347" s="236">
        <v>2</v>
      </c>
      <c r="W347" s="236">
        <v>0</v>
      </c>
      <c r="X347" s="236">
        <v>0</v>
      </c>
      <c r="Y347" s="236">
        <v>0</v>
      </c>
      <c r="Z347" s="237">
        <v>914137544</v>
      </c>
      <c r="AA347" s="211">
        <v>64</v>
      </c>
      <c r="AB347" s="212" t="s">
        <v>952</v>
      </c>
      <c r="AC347" s="190" t="s">
        <v>943</v>
      </c>
      <c r="AD347" s="70"/>
    </row>
    <row r="348" spans="1:30" ht="22.35" customHeight="1">
      <c r="A348" s="190" t="s">
        <v>8</v>
      </c>
      <c r="B348" s="215" t="s">
        <v>88</v>
      </c>
      <c r="C348" s="1341">
        <v>45466</v>
      </c>
      <c r="D348" s="216">
        <v>3</v>
      </c>
      <c r="E348" s="214">
        <v>415.91</v>
      </c>
      <c r="F348" s="246">
        <v>1247.72</v>
      </c>
      <c r="G348" s="214">
        <v>90</v>
      </c>
      <c r="H348" s="214">
        <v>38.880000000000003</v>
      </c>
      <c r="I348" s="214">
        <v>280.22000000000003</v>
      </c>
      <c r="J348" s="217">
        <v>760.9</v>
      </c>
      <c r="K348" s="214"/>
      <c r="L348" s="209" t="s">
        <v>276</v>
      </c>
      <c r="M348" s="194">
        <v>5</v>
      </c>
      <c r="N348" s="244" t="s">
        <v>185</v>
      </c>
      <c r="O348" s="190" t="s">
        <v>283</v>
      </c>
      <c r="P348" s="234" t="s">
        <v>89</v>
      </c>
      <c r="Q348" s="212">
        <v>45216</v>
      </c>
      <c r="R348" s="232" t="s">
        <v>186</v>
      </c>
      <c r="S348" s="235">
        <v>461474461</v>
      </c>
      <c r="T348" s="214" t="s">
        <v>187</v>
      </c>
      <c r="U348" s="221" t="s">
        <v>188</v>
      </c>
      <c r="V348" s="236">
        <v>4</v>
      </c>
      <c r="W348" s="236">
        <v>0</v>
      </c>
      <c r="X348" s="236">
        <v>0</v>
      </c>
      <c r="Y348" s="236">
        <v>0</v>
      </c>
      <c r="Z348" s="237">
        <v>832800051</v>
      </c>
      <c r="AA348" s="211">
        <v>250</v>
      </c>
      <c r="AB348" s="212" t="s">
        <v>952</v>
      </c>
      <c r="AC348" s="190" t="s">
        <v>940</v>
      </c>
      <c r="AD348" s="70"/>
    </row>
    <row r="349" spans="1:30" ht="22.35" customHeight="1">
      <c r="A349" s="190" t="s">
        <v>10</v>
      </c>
      <c r="B349" s="190" t="s">
        <v>88</v>
      </c>
      <c r="C349" s="1341">
        <v>45462</v>
      </c>
      <c r="D349" s="236">
        <v>4</v>
      </c>
      <c r="E349" s="214">
        <v>298.99</v>
      </c>
      <c r="F349" s="246">
        <v>1195.95</v>
      </c>
      <c r="G349" s="214">
        <v>70</v>
      </c>
      <c r="H349" s="214">
        <v>37.72</v>
      </c>
      <c r="I349" s="214">
        <v>257.83</v>
      </c>
      <c r="J349" s="214">
        <v>752.23</v>
      </c>
      <c r="K349" s="214"/>
      <c r="L349" s="209" t="s">
        <v>276</v>
      </c>
      <c r="M349" s="243">
        <v>5</v>
      </c>
      <c r="N349" s="244" t="s">
        <v>189</v>
      </c>
      <c r="O349" s="190" t="s">
        <v>283</v>
      </c>
      <c r="P349" s="234" t="s">
        <v>97</v>
      </c>
      <c r="Q349" s="212">
        <v>45388</v>
      </c>
      <c r="R349" s="221" t="s">
        <v>190</v>
      </c>
      <c r="S349" s="235">
        <v>74682434</v>
      </c>
      <c r="T349" s="190" t="s">
        <v>191</v>
      </c>
      <c r="U349" s="221" t="s">
        <v>192</v>
      </c>
      <c r="V349" s="236">
        <v>3</v>
      </c>
      <c r="W349" s="236">
        <v>0</v>
      </c>
      <c r="X349" s="236">
        <v>0</v>
      </c>
      <c r="Y349" s="236">
        <v>0</v>
      </c>
      <c r="Z349" s="237">
        <v>906448913</v>
      </c>
      <c r="AA349" s="211">
        <v>74</v>
      </c>
      <c r="AB349" s="212" t="s">
        <v>952</v>
      </c>
      <c r="AC349" s="190" t="s">
        <v>943</v>
      </c>
      <c r="AD349" s="70"/>
    </row>
    <row r="350" spans="1:30" ht="22.35" customHeight="1">
      <c r="A350" s="190" t="s">
        <v>8</v>
      </c>
      <c r="B350" s="215" t="s">
        <v>23</v>
      </c>
      <c r="C350" s="1341">
        <v>45462</v>
      </c>
      <c r="D350" s="216">
        <v>3</v>
      </c>
      <c r="E350" s="214">
        <v>345.6</v>
      </c>
      <c r="F350" s="246" t="s">
        <v>2073</v>
      </c>
      <c r="G350" s="214">
        <v>90</v>
      </c>
      <c r="H350" s="214">
        <v>176.26</v>
      </c>
      <c r="I350" s="214">
        <v>244.11</v>
      </c>
      <c r="J350" s="217">
        <v>616.42999999999995</v>
      </c>
      <c r="K350" s="214"/>
      <c r="L350" s="209" t="s">
        <v>276</v>
      </c>
      <c r="M350" s="194">
        <v>9</v>
      </c>
      <c r="N350" s="244" t="s">
        <v>193</v>
      </c>
      <c r="O350" s="190" t="s">
        <v>283</v>
      </c>
      <c r="P350" s="244"/>
      <c r="Q350" s="212">
        <v>45240</v>
      </c>
      <c r="R350" s="329" t="s">
        <v>2072</v>
      </c>
      <c r="S350" s="235"/>
      <c r="T350" s="214"/>
      <c r="U350" s="233"/>
      <c r="V350" s="236"/>
      <c r="W350" s="236"/>
      <c r="X350" s="236"/>
      <c r="Y350" s="236"/>
      <c r="Z350" s="237"/>
      <c r="AA350" s="211">
        <v>222</v>
      </c>
      <c r="AB350" s="212" t="s">
        <v>952</v>
      </c>
      <c r="AC350" s="190" t="s">
        <v>940</v>
      </c>
      <c r="AD350" s="70"/>
    </row>
    <row r="351" spans="1:30" ht="22.35" customHeight="1">
      <c r="A351" s="190" t="s">
        <v>8</v>
      </c>
      <c r="B351" s="215" t="s">
        <v>88</v>
      </c>
      <c r="C351" s="1341">
        <v>45460</v>
      </c>
      <c r="D351" s="216">
        <v>2</v>
      </c>
      <c r="E351" s="214">
        <v>427.94</v>
      </c>
      <c r="F351" s="246">
        <v>855.88</v>
      </c>
      <c r="G351" s="214">
        <v>90</v>
      </c>
      <c r="H351" s="214">
        <v>27</v>
      </c>
      <c r="I351" s="214">
        <v>216.6</v>
      </c>
      <c r="J351" s="217">
        <v>506.4</v>
      </c>
      <c r="K351" s="214"/>
      <c r="L351" s="209" t="s">
        <v>276</v>
      </c>
      <c r="M351" s="194">
        <v>5</v>
      </c>
      <c r="N351" s="244" t="s">
        <v>194</v>
      </c>
      <c r="O351" s="190" t="s">
        <v>283</v>
      </c>
      <c r="P351" s="234" t="s">
        <v>89</v>
      </c>
      <c r="Q351" s="212">
        <v>45382</v>
      </c>
      <c r="R351" s="221" t="s">
        <v>195</v>
      </c>
      <c r="S351" s="235">
        <v>91177999</v>
      </c>
      <c r="T351" s="190" t="s">
        <v>196</v>
      </c>
      <c r="U351" s="221" t="s">
        <v>197</v>
      </c>
      <c r="V351" s="236">
        <v>1</v>
      </c>
      <c r="W351" s="236">
        <v>0</v>
      </c>
      <c r="X351" s="236">
        <v>0</v>
      </c>
      <c r="Y351" s="236">
        <v>0</v>
      </c>
      <c r="Z351" s="237">
        <v>903322020</v>
      </c>
      <c r="AA351" s="211">
        <v>78</v>
      </c>
      <c r="AB351" s="212" t="s">
        <v>952</v>
      </c>
      <c r="AC351" s="190" t="s">
        <v>943</v>
      </c>
      <c r="AD351" s="70"/>
    </row>
    <row r="352" spans="1:30" ht="22.35" customHeight="1">
      <c r="A352" s="190" t="s">
        <v>10</v>
      </c>
      <c r="B352" s="190" t="s">
        <v>88</v>
      </c>
      <c r="C352" s="1341">
        <v>45459</v>
      </c>
      <c r="D352" s="236">
        <v>3</v>
      </c>
      <c r="E352" s="214">
        <v>305.64999999999998</v>
      </c>
      <c r="F352" s="246">
        <v>916.94</v>
      </c>
      <c r="G352" s="214">
        <v>70</v>
      </c>
      <c r="H352" s="214">
        <v>28.93</v>
      </c>
      <c r="I352" s="214">
        <v>211.03</v>
      </c>
      <c r="J352" s="214">
        <v>563.65</v>
      </c>
      <c r="K352" s="214"/>
      <c r="L352" s="209" t="s">
        <v>276</v>
      </c>
      <c r="M352" s="243">
        <v>5</v>
      </c>
      <c r="N352" s="244" t="s">
        <v>748</v>
      </c>
      <c r="O352" s="190" t="s">
        <v>283</v>
      </c>
      <c r="P352" s="234" t="s">
        <v>97</v>
      </c>
      <c r="Q352" s="212">
        <v>45414</v>
      </c>
      <c r="R352" s="221" t="s">
        <v>749</v>
      </c>
      <c r="S352" s="235">
        <v>1727726</v>
      </c>
      <c r="T352" s="190" t="s">
        <v>750</v>
      </c>
      <c r="U352" s="221" t="s">
        <v>127</v>
      </c>
      <c r="V352" s="236">
        <v>2</v>
      </c>
      <c r="W352" s="236">
        <v>1</v>
      </c>
      <c r="X352" s="236">
        <v>0</v>
      </c>
      <c r="Y352" s="236">
        <v>0</v>
      </c>
      <c r="Z352" s="237">
        <v>920197026</v>
      </c>
      <c r="AA352" s="211">
        <v>45</v>
      </c>
      <c r="AB352" s="212" t="s">
        <v>952</v>
      </c>
      <c r="AC352" s="190" t="s">
        <v>941</v>
      </c>
      <c r="AD352" s="70"/>
    </row>
    <row r="353" spans="1:30" ht="22.35" customHeight="1">
      <c r="A353" s="190" t="s">
        <v>8</v>
      </c>
      <c r="B353" s="190" t="s">
        <v>23</v>
      </c>
      <c r="C353" s="1341">
        <v>45457</v>
      </c>
      <c r="D353" s="236">
        <v>3</v>
      </c>
      <c r="E353" s="214">
        <v>369</v>
      </c>
      <c r="F353" s="246" t="s">
        <v>2071</v>
      </c>
      <c r="G353" s="214">
        <v>90</v>
      </c>
      <c r="H353" s="214">
        <v>188.19</v>
      </c>
      <c r="I353" s="214">
        <v>255.76</v>
      </c>
      <c r="J353" s="214">
        <v>663.05</v>
      </c>
      <c r="K353" s="214"/>
      <c r="L353" s="209" t="s">
        <v>276</v>
      </c>
      <c r="M353" s="243">
        <v>10</v>
      </c>
      <c r="N353" s="244" t="s">
        <v>198</v>
      </c>
      <c r="O353" s="190" t="s">
        <v>283</v>
      </c>
      <c r="P353" s="244"/>
      <c r="Q353" s="212">
        <v>45231</v>
      </c>
      <c r="R353" s="329" t="s">
        <v>2070</v>
      </c>
      <c r="S353" s="235"/>
      <c r="T353" s="214"/>
      <c r="U353" s="233"/>
      <c r="V353" s="236"/>
      <c r="W353" s="236"/>
      <c r="X353" s="236"/>
      <c r="Y353" s="236"/>
      <c r="Z353" s="237"/>
      <c r="AA353" s="211">
        <v>226</v>
      </c>
      <c r="AB353" s="212" t="s">
        <v>952</v>
      </c>
      <c r="AC353" s="190" t="s">
        <v>940</v>
      </c>
      <c r="AD353" s="70"/>
    </row>
    <row r="354" spans="1:30" ht="22.35" customHeight="1">
      <c r="A354" s="190" t="s">
        <v>10</v>
      </c>
      <c r="B354" s="190" t="s">
        <v>88</v>
      </c>
      <c r="C354" s="1341">
        <v>45455</v>
      </c>
      <c r="D354" s="236">
        <v>4</v>
      </c>
      <c r="E354" s="214">
        <v>293.85000000000002</v>
      </c>
      <c r="F354" s="246">
        <v>1175.4100000000001</v>
      </c>
      <c r="G354" s="214">
        <v>70</v>
      </c>
      <c r="H354" s="214">
        <v>37.08</v>
      </c>
      <c r="I354" s="214">
        <v>254.58</v>
      </c>
      <c r="J354" s="214">
        <v>738.34</v>
      </c>
      <c r="K354" s="214"/>
      <c r="L354" s="209" t="s">
        <v>276</v>
      </c>
      <c r="M354" s="243"/>
      <c r="N354" s="244" t="s">
        <v>199</v>
      </c>
      <c r="O354" s="190" t="s">
        <v>283</v>
      </c>
      <c r="P354" s="234" t="s">
        <v>97</v>
      </c>
      <c r="Q354" s="212">
        <v>45206</v>
      </c>
      <c r="R354" s="232" t="s">
        <v>200</v>
      </c>
      <c r="S354" s="235">
        <v>11247282</v>
      </c>
      <c r="T354" s="190" t="s">
        <v>201</v>
      </c>
      <c r="U354" s="221" t="s">
        <v>202</v>
      </c>
      <c r="V354" s="236">
        <v>2</v>
      </c>
      <c r="W354" s="236">
        <v>0</v>
      </c>
      <c r="X354" s="236">
        <v>0</v>
      </c>
      <c r="Y354" s="236">
        <v>0</v>
      </c>
      <c r="Z354" s="237">
        <v>829288507</v>
      </c>
      <c r="AA354" s="211">
        <v>249</v>
      </c>
      <c r="AB354" s="212" t="s">
        <v>952</v>
      </c>
      <c r="AC354" s="190" t="s">
        <v>940</v>
      </c>
      <c r="AD354" s="70"/>
    </row>
    <row r="355" spans="1:30" ht="22.35" customHeight="1">
      <c r="A355" s="190" t="s">
        <v>8</v>
      </c>
      <c r="B355" s="190" t="s">
        <v>88</v>
      </c>
      <c r="C355" s="1341">
        <v>45450</v>
      </c>
      <c r="D355" s="236">
        <v>7</v>
      </c>
      <c r="E355" s="214">
        <v>359.47</v>
      </c>
      <c r="F355" s="246">
        <v>2516.3000000000002</v>
      </c>
      <c r="G355" s="214">
        <v>90</v>
      </c>
      <c r="H355" s="214">
        <v>79.38</v>
      </c>
      <c r="I355" s="214">
        <v>497.12</v>
      </c>
      <c r="J355" s="214">
        <v>1628.5</v>
      </c>
      <c r="K355" s="214"/>
      <c r="L355" s="209" t="s">
        <v>276</v>
      </c>
      <c r="M355" s="243">
        <v>5</v>
      </c>
      <c r="N355" s="244" t="s">
        <v>203</v>
      </c>
      <c r="O355" s="190" t="s">
        <v>283</v>
      </c>
      <c r="P355" s="234" t="s">
        <v>89</v>
      </c>
      <c r="Q355" s="212">
        <v>45209</v>
      </c>
      <c r="R355" s="232" t="s">
        <v>204</v>
      </c>
      <c r="S355" s="235">
        <v>540001066</v>
      </c>
      <c r="T355" s="190" t="s">
        <v>205</v>
      </c>
      <c r="U355" s="221" t="s">
        <v>122</v>
      </c>
      <c r="V355" s="236">
        <v>4</v>
      </c>
      <c r="W355" s="236">
        <v>0</v>
      </c>
      <c r="X355" s="236">
        <v>0</v>
      </c>
      <c r="Y355" s="236">
        <v>0</v>
      </c>
      <c r="Z355" s="237">
        <v>830368434</v>
      </c>
      <c r="AA355" s="211">
        <v>241</v>
      </c>
      <c r="AB355" s="212" t="s">
        <v>952</v>
      </c>
      <c r="AC355" s="190" t="s">
        <v>940</v>
      </c>
      <c r="AD355" s="70"/>
    </row>
    <row r="356" spans="1:30" ht="22.35" customHeight="1">
      <c r="A356" s="190" t="s">
        <v>10</v>
      </c>
      <c r="B356" s="215" t="s">
        <v>88</v>
      </c>
      <c r="C356" s="1341">
        <v>45449</v>
      </c>
      <c r="D356" s="216">
        <v>4</v>
      </c>
      <c r="E356" s="214">
        <v>298.99</v>
      </c>
      <c r="F356" s="246">
        <v>1195.95</v>
      </c>
      <c r="G356" s="214">
        <v>70</v>
      </c>
      <c r="H356" s="214">
        <v>37.729999999999997</v>
      </c>
      <c r="I356" s="214">
        <v>258.11</v>
      </c>
      <c r="J356" s="217">
        <v>752.22</v>
      </c>
      <c r="K356" s="214"/>
      <c r="L356" s="209" t="s">
        <v>276</v>
      </c>
      <c r="M356" s="194">
        <v>5</v>
      </c>
      <c r="N356" s="244" t="s">
        <v>206</v>
      </c>
      <c r="O356" s="190" t="s">
        <v>283</v>
      </c>
      <c r="P356" s="234" t="s">
        <v>97</v>
      </c>
      <c r="Q356" s="212">
        <v>45395</v>
      </c>
      <c r="R356" s="221" t="s">
        <v>207</v>
      </c>
      <c r="S356" s="235">
        <v>190789930</v>
      </c>
      <c r="T356" s="190" t="s">
        <v>208</v>
      </c>
      <c r="U356" s="221" t="s">
        <v>122</v>
      </c>
      <c r="V356" s="236">
        <v>2</v>
      </c>
      <c r="W356" s="236">
        <v>1</v>
      </c>
      <c r="X356" s="236">
        <v>0</v>
      </c>
      <c r="Y356" s="236">
        <v>0</v>
      </c>
      <c r="Z356" s="237">
        <v>910373452</v>
      </c>
      <c r="AA356" s="211">
        <v>54</v>
      </c>
      <c r="AB356" s="212" t="s">
        <v>952</v>
      </c>
      <c r="AC356" s="190" t="s">
        <v>941</v>
      </c>
      <c r="AD356" s="70"/>
    </row>
    <row r="357" spans="1:30" ht="22.35" customHeight="1">
      <c r="A357" s="187" t="s">
        <v>10</v>
      </c>
      <c r="B357" s="195" t="s">
        <v>88</v>
      </c>
      <c r="C357" s="1341">
        <v>45447</v>
      </c>
      <c r="D357" s="194">
        <v>2</v>
      </c>
      <c r="E357" s="188">
        <v>213.23</v>
      </c>
      <c r="F357" s="246">
        <v>426.46</v>
      </c>
      <c r="G357" s="188">
        <v>70</v>
      </c>
      <c r="H357" s="188">
        <v>13.32</v>
      </c>
      <c r="I357" s="188">
        <v>127.34</v>
      </c>
      <c r="J357" s="208">
        <v>229.34</v>
      </c>
      <c r="K357" s="188"/>
      <c r="L357" s="209" t="s">
        <v>276</v>
      </c>
      <c r="M357" s="194"/>
      <c r="N357" s="238" t="s">
        <v>778</v>
      </c>
      <c r="O357" s="207" t="s">
        <v>283</v>
      </c>
      <c r="P357" s="238" t="s">
        <v>97</v>
      </c>
      <c r="Q357" s="239">
        <v>45441</v>
      </c>
      <c r="R357" s="202" t="s">
        <v>779</v>
      </c>
      <c r="S357" s="240">
        <v>328527685</v>
      </c>
      <c r="T357" s="207" t="s">
        <v>780</v>
      </c>
      <c r="U357" s="202" t="s">
        <v>155</v>
      </c>
      <c r="V357" s="241">
        <v>3</v>
      </c>
      <c r="W357" s="241">
        <v>0</v>
      </c>
      <c r="X357" s="241">
        <v>0</v>
      </c>
      <c r="Y357" s="241">
        <v>0</v>
      </c>
      <c r="Z357" s="242">
        <v>934092224</v>
      </c>
      <c r="AA357" s="211">
        <v>6</v>
      </c>
      <c r="AB357" s="212" t="s">
        <v>952</v>
      </c>
      <c r="AC357" s="190" t="s">
        <v>939</v>
      </c>
      <c r="AD357" s="70"/>
    </row>
    <row r="358" spans="1:30" ht="22.35" customHeight="1">
      <c r="A358" s="190" t="s">
        <v>10</v>
      </c>
      <c r="B358" s="190" t="s">
        <v>88</v>
      </c>
      <c r="C358" s="1341">
        <v>45444</v>
      </c>
      <c r="D358" s="236">
        <v>3</v>
      </c>
      <c r="E358" s="214">
        <v>218.49</v>
      </c>
      <c r="F358" s="246">
        <v>655.46</v>
      </c>
      <c r="G358" s="214">
        <v>70</v>
      </c>
      <c r="H358" s="214">
        <v>20.170000000000002</v>
      </c>
      <c r="I358" s="214">
        <v>163.85</v>
      </c>
      <c r="J358" s="214">
        <v>376.26</v>
      </c>
      <c r="K358" s="214"/>
      <c r="L358" s="209" t="s">
        <v>276</v>
      </c>
      <c r="M358" s="243"/>
      <c r="N358" s="244" t="s">
        <v>770</v>
      </c>
      <c r="O358" s="190" t="s">
        <v>283</v>
      </c>
      <c r="P358" s="234" t="s">
        <v>97</v>
      </c>
      <c r="Q358" s="212">
        <v>45437</v>
      </c>
      <c r="R358" s="221" t="s">
        <v>771</v>
      </c>
      <c r="S358" s="235">
        <v>447081540</v>
      </c>
      <c r="T358" s="214" t="s">
        <v>772</v>
      </c>
      <c r="U358" s="221" t="s">
        <v>773</v>
      </c>
      <c r="V358" s="236">
        <v>3</v>
      </c>
      <c r="W358" s="236">
        <v>0</v>
      </c>
      <c r="X358" s="236">
        <v>0</v>
      </c>
      <c r="Y358" s="236">
        <v>0</v>
      </c>
      <c r="Z358" s="237">
        <v>931660472</v>
      </c>
      <c r="AA358" s="211">
        <v>7</v>
      </c>
      <c r="AB358" s="212" t="s">
        <v>952</v>
      </c>
      <c r="AC358" s="190" t="s">
        <v>939</v>
      </c>
      <c r="AD358" s="70"/>
    </row>
    <row r="359" spans="1:30" ht="22.35" customHeight="1">
      <c r="A359" s="190" t="s">
        <v>10</v>
      </c>
      <c r="B359" s="215" t="s">
        <v>88</v>
      </c>
      <c r="C359" s="1341">
        <v>45444</v>
      </c>
      <c r="D359" s="216">
        <v>4</v>
      </c>
      <c r="E359" s="214">
        <v>0</v>
      </c>
      <c r="F359" s="246">
        <v>0</v>
      </c>
      <c r="G359" s="214">
        <v>0</v>
      </c>
      <c r="H359" s="214"/>
      <c r="I359" s="214">
        <v>93.51</v>
      </c>
      <c r="J359" s="217">
        <v>374.03</v>
      </c>
      <c r="K359" s="214"/>
      <c r="L359" s="209" t="s">
        <v>276</v>
      </c>
      <c r="M359" s="194"/>
      <c r="N359" s="244"/>
      <c r="O359" s="190" t="s">
        <v>283</v>
      </c>
      <c r="P359" s="234" t="s">
        <v>97</v>
      </c>
      <c r="Q359" s="212">
        <v>45243</v>
      </c>
      <c r="R359" s="221" t="s">
        <v>211</v>
      </c>
      <c r="S359" s="235">
        <v>470424224</v>
      </c>
      <c r="T359" s="214" t="s">
        <v>212</v>
      </c>
      <c r="U359" s="221" t="s">
        <v>213</v>
      </c>
      <c r="V359" s="236">
        <v>1</v>
      </c>
      <c r="W359" s="236">
        <v>0</v>
      </c>
      <c r="X359" s="236">
        <v>0</v>
      </c>
      <c r="Y359" s="236">
        <v>0</v>
      </c>
      <c r="Z359" s="237">
        <v>842297770</v>
      </c>
      <c r="AA359" s="247">
        <v>201</v>
      </c>
      <c r="AB359" s="212" t="s">
        <v>952</v>
      </c>
      <c r="AC359" s="190" t="s">
        <v>940</v>
      </c>
      <c r="AD359" s="70"/>
    </row>
    <row r="360" spans="1:30" ht="22.35" customHeight="1">
      <c r="A360" s="190" t="s">
        <v>18</v>
      </c>
      <c r="B360" s="190" t="s">
        <v>88</v>
      </c>
      <c r="C360" s="1341">
        <v>45444</v>
      </c>
      <c r="D360" s="236">
        <v>30</v>
      </c>
      <c r="E360" s="214">
        <v>77.430000000000007</v>
      </c>
      <c r="F360" s="246">
        <v>2322.9699999999998</v>
      </c>
      <c r="G360" s="214">
        <v>0</v>
      </c>
      <c r="H360" s="214">
        <v>75.599999999999994</v>
      </c>
      <c r="I360" s="214">
        <v>0</v>
      </c>
      <c r="J360" s="214">
        <v>2024.4</v>
      </c>
      <c r="K360" s="214"/>
      <c r="L360" s="209" t="s">
        <v>276</v>
      </c>
      <c r="M360" s="243">
        <v>5</v>
      </c>
      <c r="N360" s="244" t="s">
        <v>209</v>
      </c>
      <c r="O360" s="190" t="s">
        <v>283</v>
      </c>
      <c r="P360" s="234" t="s">
        <v>106</v>
      </c>
      <c r="Q360" s="212">
        <v>45353</v>
      </c>
      <c r="R360" s="221" t="s">
        <v>20</v>
      </c>
      <c r="S360" s="235">
        <v>352763040</v>
      </c>
      <c r="T360" s="190" t="s">
        <v>210</v>
      </c>
      <c r="U360" s="221" t="s">
        <v>122</v>
      </c>
      <c r="V360" s="236">
        <v>2</v>
      </c>
      <c r="W360" s="236">
        <v>0</v>
      </c>
      <c r="X360" s="236">
        <v>0</v>
      </c>
      <c r="Y360" s="236">
        <v>0</v>
      </c>
      <c r="Z360" s="237">
        <v>888657510</v>
      </c>
      <c r="AA360" s="211">
        <v>91</v>
      </c>
      <c r="AB360" s="245" t="s">
        <v>952</v>
      </c>
      <c r="AC360" s="246" t="s">
        <v>942</v>
      </c>
      <c r="AD360" s="70"/>
    </row>
    <row r="361" spans="1:30" ht="22.35" customHeight="1">
      <c r="A361" s="190" t="s">
        <v>8</v>
      </c>
      <c r="B361" s="215" t="s">
        <v>88</v>
      </c>
      <c r="C361" s="1341">
        <v>45442</v>
      </c>
      <c r="D361" s="216">
        <v>8</v>
      </c>
      <c r="E361" s="214">
        <v>356.9</v>
      </c>
      <c r="F361" s="246">
        <v>2855.22</v>
      </c>
      <c r="G361" s="214">
        <v>90</v>
      </c>
      <c r="H361" s="214">
        <v>90.07</v>
      </c>
      <c r="I361" s="214">
        <v>554.33000000000004</v>
      </c>
      <c r="J361" s="217">
        <v>1857.54</v>
      </c>
      <c r="K361" s="214"/>
      <c r="L361" s="209" t="s">
        <v>276</v>
      </c>
      <c r="M361" s="194"/>
      <c r="N361" s="244" t="s">
        <v>214</v>
      </c>
      <c r="O361" s="190" t="s">
        <v>283</v>
      </c>
      <c r="P361" s="234" t="s">
        <v>89</v>
      </c>
      <c r="Q361" s="212">
        <v>45216</v>
      </c>
      <c r="R361" s="232" t="s">
        <v>215</v>
      </c>
      <c r="S361" s="235">
        <v>17194722</v>
      </c>
      <c r="T361" s="190" t="s">
        <v>216</v>
      </c>
      <c r="U361" s="221" t="s">
        <v>217</v>
      </c>
      <c r="V361" s="236">
        <v>2</v>
      </c>
      <c r="W361" s="236">
        <v>2</v>
      </c>
      <c r="X361" s="236">
        <v>0</v>
      </c>
      <c r="Y361" s="236">
        <v>0</v>
      </c>
      <c r="Z361" s="237">
        <v>832679893</v>
      </c>
      <c r="AA361" s="211">
        <v>226</v>
      </c>
      <c r="AB361" s="212" t="s">
        <v>953</v>
      </c>
      <c r="AC361" s="190" t="s">
        <v>940</v>
      </c>
      <c r="AD361" s="70"/>
    </row>
    <row r="362" spans="1:30" ht="22.35" customHeight="1">
      <c r="A362" s="190" t="s">
        <v>10</v>
      </c>
      <c r="B362" s="215" t="s">
        <v>88</v>
      </c>
      <c r="C362" s="1341">
        <v>45441</v>
      </c>
      <c r="D362" s="216">
        <v>3</v>
      </c>
      <c r="E362" s="214">
        <v>284.52999999999997</v>
      </c>
      <c r="F362" s="246">
        <v>853.6</v>
      </c>
      <c r="G362" s="214">
        <v>70</v>
      </c>
      <c r="H362" s="214">
        <v>26.93</v>
      </c>
      <c r="I362" s="214">
        <v>200.27</v>
      </c>
      <c r="J362" s="217">
        <v>520.86</v>
      </c>
      <c r="K362" s="214"/>
      <c r="L362" s="209" t="s">
        <v>276</v>
      </c>
      <c r="M362" s="194"/>
      <c r="N362" s="244" t="s">
        <v>218</v>
      </c>
      <c r="O362" s="190" t="s">
        <v>283</v>
      </c>
      <c r="P362" s="234" t="s">
        <v>97</v>
      </c>
      <c r="Q362" s="212">
        <v>45389</v>
      </c>
      <c r="R362" s="221" t="s">
        <v>219</v>
      </c>
      <c r="S362" s="235">
        <v>116107574</v>
      </c>
      <c r="T362" s="190" t="s">
        <v>220</v>
      </c>
      <c r="U362" s="221" t="s">
        <v>36</v>
      </c>
      <c r="V362" s="236">
        <v>2</v>
      </c>
      <c r="W362" s="236">
        <v>0</v>
      </c>
      <c r="X362" s="236">
        <v>0</v>
      </c>
      <c r="Y362" s="236">
        <v>2</v>
      </c>
      <c r="Z362" s="237">
        <v>907240484</v>
      </c>
      <c r="AA362" s="211">
        <v>52</v>
      </c>
      <c r="AB362" s="212" t="s">
        <v>953</v>
      </c>
      <c r="AC362" s="190" t="s">
        <v>941</v>
      </c>
      <c r="AD362" s="70"/>
    </row>
    <row r="363" spans="1:30" ht="22.35" customHeight="1">
      <c r="A363" s="190" t="s">
        <v>10</v>
      </c>
      <c r="B363" s="215" t="s">
        <v>88</v>
      </c>
      <c r="C363" s="1344">
        <v>45439</v>
      </c>
      <c r="D363" s="216">
        <v>2</v>
      </c>
      <c r="E363" s="214">
        <v>178.6</v>
      </c>
      <c r="F363" s="246">
        <v>357.19</v>
      </c>
      <c r="G363" s="214">
        <v>70</v>
      </c>
      <c r="H363" s="214">
        <v>11.26</v>
      </c>
      <c r="I363" s="214">
        <v>116.13</v>
      </c>
      <c r="J363" s="217">
        <v>185.39</v>
      </c>
      <c r="K363" s="214"/>
      <c r="L363" s="209" t="s">
        <v>276</v>
      </c>
      <c r="M363" s="194">
        <v>5</v>
      </c>
      <c r="N363" s="244" t="s">
        <v>764</v>
      </c>
      <c r="O363" s="190" t="s">
        <v>283</v>
      </c>
      <c r="P363" s="234" t="s">
        <v>97</v>
      </c>
      <c r="Q363" s="212">
        <v>45428</v>
      </c>
      <c r="R363" s="221" t="s">
        <v>765</v>
      </c>
      <c r="S363" s="235">
        <v>214877217</v>
      </c>
      <c r="T363" s="190" t="s">
        <v>766</v>
      </c>
      <c r="U363" s="221" t="s">
        <v>767</v>
      </c>
      <c r="V363" s="236">
        <v>1</v>
      </c>
      <c r="W363" s="236">
        <v>0</v>
      </c>
      <c r="X363" s="236">
        <v>0</v>
      </c>
      <c r="Y363" s="236">
        <v>0</v>
      </c>
      <c r="Z363" s="237">
        <v>927159059</v>
      </c>
      <c r="AA363" s="211">
        <v>11</v>
      </c>
      <c r="AB363" s="212" t="s">
        <v>953</v>
      </c>
      <c r="AC363" s="190" t="s">
        <v>939</v>
      </c>
      <c r="AD363" s="70"/>
    </row>
    <row r="364" spans="1:30" ht="22.35" customHeight="1">
      <c r="A364" s="190" t="s">
        <v>8</v>
      </c>
      <c r="B364" s="190" t="s">
        <v>88</v>
      </c>
      <c r="C364" s="1341">
        <v>45438</v>
      </c>
      <c r="D364" s="236">
        <v>4</v>
      </c>
      <c r="E364" s="214">
        <v>402.27</v>
      </c>
      <c r="F364" s="246">
        <v>1609.06</v>
      </c>
      <c r="G364" s="214">
        <v>90</v>
      </c>
      <c r="H364" s="214">
        <v>50.76</v>
      </c>
      <c r="I364" s="214">
        <v>343.85</v>
      </c>
      <c r="J364" s="214">
        <v>1015.39</v>
      </c>
      <c r="K364" s="214"/>
      <c r="L364" s="209" t="s">
        <v>276</v>
      </c>
      <c r="M364" s="243"/>
      <c r="N364" s="244" t="s">
        <v>221</v>
      </c>
      <c r="O364" s="190" t="s">
        <v>283</v>
      </c>
      <c r="P364" s="234" t="s">
        <v>89</v>
      </c>
      <c r="Q364" s="212">
        <v>45215</v>
      </c>
      <c r="R364" s="232" t="s">
        <v>222</v>
      </c>
      <c r="S364" s="235">
        <v>357912849</v>
      </c>
      <c r="T364" s="190" t="s">
        <v>223</v>
      </c>
      <c r="U364" s="221" t="s">
        <v>224</v>
      </c>
      <c r="V364" s="236">
        <v>3</v>
      </c>
      <c r="W364" s="236">
        <v>0</v>
      </c>
      <c r="X364" s="236">
        <v>0</v>
      </c>
      <c r="Y364" s="236">
        <v>0</v>
      </c>
      <c r="Z364" s="237">
        <v>832602821</v>
      </c>
      <c r="AA364" s="211">
        <v>223</v>
      </c>
      <c r="AB364" s="212" t="s">
        <v>953</v>
      </c>
      <c r="AC364" s="190" t="s">
        <v>940</v>
      </c>
      <c r="AD364" s="70"/>
    </row>
    <row r="365" spans="1:30" ht="22.35" customHeight="1">
      <c r="A365" s="190" t="s">
        <v>15</v>
      </c>
      <c r="B365" s="190" t="s">
        <v>88</v>
      </c>
      <c r="C365" s="1341">
        <v>45437</v>
      </c>
      <c r="D365" s="236">
        <v>31</v>
      </c>
      <c r="E365" s="214">
        <v>94.02</v>
      </c>
      <c r="F365" s="246">
        <v>2914.66</v>
      </c>
      <c r="G365" s="214">
        <v>0</v>
      </c>
      <c r="H365" s="214">
        <v>93.52</v>
      </c>
      <c r="I365" s="214">
        <v>0</v>
      </c>
      <c r="J365" s="214">
        <v>2503.98</v>
      </c>
      <c r="K365" s="214"/>
      <c r="L365" s="209" t="s">
        <v>276</v>
      </c>
      <c r="M365" s="243">
        <v>5</v>
      </c>
      <c r="N365" s="244" t="s">
        <v>225</v>
      </c>
      <c r="O365" s="190" t="s">
        <v>283</v>
      </c>
      <c r="P365" s="234" t="s">
        <v>114</v>
      </c>
      <c r="Q365" s="212">
        <v>45085</v>
      </c>
      <c r="R365" s="232" t="s">
        <v>17</v>
      </c>
      <c r="S365" s="235">
        <v>176276190</v>
      </c>
      <c r="T365" s="214" t="s">
        <v>226</v>
      </c>
      <c r="U365" s="221" t="s">
        <v>227</v>
      </c>
      <c r="V365" s="236">
        <v>2</v>
      </c>
      <c r="W365" s="236">
        <v>0</v>
      </c>
      <c r="X365" s="236">
        <v>0</v>
      </c>
      <c r="Y365" s="236">
        <v>0</v>
      </c>
      <c r="Z365" s="237">
        <v>778486745</v>
      </c>
      <c r="AA365" s="211">
        <v>352</v>
      </c>
      <c r="AB365" s="212" t="s">
        <v>953</v>
      </c>
      <c r="AC365" s="190" t="s">
        <v>940</v>
      </c>
      <c r="AD365" s="70"/>
    </row>
    <row r="366" spans="1:30" ht="22.35" customHeight="1">
      <c r="A366" s="190" t="s">
        <v>8</v>
      </c>
      <c r="B366" s="215" t="s">
        <v>88</v>
      </c>
      <c r="C366" s="1341">
        <v>45435</v>
      </c>
      <c r="D366" s="216">
        <v>3</v>
      </c>
      <c r="E366" s="214">
        <v>380.2</v>
      </c>
      <c r="F366" s="246">
        <v>1140.6099999999999</v>
      </c>
      <c r="G366" s="214">
        <v>90</v>
      </c>
      <c r="H366" s="214">
        <v>35.99</v>
      </c>
      <c r="I366" s="214">
        <v>264.92</v>
      </c>
      <c r="J366" s="217">
        <v>698.81</v>
      </c>
      <c r="K366" s="214"/>
      <c r="L366" s="209" t="s">
        <v>276</v>
      </c>
      <c r="M366" s="194">
        <v>5</v>
      </c>
      <c r="N366" s="244" t="s">
        <v>751</v>
      </c>
      <c r="O366" s="190" t="s">
        <v>283</v>
      </c>
      <c r="P366" s="234" t="s">
        <v>89</v>
      </c>
      <c r="Q366" s="212">
        <v>45417</v>
      </c>
      <c r="R366" s="221" t="s">
        <v>752</v>
      </c>
      <c r="S366" s="235">
        <v>31233799</v>
      </c>
      <c r="T366" s="190" t="s">
        <v>753</v>
      </c>
      <c r="U366" s="221" t="s">
        <v>754</v>
      </c>
      <c r="V366" s="236">
        <v>4</v>
      </c>
      <c r="W366" s="236">
        <v>0</v>
      </c>
      <c r="X366" s="236">
        <v>0</v>
      </c>
      <c r="Y366" s="236">
        <v>0</v>
      </c>
      <c r="Z366" s="237">
        <v>921791965</v>
      </c>
      <c r="AA366" s="211">
        <v>18</v>
      </c>
      <c r="AB366" s="212" t="s">
        <v>953</v>
      </c>
      <c r="AC366" s="190" t="s">
        <v>939</v>
      </c>
      <c r="AD366" s="70"/>
    </row>
    <row r="367" spans="1:30" ht="22.35" customHeight="1">
      <c r="A367" s="190" t="s">
        <v>10</v>
      </c>
      <c r="B367" s="215" t="s">
        <v>23</v>
      </c>
      <c r="C367" s="1341">
        <v>45434</v>
      </c>
      <c r="D367" s="216">
        <v>4</v>
      </c>
      <c r="E367" s="214">
        <v>366</v>
      </c>
      <c r="F367" s="246">
        <v>1464</v>
      </c>
      <c r="G367" s="214">
        <v>70</v>
      </c>
      <c r="H367" s="214">
        <v>310.88</v>
      </c>
      <c r="I367" s="214">
        <v>286.62</v>
      </c>
      <c r="J367" s="217">
        <v>866.5</v>
      </c>
      <c r="K367" s="214"/>
      <c r="L367" s="209" t="s">
        <v>276</v>
      </c>
      <c r="M367" s="194">
        <v>10</v>
      </c>
      <c r="N367" s="244" t="s">
        <v>228</v>
      </c>
      <c r="O367" s="190" t="s">
        <v>283</v>
      </c>
      <c r="P367" s="244"/>
      <c r="Q367" s="212">
        <v>45344</v>
      </c>
      <c r="R367" s="221" t="s">
        <v>229</v>
      </c>
      <c r="S367" s="235"/>
      <c r="T367" s="214"/>
      <c r="U367" s="233"/>
      <c r="V367" s="236"/>
      <c r="W367" s="236"/>
      <c r="X367" s="236"/>
      <c r="Y367" s="236"/>
      <c r="Z367" s="237"/>
      <c r="AA367" s="211">
        <v>90</v>
      </c>
      <c r="AB367" s="212" t="s">
        <v>953</v>
      </c>
      <c r="AC367" s="190" t="s">
        <v>943</v>
      </c>
      <c r="AD367" s="70"/>
    </row>
    <row r="368" spans="1:30" ht="22.35" customHeight="1">
      <c r="A368" s="190" t="s">
        <v>8</v>
      </c>
      <c r="B368" s="215" t="s">
        <v>88</v>
      </c>
      <c r="C368" s="1341">
        <v>45432</v>
      </c>
      <c r="D368" s="216">
        <v>3</v>
      </c>
      <c r="E368" s="214">
        <v>456.47</v>
      </c>
      <c r="F368" s="246">
        <v>1369.41</v>
      </c>
      <c r="G368" s="214">
        <v>90</v>
      </c>
      <c r="H368" s="214">
        <v>43.2</v>
      </c>
      <c r="I368" s="214">
        <v>303.36</v>
      </c>
      <c r="J368" s="217">
        <v>853.44</v>
      </c>
      <c r="K368" s="214"/>
      <c r="L368" s="209" t="s">
        <v>276</v>
      </c>
      <c r="M368" s="194"/>
      <c r="N368" s="244" t="s">
        <v>230</v>
      </c>
      <c r="O368" s="190" t="s">
        <v>283</v>
      </c>
      <c r="P368" s="244" t="s">
        <v>89</v>
      </c>
      <c r="Q368" s="212">
        <v>45334</v>
      </c>
      <c r="R368" s="221" t="s">
        <v>231</v>
      </c>
      <c r="S368" s="235">
        <v>474574070</v>
      </c>
      <c r="T368" s="190" t="s">
        <v>232</v>
      </c>
      <c r="U368" s="221" t="s">
        <v>122</v>
      </c>
      <c r="V368" s="236">
        <v>4</v>
      </c>
      <c r="W368" s="236">
        <v>0</v>
      </c>
      <c r="X368" s="236">
        <v>0</v>
      </c>
      <c r="Y368" s="236">
        <v>0</v>
      </c>
      <c r="Z368" s="237">
        <v>878686025</v>
      </c>
      <c r="AA368" s="211">
        <v>98</v>
      </c>
      <c r="AB368" s="212" t="s">
        <v>953</v>
      </c>
      <c r="AC368" s="190" t="s">
        <v>942</v>
      </c>
      <c r="AD368" s="70"/>
    </row>
    <row r="369" spans="1:30" ht="22.35" customHeight="1">
      <c r="A369" s="190" t="s">
        <v>10</v>
      </c>
      <c r="B369" s="190" t="s">
        <v>88</v>
      </c>
      <c r="C369" s="1341">
        <v>45431</v>
      </c>
      <c r="D369" s="236">
        <v>2</v>
      </c>
      <c r="E369" s="214">
        <v>195.71</v>
      </c>
      <c r="F369" s="246">
        <v>391.42</v>
      </c>
      <c r="G369" s="214">
        <v>70</v>
      </c>
      <c r="H369" s="214">
        <v>12.35</v>
      </c>
      <c r="I369" s="214">
        <v>122.19</v>
      </c>
      <c r="J369" s="214">
        <v>208.52</v>
      </c>
      <c r="K369" s="214"/>
      <c r="L369" s="209" t="s">
        <v>276</v>
      </c>
      <c r="M369" s="243">
        <v>5</v>
      </c>
      <c r="N369" s="244" t="s">
        <v>760</v>
      </c>
      <c r="O369" s="190" t="s">
        <v>283</v>
      </c>
      <c r="P369" s="244" t="s">
        <v>97</v>
      </c>
      <c r="Q369" s="212">
        <v>45427</v>
      </c>
      <c r="R369" s="221" t="s">
        <v>761</v>
      </c>
      <c r="S369" s="235">
        <v>7439554</v>
      </c>
      <c r="T369" s="214" t="s">
        <v>762</v>
      </c>
      <c r="U369" s="221" t="s">
        <v>763</v>
      </c>
      <c r="V369" s="236">
        <v>2</v>
      </c>
      <c r="W369" s="236">
        <v>1</v>
      </c>
      <c r="X369" s="236">
        <v>0</v>
      </c>
      <c r="Y369" s="236">
        <v>0</v>
      </c>
      <c r="Z369" s="237">
        <v>926628805</v>
      </c>
      <c r="AA369" s="211">
        <v>4</v>
      </c>
      <c r="AB369" s="212" t="s">
        <v>953</v>
      </c>
      <c r="AC369" s="190" t="s">
        <v>939</v>
      </c>
      <c r="AD369" s="70"/>
    </row>
    <row r="370" spans="1:30" ht="22.35" customHeight="1">
      <c r="A370" s="190" t="s">
        <v>8</v>
      </c>
      <c r="B370" s="190" t="s">
        <v>88</v>
      </c>
      <c r="C370" s="1341">
        <v>45430</v>
      </c>
      <c r="D370" s="236">
        <v>2</v>
      </c>
      <c r="E370" s="214">
        <v>268.97000000000003</v>
      </c>
      <c r="F370" s="246">
        <v>537.92999999999995</v>
      </c>
      <c r="G370" s="214">
        <v>90</v>
      </c>
      <c r="H370" s="214">
        <v>16.559999999999999</v>
      </c>
      <c r="I370" s="214">
        <v>160.69</v>
      </c>
      <c r="J370" s="214">
        <v>282.75</v>
      </c>
      <c r="K370" s="214"/>
      <c r="L370" s="209" t="s">
        <v>276</v>
      </c>
      <c r="M370" s="243">
        <v>5</v>
      </c>
      <c r="N370" s="244" t="s">
        <v>233</v>
      </c>
      <c r="O370" s="190" t="s">
        <v>283</v>
      </c>
      <c r="P370" s="244" t="s">
        <v>89</v>
      </c>
      <c r="Q370" s="212">
        <v>45403</v>
      </c>
      <c r="R370" s="221" t="s">
        <v>234</v>
      </c>
      <c r="S370" s="235">
        <v>239695074</v>
      </c>
      <c r="T370" s="214" t="s">
        <v>235</v>
      </c>
      <c r="U370" s="221" t="s">
        <v>236</v>
      </c>
      <c r="V370" s="236">
        <v>4</v>
      </c>
      <c r="W370" s="236">
        <v>0</v>
      </c>
      <c r="X370" s="236">
        <v>0</v>
      </c>
      <c r="Y370" s="236">
        <v>0</v>
      </c>
      <c r="Z370" s="237">
        <v>914541225</v>
      </c>
      <c r="AA370" s="211">
        <v>27</v>
      </c>
      <c r="AB370" s="212" t="s">
        <v>953</v>
      </c>
      <c r="AC370" s="190" t="s">
        <v>939</v>
      </c>
      <c r="AD370" s="70"/>
    </row>
    <row r="371" spans="1:30" ht="22.35" customHeight="1">
      <c r="A371" s="190" t="s">
        <v>10</v>
      </c>
      <c r="B371" s="215" t="s">
        <v>88</v>
      </c>
      <c r="C371" s="1341">
        <v>45426</v>
      </c>
      <c r="D371" s="216">
        <v>5</v>
      </c>
      <c r="E371" s="214">
        <v>324.08999999999997</v>
      </c>
      <c r="F371" s="246">
        <v>1620.47</v>
      </c>
      <c r="G371" s="214">
        <v>70</v>
      </c>
      <c r="H371" s="214">
        <v>51.12</v>
      </c>
      <c r="I371" s="214">
        <v>329.78</v>
      </c>
      <c r="J371" s="217">
        <v>1039.0999999999999</v>
      </c>
      <c r="K371" s="214"/>
      <c r="L371" s="209" t="s">
        <v>276</v>
      </c>
      <c r="M371" s="194"/>
      <c r="N371" s="244" t="s">
        <v>237</v>
      </c>
      <c r="O371" s="190" t="s">
        <v>283</v>
      </c>
      <c r="P371" s="244" t="s">
        <v>97</v>
      </c>
      <c r="Q371" s="212">
        <v>45374</v>
      </c>
      <c r="R371" s="221" t="s">
        <v>238</v>
      </c>
      <c r="S371" s="235">
        <v>36801033</v>
      </c>
      <c r="T371" s="190" t="s">
        <v>239</v>
      </c>
      <c r="U371" s="221" t="s">
        <v>240</v>
      </c>
      <c r="V371" s="236">
        <v>2</v>
      </c>
      <c r="W371" s="236">
        <v>0</v>
      </c>
      <c r="X371" s="236">
        <v>0</v>
      </c>
      <c r="Y371" s="236">
        <v>0</v>
      </c>
      <c r="Z371" s="237">
        <v>899430607</v>
      </c>
      <c r="AA371" s="211">
        <v>52</v>
      </c>
      <c r="AB371" s="212" t="s">
        <v>953</v>
      </c>
      <c r="AC371" s="190" t="s">
        <v>941</v>
      </c>
      <c r="AD371" s="70"/>
    </row>
    <row r="372" spans="1:30" ht="22.35" customHeight="1">
      <c r="A372" s="190" t="s">
        <v>8</v>
      </c>
      <c r="B372" s="215" t="s">
        <v>88</v>
      </c>
      <c r="C372" s="1341">
        <v>45426</v>
      </c>
      <c r="D372" s="216">
        <v>4</v>
      </c>
      <c r="E372" s="214">
        <v>407.97</v>
      </c>
      <c r="F372" s="246">
        <v>1631.88</v>
      </c>
      <c r="G372" s="214">
        <v>90</v>
      </c>
      <c r="H372" s="214">
        <v>51.48</v>
      </c>
      <c r="I372" s="214">
        <v>347.7</v>
      </c>
      <c r="J372" s="217">
        <v>1030.82</v>
      </c>
      <c r="K372" s="214"/>
      <c r="L372" s="209" t="s">
        <v>276</v>
      </c>
      <c r="M372" s="194"/>
      <c r="N372" s="244" t="s">
        <v>241</v>
      </c>
      <c r="O372" s="190" t="s">
        <v>283</v>
      </c>
      <c r="P372" s="234" t="s">
        <v>89</v>
      </c>
      <c r="Q372" s="212">
        <v>45212</v>
      </c>
      <c r="R372" s="232" t="s">
        <v>242</v>
      </c>
      <c r="S372" s="235">
        <v>38118631</v>
      </c>
      <c r="T372" s="190" t="s">
        <v>243</v>
      </c>
      <c r="U372" s="221" t="s">
        <v>244</v>
      </c>
      <c r="V372" s="236">
        <v>4</v>
      </c>
      <c r="W372" s="236">
        <v>0</v>
      </c>
      <c r="X372" s="236">
        <v>0</v>
      </c>
      <c r="Y372" s="236">
        <v>0</v>
      </c>
      <c r="Z372" s="237">
        <v>831586716</v>
      </c>
      <c r="AA372" s="211">
        <v>214</v>
      </c>
      <c r="AB372" s="212" t="s">
        <v>953</v>
      </c>
      <c r="AC372" s="190" t="s">
        <v>940</v>
      </c>
      <c r="AD372" s="70"/>
    </row>
    <row r="373" spans="1:30" ht="22.35" customHeight="1">
      <c r="A373" s="190" t="s">
        <v>8</v>
      </c>
      <c r="B373" s="215" t="s">
        <v>88</v>
      </c>
      <c r="C373" s="1341">
        <v>45423</v>
      </c>
      <c r="D373" s="216">
        <v>3</v>
      </c>
      <c r="E373" s="214">
        <v>266.45999999999998</v>
      </c>
      <c r="F373" s="246">
        <v>799.39</v>
      </c>
      <c r="G373" s="214">
        <v>90</v>
      </c>
      <c r="H373" s="214">
        <v>25.22</v>
      </c>
      <c r="I373" s="214">
        <v>207.12</v>
      </c>
      <c r="J373" s="217">
        <v>468.22</v>
      </c>
      <c r="K373" s="214"/>
      <c r="L373" s="209" t="s">
        <v>276</v>
      </c>
      <c r="M373" s="194">
        <v>5</v>
      </c>
      <c r="N373" s="244" t="s">
        <v>245</v>
      </c>
      <c r="O373" s="190" t="s">
        <v>283</v>
      </c>
      <c r="P373" s="234" t="s">
        <v>89</v>
      </c>
      <c r="Q373" s="212">
        <v>45395</v>
      </c>
      <c r="R373" s="221" t="s">
        <v>246</v>
      </c>
      <c r="S373" s="235">
        <v>25694883</v>
      </c>
      <c r="T373" s="190" t="s">
        <v>247</v>
      </c>
      <c r="U373" s="221" t="s">
        <v>248</v>
      </c>
      <c r="V373" s="236">
        <v>2</v>
      </c>
      <c r="W373" s="236">
        <v>0</v>
      </c>
      <c r="X373" s="236">
        <v>0</v>
      </c>
      <c r="Y373" s="236">
        <v>0</v>
      </c>
      <c r="Z373" s="237">
        <v>910242057</v>
      </c>
      <c r="AA373" s="211">
        <v>28</v>
      </c>
      <c r="AB373" s="212" t="s">
        <v>953</v>
      </c>
      <c r="AC373" s="190" t="s">
        <v>939</v>
      </c>
      <c r="AD373" s="70"/>
    </row>
    <row r="374" spans="1:30" ht="22.35" customHeight="1">
      <c r="A374" s="190" t="s">
        <v>10</v>
      </c>
      <c r="B374" s="190" t="s">
        <v>88</v>
      </c>
      <c r="C374" s="1341">
        <v>45422</v>
      </c>
      <c r="D374" s="236">
        <v>3</v>
      </c>
      <c r="E374" s="214">
        <v>0</v>
      </c>
      <c r="F374" s="246">
        <v>0</v>
      </c>
      <c r="G374" s="214">
        <v>0</v>
      </c>
      <c r="H374" s="214"/>
      <c r="I374" s="214">
        <v>71.34</v>
      </c>
      <c r="J374" s="214">
        <v>285.33999999999997</v>
      </c>
      <c r="K374" s="214"/>
      <c r="L374" s="197" t="s">
        <v>276</v>
      </c>
      <c r="M374" s="243"/>
      <c r="N374" s="244"/>
      <c r="O374" s="190" t="s">
        <v>283</v>
      </c>
      <c r="P374" s="234" t="s">
        <v>97</v>
      </c>
      <c r="Q374" s="212">
        <v>45246</v>
      </c>
      <c r="R374" s="233"/>
      <c r="S374" s="235">
        <v>153906489</v>
      </c>
      <c r="T374" s="214"/>
      <c r="U374" s="221" t="s">
        <v>689</v>
      </c>
      <c r="V374" s="236">
        <v>1</v>
      </c>
      <c r="W374" s="236">
        <v>2</v>
      </c>
      <c r="X374" s="236">
        <v>0</v>
      </c>
      <c r="Y374" s="236">
        <v>0</v>
      </c>
      <c r="Z374" s="237">
        <v>843243613</v>
      </c>
      <c r="AA374" s="211">
        <v>176</v>
      </c>
      <c r="AB374" s="212" t="s">
        <v>953</v>
      </c>
      <c r="AC374" s="190" t="s">
        <v>942</v>
      </c>
      <c r="AD374" s="70"/>
    </row>
    <row r="375" spans="1:30" ht="22.35" customHeight="1">
      <c r="A375" s="190" t="s">
        <v>10</v>
      </c>
      <c r="B375" s="215" t="s">
        <v>23</v>
      </c>
      <c r="C375" s="1341">
        <v>45422</v>
      </c>
      <c r="D375" s="216">
        <v>3</v>
      </c>
      <c r="E375" s="214">
        <v>155</v>
      </c>
      <c r="F375" s="246">
        <v>465</v>
      </c>
      <c r="G375" s="214">
        <v>70</v>
      </c>
      <c r="H375" s="214">
        <v>98.95</v>
      </c>
      <c r="I375" s="214">
        <v>129.21</v>
      </c>
      <c r="J375" s="217">
        <v>236.84</v>
      </c>
      <c r="K375" s="214"/>
      <c r="L375" s="209" t="s">
        <v>276</v>
      </c>
      <c r="M375" s="194"/>
      <c r="N375" s="244" t="s">
        <v>747</v>
      </c>
      <c r="O375" s="214" t="s">
        <v>283</v>
      </c>
      <c r="P375" s="244"/>
      <c r="Q375" s="212">
        <v>45411</v>
      </c>
      <c r="R375" s="221" t="s">
        <v>746</v>
      </c>
      <c r="S375" s="235"/>
      <c r="T375" s="214"/>
      <c r="U375" s="233"/>
      <c r="V375" s="236"/>
      <c r="W375" s="236"/>
      <c r="X375" s="236"/>
      <c r="Y375" s="236"/>
      <c r="Z375" s="237"/>
      <c r="AA375" s="211">
        <v>11</v>
      </c>
      <c r="AB375" s="212" t="s">
        <v>953</v>
      </c>
      <c r="AC375" s="190" t="s">
        <v>939</v>
      </c>
      <c r="AD375" s="70"/>
    </row>
    <row r="376" spans="1:30" ht="22.35" customHeight="1">
      <c r="A376" s="190" t="s">
        <v>10</v>
      </c>
      <c r="B376" s="215" t="s">
        <v>88</v>
      </c>
      <c r="C376" s="1341">
        <v>45419</v>
      </c>
      <c r="D376" s="216">
        <v>3</v>
      </c>
      <c r="E376" s="214">
        <v>323.33</v>
      </c>
      <c r="F376" s="246">
        <v>970</v>
      </c>
      <c r="G376" s="214">
        <v>70</v>
      </c>
      <c r="H376" s="214">
        <v>30.6</v>
      </c>
      <c r="I376" s="214">
        <v>219.88</v>
      </c>
      <c r="J376" s="217">
        <v>599.52</v>
      </c>
      <c r="K376" s="214"/>
      <c r="L376" s="209" t="s">
        <v>276</v>
      </c>
      <c r="M376" s="194">
        <v>5</v>
      </c>
      <c r="N376" s="244" t="s">
        <v>249</v>
      </c>
      <c r="O376" s="190" t="s">
        <v>283</v>
      </c>
      <c r="P376" s="234" t="s">
        <v>97</v>
      </c>
      <c r="Q376" s="212">
        <v>45222</v>
      </c>
      <c r="R376" s="232" t="s">
        <v>250</v>
      </c>
      <c r="S376" s="235">
        <v>146336480</v>
      </c>
      <c r="T376" s="190" t="s">
        <v>251</v>
      </c>
      <c r="U376" s="221" t="s">
        <v>252</v>
      </c>
      <c r="V376" s="236">
        <v>3</v>
      </c>
      <c r="W376" s="236">
        <v>0</v>
      </c>
      <c r="X376" s="236">
        <v>0</v>
      </c>
      <c r="Y376" s="236">
        <v>0</v>
      </c>
      <c r="Z376" s="237">
        <v>834742940</v>
      </c>
      <c r="AA376" s="211">
        <v>197</v>
      </c>
      <c r="AB376" s="212" t="s">
        <v>953</v>
      </c>
      <c r="AC376" s="190" t="s">
        <v>940</v>
      </c>
      <c r="AD376" s="70"/>
    </row>
    <row r="377" spans="1:30" ht="22.35" customHeight="1">
      <c r="A377" s="190" t="s">
        <v>8</v>
      </c>
      <c r="B377" s="215" t="s">
        <v>88</v>
      </c>
      <c r="C377" s="1341">
        <v>45419</v>
      </c>
      <c r="D377" s="216">
        <v>4</v>
      </c>
      <c r="E377" s="214">
        <v>407.97</v>
      </c>
      <c r="F377" s="246">
        <v>1631.88</v>
      </c>
      <c r="G377" s="214">
        <v>90</v>
      </c>
      <c r="H377" s="214">
        <v>51.48</v>
      </c>
      <c r="I377" s="214">
        <v>347.7</v>
      </c>
      <c r="J377" s="217">
        <v>1030.82</v>
      </c>
      <c r="K377" s="214"/>
      <c r="L377" s="209" t="s">
        <v>276</v>
      </c>
      <c r="M377" s="194">
        <v>5</v>
      </c>
      <c r="N377" s="244" t="s">
        <v>253</v>
      </c>
      <c r="O377" s="190" t="s">
        <v>283</v>
      </c>
      <c r="P377" s="234" t="s">
        <v>89</v>
      </c>
      <c r="Q377" s="212">
        <v>45217</v>
      </c>
      <c r="R377" s="221" t="s">
        <v>254</v>
      </c>
      <c r="S377" s="235">
        <v>55331093</v>
      </c>
      <c r="T377" s="190" t="s">
        <v>255</v>
      </c>
      <c r="U377" s="221" t="s">
        <v>256</v>
      </c>
      <c r="V377" s="236">
        <v>4</v>
      </c>
      <c r="W377" s="236">
        <v>0</v>
      </c>
      <c r="X377" s="236">
        <v>0</v>
      </c>
      <c r="Y377" s="236">
        <v>0</v>
      </c>
      <c r="Z377" s="237">
        <v>833214048</v>
      </c>
      <c r="AA377" s="211">
        <v>202</v>
      </c>
      <c r="AB377" s="212" t="s">
        <v>953</v>
      </c>
      <c r="AC377" s="190" t="s">
        <v>940</v>
      </c>
      <c r="AD377" s="70"/>
    </row>
    <row r="378" spans="1:30" ht="22.35" customHeight="1">
      <c r="A378" s="190" t="s">
        <v>8</v>
      </c>
      <c r="B378" s="215" t="s">
        <v>23</v>
      </c>
      <c r="C378" s="1341">
        <v>45417</v>
      </c>
      <c r="D378" s="216">
        <v>2</v>
      </c>
      <c r="E378" s="214">
        <v>129.5</v>
      </c>
      <c r="F378" s="246" t="s">
        <v>2069</v>
      </c>
      <c r="G378" s="214">
        <v>90</v>
      </c>
      <c r="H378" s="214">
        <v>51.8</v>
      </c>
      <c r="I378" s="214">
        <v>113.44</v>
      </c>
      <c r="J378" s="217">
        <v>93.76</v>
      </c>
      <c r="K378" s="214"/>
      <c r="L378" s="209" t="s">
        <v>276</v>
      </c>
      <c r="M378" s="194">
        <v>10</v>
      </c>
      <c r="N378" s="244" t="s">
        <v>744</v>
      </c>
      <c r="O378" s="190" t="s">
        <v>283</v>
      </c>
      <c r="P378" s="244"/>
      <c r="Q378" s="212">
        <v>45409</v>
      </c>
      <c r="R378" s="329" t="s">
        <v>2068</v>
      </c>
      <c r="S378" s="235"/>
      <c r="T378" s="214"/>
      <c r="U378" s="233"/>
      <c r="V378" s="236"/>
      <c r="W378" s="236"/>
      <c r="X378" s="236"/>
      <c r="Y378" s="236"/>
      <c r="Z378" s="237"/>
      <c r="AA378" s="211">
        <v>8</v>
      </c>
      <c r="AB378" s="212" t="s">
        <v>953</v>
      </c>
      <c r="AC378" s="190" t="s">
        <v>939</v>
      </c>
      <c r="AD378" s="70"/>
    </row>
    <row r="379" spans="1:30" ht="22.35" customHeight="1">
      <c r="A379" s="190" t="s">
        <v>10</v>
      </c>
      <c r="B379" s="215" t="s">
        <v>88</v>
      </c>
      <c r="C379" s="1341">
        <v>45415</v>
      </c>
      <c r="D379" s="216">
        <v>3</v>
      </c>
      <c r="E379" s="214">
        <v>196.09</v>
      </c>
      <c r="F379" s="246">
        <v>588.28</v>
      </c>
      <c r="G379" s="214">
        <v>70</v>
      </c>
      <c r="H379" s="214">
        <v>18.57</v>
      </c>
      <c r="I379" s="214">
        <v>155.72</v>
      </c>
      <c r="J379" s="217">
        <v>341.54</v>
      </c>
      <c r="K379" s="214"/>
      <c r="L379" s="209" t="s">
        <v>276</v>
      </c>
      <c r="M379" s="194"/>
      <c r="N379" s="244" t="s">
        <v>257</v>
      </c>
      <c r="O379" s="190" t="s">
        <v>283</v>
      </c>
      <c r="P379" s="234" t="s">
        <v>97</v>
      </c>
      <c r="Q379" s="212">
        <v>45398</v>
      </c>
      <c r="R379" s="221" t="s">
        <v>258</v>
      </c>
      <c r="S379" s="235">
        <v>39703957</v>
      </c>
      <c r="T379" s="190" t="s">
        <v>259</v>
      </c>
      <c r="U379" s="221" t="s">
        <v>260</v>
      </c>
      <c r="V379" s="236">
        <v>2</v>
      </c>
      <c r="W379" s="236">
        <v>0</v>
      </c>
      <c r="X379" s="236">
        <v>0</v>
      </c>
      <c r="Y379" s="236">
        <v>0</v>
      </c>
      <c r="Z379" s="237">
        <v>911699746</v>
      </c>
      <c r="AA379" s="211">
        <v>17</v>
      </c>
      <c r="AB379" s="212" t="s">
        <v>953</v>
      </c>
      <c r="AC379" s="190" t="s">
        <v>939</v>
      </c>
      <c r="AD379" s="70"/>
    </row>
    <row r="380" spans="1:30" ht="22.35" customHeight="1">
      <c r="A380" s="190" t="s">
        <v>8</v>
      </c>
      <c r="B380" s="215" t="s">
        <v>88</v>
      </c>
      <c r="C380" s="1341">
        <v>45414</v>
      </c>
      <c r="D380" s="216">
        <v>3</v>
      </c>
      <c r="E380" s="214">
        <v>426.04</v>
      </c>
      <c r="F380" s="246">
        <v>1278.1199999999999</v>
      </c>
      <c r="G380" s="214">
        <v>90</v>
      </c>
      <c r="H380" s="214">
        <v>40.32</v>
      </c>
      <c r="I380" s="214">
        <v>287.93</v>
      </c>
      <c r="J380" s="217">
        <v>791.74</v>
      </c>
      <c r="K380" s="214"/>
      <c r="L380" s="209" t="s">
        <v>276</v>
      </c>
      <c r="M380" s="194">
        <v>5</v>
      </c>
      <c r="N380" s="244" t="s">
        <v>261</v>
      </c>
      <c r="O380" s="190" t="s">
        <v>283</v>
      </c>
      <c r="P380" s="234" t="s">
        <v>89</v>
      </c>
      <c r="Q380" s="212">
        <v>45205</v>
      </c>
      <c r="R380" s="232" t="s">
        <v>262</v>
      </c>
      <c r="S380" s="235">
        <v>50652390</v>
      </c>
      <c r="T380" s="190" t="s">
        <v>263</v>
      </c>
      <c r="U380" s="221" t="s">
        <v>122</v>
      </c>
      <c r="V380" s="236">
        <v>3</v>
      </c>
      <c r="W380" s="236">
        <v>0</v>
      </c>
      <c r="X380" s="236">
        <v>0</v>
      </c>
      <c r="Y380" s="236">
        <v>0</v>
      </c>
      <c r="Z380" s="237">
        <v>828639709</v>
      </c>
      <c r="AA380" s="211">
        <v>209</v>
      </c>
      <c r="AB380" s="212" t="s">
        <v>953</v>
      </c>
      <c r="AC380" s="190" t="s">
        <v>940</v>
      </c>
      <c r="AD380" s="70"/>
    </row>
    <row r="381" spans="1:30" ht="22.35" customHeight="1">
      <c r="A381" s="190" t="s">
        <v>10</v>
      </c>
      <c r="B381" s="190" t="s">
        <v>88</v>
      </c>
      <c r="C381" s="1341">
        <v>45412</v>
      </c>
      <c r="D381" s="236">
        <v>3</v>
      </c>
      <c r="E381" s="214">
        <v>240.6</v>
      </c>
      <c r="F381" s="246">
        <v>721.79</v>
      </c>
      <c r="G381" s="214">
        <v>70</v>
      </c>
      <c r="H381" s="214">
        <v>22.76</v>
      </c>
      <c r="I381" s="214">
        <v>177.67</v>
      </c>
      <c r="J381" s="214">
        <v>431.79</v>
      </c>
      <c r="K381" s="214"/>
      <c r="L381" s="209" t="s">
        <v>276</v>
      </c>
      <c r="M381" s="243"/>
      <c r="N381" s="244" t="s">
        <v>264</v>
      </c>
      <c r="O381" s="190" t="s">
        <v>283</v>
      </c>
      <c r="P381" s="234" t="s">
        <v>97</v>
      </c>
      <c r="Q381" s="212">
        <v>45384</v>
      </c>
      <c r="R381" s="221" t="s">
        <v>265</v>
      </c>
      <c r="S381" s="235">
        <v>480251041</v>
      </c>
      <c r="T381" s="190" t="s">
        <v>266</v>
      </c>
      <c r="U381" s="221" t="s">
        <v>267</v>
      </c>
      <c r="V381" s="236">
        <v>4</v>
      </c>
      <c r="W381" s="236">
        <v>0</v>
      </c>
      <c r="X381" s="236">
        <v>0</v>
      </c>
      <c r="Y381" s="236">
        <v>0</v>
      </c>
      <c r="Z381" s="237">
        <v>904369045</v>
      </c>
      <c r="AA381" s="211">
        <v>28</v>
      </c>
      <c r="AB381" s="212" t="s">
        <v>954</v>
      </c>
      <c r="AC381" s="190" t="s">
        <v>939</v>
      </c>
      <c r="AD381" s="70"/>
    </row>
    <row r="382" spans="1:30" ht="22.35" customHeight="1">
      <c r="A382" s="190" t="s">
        <v>8</v>
      </c>
      <c r="B382" s="215" t="s">
        <v>88</v>
      </c>
      <c r="C382" s="1341">
        <v>45410</v>
      </c>
      <c r="D382" s="216">
        <v>4</v>
      </c>
      <c r="E382" s="214">
        <v>232.12</v>
      </c>
      <c r="F382" s="246">
        <v>928.46</v>
      </c>
      <c r="G382" s="214">
        <v>90</v>
      </c>
      <c r="H382" s="214">
        <v>28.55</v>
      </c>
      <c r="I382" s="214">
        <v>224.95</v>
      </c>
      <c r="J382" s="217">
        <v>539.55999999999995</v>
      </c>
      <c r="K382" s="214"/>
      <c r="L382" s="209" t="s">
        <v>276</v>
      </c>
      <c r="M382" s="194"/>
      <c r="N382" s="244" t="s">
        <v>268</v>
      </c>
      <c r="O382" s="190" t="s">
        <v>283</v>
      </c>
      <c r="P382" s="234" t="s">
        <v>89</v>
      </c>
      <c r="Q382" s="212">
        <v>45383</v>
      </c>
      <c r="R382" s="221" t="s">
        <v>269</v>
      </c>
      <c r="S382" s="235">
        <v>405390310</v>
      </c>
      <c r="T382" s="214" t="s">
        <v>270</v>
      </c>
      <c r="U382" s="221" t="s">
        <v>271</v>
      </c>
      <c r="V382" s="236">
        <v>2</v>
      </c>
      <c r="W382" s="236">
        <v>2</v>
      </c>
      <c r="X382" s="236">
        <v>0</v>
      </c>
      <c r="Y382" s="236">
        <v>0</v>
      </c>
      <c r="Z382" s="237">
        <v>904015542</v>
      </c>
      <c r="AA382" s="211">
        <v>27</v>
      </c>
      <c r="AB382" s="212" t="s">
        <v>954</v>
      </c>
      <c r="AC382" s="190" t="s">
        <v>939</v>
      </c>
      <c r="AD382" s="70"/>
    </row>
    <row r="383" spans="1:30" ht="22.35" customHeight="1">
      <c r="A383" s="190" t="s">
        <v>10</v>
      </c>
      <c r="B383" s="215" t="s">
        <v>88</v>
      </c>
      <c r="C383" s="1341">
        <v>45406</v>
      </c>
      <c r="D383" s="216">
        <v>5</v>
      </c>
      <c r="E383" s="214">
        <v>300.13</v>
      </c>
      <c r="F383" s="246">
        <v>1500.65</v>
      </c>
      <c r="G383" s="214">
        <v>70</v>
      </c>
      <c r="H383" s="214">
        <v>47.34</v>
      </c>
      <c r="I383" s="214">
        <v>309.52999999999997</v>
      </c>
      <c r="J383" s="217">
        <v>958.13</v>
      </c>
      <c r="K383" s="214"/>
      <c r="L383" s="209" t="s">
        <v>276</v>
      </c>
      <c r="M383" s="194">
        <v>5</v>
      </c>
      <c r="N383" s="244" t="s">
        <v>272</v>
      </c>
      <c r="O383" s="190" t="s">
        <v>283</v>
      </c>
      <c r="P383" s="234" t="s">
        <v>97</v>
      </c>
      <c r="Q383" s="212">
        <v>45342</v>
      </c>
      <c r="R383" s="221" t="s">
        <v>12</v>
      </c>
      <c r="S383" s="235">
        <v>433714429</v>
      </c>
      <c r="T383" s="190" t="s">
        <v>273</v>
      </c>
      <c r="U383" s="221" t="s">
        <v>274</v>
      </c>
      <c r="V383" s="236">
        <v>2</v>
      </c>
      <c r="W383" s="236">
        <v>0</v>
      </c>
      <c r="X383" s="236">
        <v>0</v>
      </c>
      <c r="Y383" s="236">
        <v>1</v>
      </c>
      <c r="Z383" s="237">
        <v>882668184</v>
      </c>
      <c r="AA383" s="211">
        <v>64</v>
      </c>
      <c r="AB383" s="212" t="s">
        <v>954</v>
      </c>
      <c r="AC383" s="190" t="s">
        <v>943</v>
      </c>
      <c r="AD383" s="70"/>
    </row>
    <row r="384" spans="1:30" ht="22.35" customHeight="1">
      <c r="A384" s="190" t="s">
        <v>8</v>
      </c>
      <c r="B384" s="215" t="s">
        <v>23</v>
      </c>
      <c r="C384" s="1341">
        <v>45406</v>
      </c>
      <c r="D384" s="216">
        <v>4</v>
      </c>
      <c r="E384" s="214">
        <v>337.59</v>
      </c>
      <c r="F384" s="246" t="s">
        <v>2067</v>
      </c>
      <c r="G384" s="214">
        <v>90</v>
      </c>
      <c r="H384" s="214">
        <v>229.56</v>
      </c>
      <c r="I384" s="214">
        <v>296.16000000000003</v>
      </c>
      <c r="J384" s="217">
        <v>824.64</v>
      </c>
      <c r="K384" s="214"/>
      <c r="L384" s="209" t="s">
        <v>276</v>
      </c>
      <c r="M384" s="194"/>
      <c r="N384" s="244" t="s">
        <v>275</v>
      </c>
      <c r="O384" s="190" t="s">
        <v>283</v>
      </c>
      <c r="P384" s="244"/>
      <c r="Q384" s="212">
        <v>45218</v>
      </c>
      <c r="R384" s="329" t="s">
        <v>2066</v>
      </c>
      <c r="S384" s="235"/>
      <c r="T384" s="214"/>
      <c r="U384" s="233"/>
      <c r="V384" s="236"/>
      <c r="W384" s="236"/>
      <c r="X384" s="236"/>
      <c r="Y384" s="236"/>
      <c r="Z384" s="237"/>
      <c r="AA384" s="211">
        <v>188</v>
      </c>
      <c r="AB384" s="212" t="s">
        <v>954</v>
      </c>
      <c r="AC384" s="190" t="s">
        <v>940</v>
      </c>
      <c r="AD384" s="70"/>
    </row>
    <row r="385" spans="1:30" ht="22.35" customHeight="1">
      <c r="A385" s="190" t="s">
        <v>10</v>
      </c>
      <c r="B385" s="190" t="s">
        <v>88</v>
      </c>
      <c r="C385" s="1341">
        <v>45404</v>
      </c>
      <c r="D385" s="236">
        <v>2</v>
      </c>
      <c r="E385" s="214">
        <v>163.19</v>
      </c>
      <c r="F385" s="246">
        <v>326.38</v>
      </c>
      <c r="G385" s="214">
        <v>70</v>
      </c>
      <c r="H385" s="214">
        <v>10.3</v>
      </c>
      <c r="I385" s="214">
        <v>111.25</v>
      </c>
      <c r="J385" s="214">
        <v>164.56</v>
      </c>
      <c r="K385" s="214"/>
      <c r="L385" s="197" t="s">
        <v>276</v>
      </c>
      <c r="M385" s="243"/>
      <c r="N385" s="244" t="s">
        <v>277</v>
      </c>
      <c r="O385" s="190" t="s">
        <v>283</v>
      </c>
      <c r="P385" s="244" t="s">
        <v>97</v>
      </c>
      <c r="Q385" s="212">
        <v>45388</v>
      </c>
      <c r="R385" s="221" t="s">
        <v>11</v>
      </c>
      <c r="S385" s="235">
        <v>547976822</v>
      </c>
      <c r="T385" s="190" t="s">
        <v>279</v>
      </c>
      <c r="U385" s="221" t="s">
        <v>122</v>
      </c>
      <c r="V385" s="236">
        <v>2</v>
      </c>
      <c r="W385" s="236">
        <v>0</v>
      </c>
      <c r="X385" s="236">
        <v>0</v>
      </c>
      <c r="Y385" s="236">
        <v>0</v>
      </c>
      <c r="Z385" s="237">
        <v>906741948</v>
      </c>
      <c r="AA385" s="211">
        <v>16</v>
      </c>
      <c r="AB385" s="212" t="s">
        <v>954</v>
      </c>
      <c r="AC385" s="190" t="s">
        <v>939</v>
      </c>
      <c r="AD385" s="70"/>
    </row>
    <row r="386" spans="1:30" ht="22.35" customHeight="1">
      <c r="A386" s="190" t="s">
        <v>8</v>
      </c>
      <c r="B386" s="190" t="s">
        <v>88</v>
      </c>
      <c r="C386" s="1341">
        <v>45404</v>
      </c>
      <c r="D386" s="236">
        <v>2</v>
      </c>
      <c r="E386" s="214">
        <v>241.36</v>
      </c>
      <c r="F386" s="246">
        <v>482.72</v>
      </c>
      <c r="G386" s="214">
        <v>90</v>
      </c>
      <c r="H386" s="214">
        <v>15.23</v>
      </c>
      <c r="I386" s="214">
        <v>153.61000000000001</v>
      </c>
      <c r="J386" s="214">
        <v>254.22</v>
      </c>
      <c r="K386" s="214"/>
      <c r="L386" s="197" t="s">
        <v>276</v>
      </c>
      <c r="M386" s="243"/>
      <c r="N386" s="244" t="s">
        <v>280</v>
      </c>
      <c r="O386" s="190" t="s">
        <v>283</v>
      </c>
      <c r="P386" s="244" t="s">
        <v>89</v>
      </c>
      <c r="Q386" s="212">
        <v>45386</v>
      </c>
      <c r="R386" s="221" t="s">
        <v>9</v>
      </c>
      <c r="S386" s="235">
        <v>442159263</v>
      </c>
      <c r="T386" s="190" t="s">
        <v>281</v>
      </c>
      <c r="U386" s="221" t="s">
        <v>122</v>
      </c>
      <c r="V386" s="236">
        <v>3</v>
      </c>
      <c r="W386" s="236">
        <v>0</v>
      </c>
      <c r="X386" s="236">
        <v>0</v>
      </c>
      <c r="Y386" s="236">
        <v>0</v>
      </c>
      <c r="Z386" s="237">
        <v>905440047</v>
      </c>
      <c r="AA386" s="211">
        <v>18</v>
      </c>
      <c r="AB386" s="212" t="s">
        <v>954</v>
      </c>
      <c r="AC386" s="190" t="s">
        <v>939</v>
      </c>
      <c r="AD386" s="70"/>
    </row>
    <row r="387" spans="1:30" ht="22.35" customHeight="1">
      <c r="A387" s="190" t="s">
        <v>8</v>
      </c>
      <c r="B387" s="215" t="s">
        <v>23</v>
      </c>
      <c r="C387" s="1341">
        <v>45400</v>
      </c>
      <c r="D387" s="216">
        <v>4</v>
      </c>
      <c r="E387" s="214">
        <v>384</v>
      </c>
      <c r="F387" s="246" t="s">
        <v>2065</v>
      </c>
      <c r="G387" s="214">
        <v>90</v>
      </c>
      <c r="H387" s="214">
        <v>261.12</v>
      </c>
      <c r="I387" s="214">
        <v>326.98</v>
      </c>
      <c r="J387" s="217">
        <v>947.9</v>
      </c>
      <c r="K387" s="214"/>
      <c r="L387" s="209" t="s">
        <v>276</v>
      </c>
      <c r="M387" s="194">
        <v>8</v>
      </c>
      <c r="N387" s="244" t="s">
        <v>282</v>
      </c>
      <c r="O387" s="218" t="s">
        <v>283</v>
      </c>
      <c r="P387" s="219"/>
      <c r="Q387" s="220">
        <v>45238</v>
      </c>
      <c r="R387" s="329" t="s">
        <v>2064</v>
      </c>
      <c r="S387" s="222"/>
      <c r="T387" s="223"/>
      <c r="U387" s="224"/>
      <c r="V387" s="225"/>
      <c r="W387" s="225"/>
      <c r="X387" s="225"/>
      <c r="Y387" s="225"/>
      <c r="Z387" s="76"/>
      <c r="AA387" s="211">
        <v>162</v>
      </c>
      <c r="AB387" s="212" t="s">
        <v>954</v>
      </c>
      <c r="AC387" s="190" t="s">
        <v>942</v>
      </c>
      <c r="AD387" s="70"/>
    </row>
    <row r="388" spans="1:30" ht="22.35" customHeight="1">
      <c r="A388" s="190" t="s">
        <v>10</v>
      </c>
      <c r="B388" s="215" t="s">
        <v>88</v>
      </c>
      <c r="C388" s="1341">
        <v>45396</v>
      </c>
      <c r="D388" s="216">
        <v>8</v>
      </c>
      <c r="E388" s="214">
        <v>259.56</v>
      </c>
      <c r="F388" s="246">
        <v>2076.4899999999998</v>
      </c>
      <c r="G388" s="214">
        <v>70</v>
      </c>
      <c r="H388" s="214">
        <v>65.510000000000005</v>
      </c>
      <c r="I388" s="214">
        <v>406.94</v>
      </c>
      <c r="J388" s="217">
        <v>1347.27</v>
      </c>
      <c r="K388" s="214"/>
      <c r="L388" s="197" t="s">
        <v>276</v>
      </c>
      <c r="M388" s="194"/>
      <c r="N388" s="244" t="s">
        <v>284</v>
      </c>
      <c r="O388" s="218" t="s">
        <v>283</v>
      </c>
      <c r="P388" s="219" t="s">
        <v>97</v>
      </c>
      <c r="Q388" s="220">
        <v>45349</v>
      </c>
      <c r="R388" s="221" t="s">
        <v>285</v>
      </c>
      <c r="S388" s="222">
        <v>11621682</v>
      </c>
      <c r="T388" s="218" t="s">
        <v>286</v>
      </c>
      <c r="U388" s="227" t="s">
        <v>287</v>
      </c>
      <c r="V388" s="225">
        <v>2</v>
      </c>
      <c r="W388" s="225">
        <v>0</v>
      </c>
      <c r="X388" s="225">
        <v>1</v>
      </c>
      <c r="Y388" s="225">
        <v>0</v>
      </c>
      <c r="Z388" s="76">
        <v>886353794</v>
      </c>
      <c r="AA388" s="211">
        <v>47</v>
      </c>
      <c r="AB388" s="212" t="s">
        <v>954</v>
      </c>
      <c r="AC388" s="190" t="s">
        <v>941</v>
      </c>
      <c r="AD388" s="70"/>
    </row>
    <row r="389" spans="1:30" ht="22.35" customHeight="1">
      <c r="A389" s="218" t="s">
        <v>10</v>
      </c>
      <c r="B389" s="248" t="s">
        <v>88</v>
      </c>
      <c r="C389" s="1345">
        <v>45391</v>
      </c>
      <c r="D389" s="225">
        <v>5</v>
      </c>
      <c r="E389" s="214">
        <v>317.25</v>
      </c>
      <c r="F389" s="448">
        <v>1586.24</v>
      </c>
      <c r="G389" s="223">
        <v>70</v>
      </c>
      <c r="H389" s="223">
        <v>50.04</v>
      </c>
      <c r="I389" s="223">
        <v>323.99</v>
      </c>
      <c r="J389" s="249">
        <v>1015.97</v>
      </c>
      <c r="K389" s="223"/>
      <c r="L389" s="250" t="s">
        <v>276</v>
      </c>
      <c r="M389" s="251"/>
      <c r="N389" s="219" t="s">
        <v>288</v>
      </c>
      <c r="O389" s="218" t="s">
        <v>283</v>
      </c>
      <c r="P389" s="219" t="s">
        <v>97</v>
      </c>
      <c r="Q389" s="220">
        <v>45354</v>
      </c>
      <c r="R389" s="227" t="s">
        <v>289</v>
      </c>
      <c r="S389" s="222">
        <v>496864460</v>
      </c>
      <c r="T389" s="218" t="s">
        <v>290</v>
      </c>
      <c r="U389" s="227" t="s">
        <v>291</v>
      </c>
      <c r="V389" s="225">
        <v>3</v>
      </c>
      <c r="W389" s="225">
        <v>0</v>
      </c>
      <c r="X389" s="225">
        <v>0</v>
      </c>
      <c r="Y389" s="225">
        <v>1</v>
      </c>
      <c r="Z389" s="76">
        <v>888701941</v>
      </c>
      <c r="AA389" s="211">
        <v>37</v>
      </c>
      <c r="AB389" s="212" t="s">
        <v>954</v>
      </c>
      <c r="AC389" s="190" t="s">
        <v>941</v>
      </c>
      <c r="AD389" s="70"/>
    </row>
    <row r="390" spans="1:30" ht="22.35" customHeight="1">
      <c r="A390" s="190" t="s">
        <v>8</v>
      </c>
      <c r="B390" s="215" t="s">
        <v>88</v>
      </c>
      <c r="C390" s="1341">
        <v>45390</v>
      </c>
      <c r="D390" s="216">
        <v>10</v>
      </c>
      <c r="E390" s="214">
        <v>353.31</v>
      </c>
      <c r="F390" s="246">
        <v>3533.08</v>
      </c>
      <c r="G390" s="214">
        <v>90</v>
      </c>
      <c r="H390" s="214">
        <v>111.46</v>
      </c>
      <c r="I390" s="214">
        <v>669.01</v>
      </c>
      <c r="J390" s="217">
        <v>2315.64</v>
      </c>
      <c r="K390" s="214"/>
      <c r="L390" s="197" t="s">
        <v>276</v>
      </c>
      <c r="M390" s="194">
        <v>4</v>
      </c>
      <c r="N390" s="244" t="s">
        <v>292</v>
      </c>
      <c r="O390" s="218" t="s">
        <v>283</v>
      </c>
      <c r="P390" s="219" t="s">
        <v>89</v>
      </c>
      <c r="Q390" s="220">
        <v>45207</v>
      </c>
      <c r="R390" s="221" t="s">
        <v>293</v>
      </c>
      <c r="S390" s="222">
        <v>540810703</v>
      </c>
      <c r="T390" s="218" t="s">
        <v>294</v>
      </c>
      <c r="U390" s="227" t="s">
        <v>122</v>
      </c>
      <c r="V390" s="225">
        <v>4</v>
      </c>
      <c r="W390" s="225">
        <v>0</v>
      </c>
      <c r="X390" s="225">
        <v>0</v>
      </c>
      <c r="Y390" s="225">
        <v>0</v>
      </c>
      <c r="Z390" s="76">
        <v>829536199</v>
      </c>
      <c r="AA390" s="211">
        <v>183</v>
      </c>
      <c r="AB390" s="212" t="s">
        <v>954</v>
      </c>
      <c r="AC390" s="190" t="s">
        <v>940</v>
      </c>
      <c r="AD390" s="70"/>
    </row>
    <row r="391" spans="1:30" ht="22.35" customHeight="1">
      <c r="A391" s="190" t="s">
        <v>10</v>
      </c>
      <c r="B391" s="215" t="s">
        <v>88</v>
      </c>
      <c r="C391" s="1341">
        <v>45389</v>
      </c>
      <c r="D391" s="216">
        <v>2</v>
      </c>
      <c r="E391" s="214">
        <v>163.19</v>
      </c>
      <c r="F391" s="246">
        <v>326.38</v>
      </c>
      <c r="G391" s="214">
        <v>70</v>
      </c>
      <c r="H391" s="214">
        <v>10.3</v>
      </c>
      <c r="I391" s="214">
        <v>111.25</v>
      </c>
      <c r="J391" s="217">
        <v>164.56</v>
      </c>
      <c r="K391" s="214"/>
      <c r="L391" s="197" t="s">
        <v>276</v>
      </c>
      <c r="M391" s="194"/>
      <c r="N391" s="244" t="s">
        <v>295</v>
      </c>
      <c r="O391" s="218" t="s">
        <v>283</v>
      </c>
      <c r="P391" s="219" t="s">
        <v>97</v>
      </c>
      <c r="Q391" s="220">
        <v>45385</v>
      </c>
      <c r="R391" s="221" t="s">
        <v>296</v>
      </c>
      <c r="S391" s="222">
        <v>562731794</v>
      </c>
      <c r="T391" s="223" t="s">
        <v>297</v>
      </c>
      <c r="U391" s="227" t="s">
        <v>291</v>
      </c>
      <c r="V391" s="225">
        <v>2</v>
      </c>
      <c r="W391" s="225">
        <v>0</v>
      </c>
      <c r="X391" s="225">
        <v>0</v>
      </c>
      <c r="Y391" s="225">
        <v>0</v>
      </c>
      <c r="Z391" s="76">
        <v>905026018</v>
      </c>
      <c r="AA391" s="211">
        <v>4</v>
      </c>
      <c r="AB391" s="212" t="s">
        <v>954</v>
      </c>
      <c r="AC391" s="190" t="s">
        <v>939</v>
      </c>
      <c r="AD391" s="70"/>
    </row>
    <row r="392" spans="1:30" ht="22.35" customHeight="1">
      <c r="A392" s="190" t="s">
        <v>8</v>
      </c>
      <c r="B392" s="215" t="s">
        <v>88</v>
      </c>
      <c r="C392" s="1341">
        <v>45388</v>
      </c>
      <c r="D392" s="216">
        <v>2</v>
      </c>
      <c r="E392" s="214">
        <v>342.47</v>
      </c>
      <c r="F392" s="246">
        <v>684.93</v>
      </c>
      <c r="G392" s="214">
        <v>90</v>
      </c>
      <c r="H392" s="214">
        <v>21.06</v>
      </c>
      <c r="I392" s="214">
        <v>184.79</v>
      </c>
      <c r="J392" s="217">
        <v>379.15</v>
      </c>
      <c r="K392" s="214"/>
      <c r="L392" s="197" t="s">
        <v>276</v>
      </c>
      <c r="M392" s="194"/>
      <c r="N392" s="244" t="s">
        <v>298</v>
      </c>
      <c r="O392" s="218" t="s">
        <v>283</v>
      </c>
      <c r="P392" s="219" t="s">
        <v>89</v>
      </c>
      <c r="Q392" s="220">
        <v>45356</v>
      </c>
      <c r="R392" s="221" t="s">
        <v>299</v>
      </c>
      <c r="S392" s="222">
        <v>486359926</v>
      </c>
      <c r="T392" s="223" t="s">
        <v>300</v>
      </c>
      <c r="U392" s="227" t="s">
        <v>301</v>
      </c>
      <c r="V392" s="225">
        <v>4</v>
      </c>
      <c r="W392" s="225">
        <v>0</v>
      </c>
      <c r="X392" s="225">
        <v>0</v>
      </c>
      <c r="Y392" s="225">
        <v>0</v>
      </c>
      <c r="Z392" s="76">
        <v>890003417</v>
      </c>
      <c r="AA392" s="211">
        <v>32</v>
      </c>
      <c r="AB392" s="212" t="s">
        <v>954</v>
      </c>
      <c r="AC392" s="190" t="s">
        <v>941</v>
      </c>
      <c r="AD392" s="70"/>
    </row>
    <row r="393" spans="1:30" ht="22.35" customHeight="1">
      <c r="A393" s="190" t="s">
        <v>10</v>
      </c>
      <c r="B393" s="215" t="s">
        <v>88</v>
      </c>
      <c r="C393" s="1341">
        <v>45385</v>
      </c>
      <c r="D393" s="216">
        <v>4</v>
      </c>
      <c r="E393" s="214">
        <v>299.56</v>
      </c>
      <c r="F393" s="246">
        <v>1198.24</v>
      </c>
      <c r="G393" s="214">
        <v>70</v>
      </c>
      <c r="H393" s="214">
        <v>37.799999999999997</v>
      </c>
      <c r="I393" s="214">
        <v>258.44</v>
      </c>
      <c r="J393" s="217">
        <v>753.76</v>
      </c>
      <c r="K393" s="214"/>
      <c r="L393" s="197" t="s">
        <v>276</v>
      </c>
      <c r="M393" s="194">
        <v>5</v>
      </c>
      <c r="N393" s="244" t="s">
        <v>302</v>
      </c>
      <c r="O393" s="218" t="s">
        <v>283</v>
      </c>
      <c r="P393" s="231" t="s">
        <v>97</v>
      </c>
      <c r="Q393" s="220">
        <v>45210</v>
      </c>
      <c r="R393" s="232" t="s">
        <v>303</v>
      </c>
      <c r="S393" s="222">
        <v>6252238</v>
      </c>
      <c r="T393" s="218" t="s">
        <v>304</v>
      </c>
      <c r="U393" s="227" t="s">
        <v>122</v>
      </c>
      <c r="V393" s="225">
        <v>3</v>
      </c>
      <c r="W393" s="225">
        <v>0</v>
      </c>
      <c r="X393" s="225">
        <v>0</v>
      </c>
      <c r="Y393" s="225">
        <v>0</v>
      </c>
      <c r="Z393" s="76">
        <v>830522727</v>
      </c>
      <c r="AA393" s="211">
        <v>175</v>
      </c>
      <c r="AB393" s="212" t="s">
        <v>954</v>
      </c>
      <c r="AC393" s="190" t="s">
        <v>942</v>
      </c>
      <c r="AD393" s="70"/>
    </row>
    <row r="394" spans="1:30" ht="22.35" customHeight="1">
      <c r="A394" s="190" t="s">
        <v>10</v>
      </c>
      <c r="B394" s="215" t="s">
        <v>88</v>
      </c>
      <c r="C394" s="1341">
        <v>45384</v>
      </c>
      <c r="D394" s="216">
        <v>1</v>
      </c>
      <c r="E394" s="214">
        <v>0</v>
      </c>
      <c r="F394" s="246">
        <v>0</v>
      </c>
      <c r="G394" s="214">
        <v>0</v>
      </c>
      <c r="H394" s="214"/>
      <c r="I394" s="214">
        <v>0</v>
      </c>
      <c r="J394" s="217">
        <v>149</v>
      </c>
      <c r="K394" s="214">
        <v>29.8</v>
      </c>
      <c r="L394" s="197" t="s">
        <v>276</v>
      </c>
      <c r="M394" s="194"/>
      <c r="N394" s="244"/>
      <c r="O394" s="218" t="s">
        <v>283</v>
      </c>
      <c r="P394" s="219"/>
      <c r="Q394" s="220"/>
      <c r="R394" s="221" t="s">
        <v>303</v>
      </c>
      <c r="S394" s="222"/>
      <c r="T394" s="223"/>
      <c r="U394" s="224"/>
      <c r="V394" s="225"/>
      <c r="W394" s="225"/>
      <c r="X394" s="225"/>
      <c r="Y394" s="225"/>
      <c r="Z394" s="76"/>
      <c r="AA394" s="211">
        <v>45384</v>
      </c>
      <c r="AB394" s="212" t="s">
        <v>954</v>
      </c>
      <c r="AC394" s="190" t="s">
        <v>940</v>
      </c>
      <c r="AD394" s="70"/>
    </row>
    <row r="395" spans="1:30" ht="22.35" customHeight="1">
      <c r="A395" s="190" t="s">
        <v>18</v>
      </c>
      <c r="B395" s="215" t="s">
        <v>88</v>
      </c>
      <c r="C395" s="1341">
        <v>45384</v>
      </c>
      <c r="D395" s="216">
        <v>60</v>
      </c>
      <c r="E395" s="214">
        <v>75.16</v>
      </c>
      <c r="F395" s="246">
        <v>4509.88</v>
      </c>
      <c r="G395" s="214">
        <v>0</v>
      </c>
      <c r="H395" s="214">
        <v>146.80000000000001</v>
      </c>
      <c r="I395" s="214">
        <v>0</v>
      </c>
      <c r="J395" s="217">
        <v>3930.2</v>
      </c>
      <c r="K395" s="214"/>
      <c r="L395" s="209" t="s">
        <v>276</v>
      </c>
      <c r="M395" s="194">
        <v>5</v>
      </c>
      <c r="N395" s="244" t="s">
        <v>305</v>
      </c>
      <c r="O395" s="218" t="s">
        <v>283</v>
      </c>
      <c r="P395" s="231" t="s">
        <v>106</v>
      </c>
      <c r="Q395" s="220">
        <v>45050</v>
      </c>
      <c r="R395" s="232" t="s">
        <v>19</v>
      </c>
      <c r="S395" s="222">
        <v>234989650</v>
      </c>
      <c r="T395" s="218" t="s">
        <v>306</v>
      </c>
      <c r="U395" s="227" t="s">
        <v>127</v>
      </c>
      <c r="V395" s="225">
        <v>2</v>
      </c>
      <c r="W395" s="225">
        <v>0</v>
      </c>
      <c r="X395" s="225">
        <v>0</v>
      </c>
      <c r="Y395" s="225">
        <v>0</v>
      </c>
      <c r="Z395" s="76">
        <v>764162465</v>
      </c>
      <c r="AA395" s="211">
        <v>334</v>
      </c>
      <c r="AB395" s="212" t="s">
        <v>954</v>
      </c>
      <c r="AC395" s="190" t="s">
        <v>940</v>
      </c>
      <c r="AD395" s="70"/>
    </row>
    <row r="396" spans="1:30" ht="22.35" customHeight="1">
      <c r="A396" s="190" t="s">
        <v>8</v>
      </c>
      <c r="B396" s="190" t="s">
        <v>88</v>
      </c>
      <c r="C396" s="1341">
        <v>45381</v>
      </c>
      <c r="D396" s="236">
        <v>7</v>
      </c>
      <c r="E396" s="214">
        <v>359.47</v>
      </c>
      <c r="F396" s="246">
        <v>2516.3000000000002</v>
      </c>
      <c r="G396" s="214">
        <v>90</v>
      </c>
      <c r="H396" s="214">
        <v>79.38</v>
      </c>
      <c r="I396" s="214">
        <v>497.12</v>
      </c>
      <c r="J396" s="214">
        <v>1628.5</v>
      </c>
      <c r="K396" s="214"/>
      <c r="L396" s="197" t="s">
        <v>276</v>
      </c>
      <c r="M396" s="243">
        <v>5</v>
      </c>
      <c r="N396" s="244" t="s">
        <v>307</v>
      </c>
      <c r="O396" s="190" t="s">
        <v>283</v>
      </c>
      <c r="P396" s="234" t="s">
        <v>89</v>
      </c>
      <c r="Q396" s="212">
        <v>45204</v>
      </c>
      <c r="R396" s="232" t="s">
        <v>308</v>
      </c>
      <c r="S396" s="235">
        <v>244435629</v>
      </c>
      <c r="T396" s="190" t="s">
        <v>309</v>
      </c>
      <c r="U396" s="221" t="s">
        <v>310</v>
      </c>
      <c r="V396" s="236">
        <v>2</v>
      </c>
      <c r="W396" s="236">
        <v>0</v>
      </c>
      <c r="X396" s="236">
        <v>0</v>
      </c>
      <c r="Y396" s="236">
        <v>0</v>
      </c>
      <c r="Z396" s="237">
        <v>828251334</v>
      </c>
      <c r="AA396" s="211">
        <v>177</v>
      </c>
      <c r="AB396" s="212" t="s">
        <v>955</v>
      </c>
      <c r="AC396" s="190" t="s">
        <v>942</v>
      </c>
      <c r="AD396" s="70"/>
    </row>
    <row r="397" spans="1:30" ht="22.35" customHeight="1">
      <c r="A397" s="190" t="s">
        <v>10</v>
      </c>
      <c r="B397" s="215" t="s">
        <v>23</v>
      </c>
      <c r="C397" s="1341">
        <v>45379</v>
      </c>
      <c r="D397" s="216">
        <v>4</v>
      </c>
      <c r="E397" s="214">
        <v>331</v>
      </c>
      <c r="F397" s="246">
        <v>1324</v>
      </c>
      <c r="G397" s="214">
        <v>70</v>
      </c>
      <c r="H397" s="214">
        <v>279.8</v>
      </c>
      <c r="I397" s="214">
        <v>264.83999999999997</v>
      </c>
      <c r="J397" s="217">
        <v>779.36</v>
      </c>
      <c r="K397" s="214"/>
      <c r="L397" s="197" t="s">
        <v>276</v>
      </c>
      <c r="M397" s="194"/>
      <c r="N397" s="244" t="s">
        <v>311</v>
      </c>
      <c r="O397" s="190" t="s">
        <v>283</v>
      </c>
      <c r="P397" s="244"/>
      <c r="Q397" s="212">
        <v>45305</v>
      </c>
      <c r="R397" s="221" t="s">
        <v>312</v>
      </c>
      <c r="S397" s="235"/>
      <c r="T397" s="214"/>
      <c r="U397" s="233"/>
      <c r="V397" s="236"/>
      <c r="W397" s="236"/>
      <c r="X397" s="236"/>
      <c r="Y397" s="236"/>
      <c r="Z397" s="237"/>
      <c r="AA397" s="211">
        <v>74</v>
      </c>
      <c r="AB397" s="212" t="s">
        <v>955</v>
      </c>
      <c r="AC397" s="190" t="s">
        <v>943</v>
      </c>
      <c r="AD397" s="70"/>
    </row>
    <row r="398" spans="1:30" ht="22.35" customHeight="1">
      <c r="A398" s="190" t="s">
        <v>10</v>
      </c>
      <c r="B398" s="215" t="s">
        <v>88</v>
      </c>
      <c r="C398" s="1341">
        <v>45377</v>
      </c>
      <c r="D398" s="216">
        <v>2</v>
      </c>
      <c r="E398" s="214">
        <v>277.22000000000003</v>
      </c>
      <c r="F398" s="246">
        <v>554.44000000000005</v>
      </c>
      <c r="G398" s="214">
        <v>70</v>
      </c>
      <c r="H398" s="214">
        <v>17.3</v>
      </c>
      <c r="I398" s="214">
        <v>148.30000000000001</v>
      </c>
      <c r="J398" s="217">
        <v>314.95999999999998</v>
      </c>
      <c r="K398" s="214"/>
      <c r="L398" s="197" t="s">
        <v>276</v>
      </c>
      <c r="M398" s="194"/>
      <c r="N398" s="244" t="s">
        <v>313</v>
      </c>
      <c r="O398" s="190" t="s">
        <v>283</v>
      </c>
      <c r="P398" s="234" t="s">
        <v>97</v>
      </c>
      <c r="Q398" s="212">
        <v>45356</v>
      </c>
      <c r="R398" s="221" t="s">
        <v>314</v>
      </c>
      <c r="S398" s="235">
        <v>388359659</v>
      </c>
      <c r="T398" s="214" t="s">
        <v>315</v>
      </c>
      <c r="U398" s="221" t="s">
        <v>316</v>
      </c>
      <c r="V398" s="236">
        <v>2</v>
      </c>
      <c r="W398" s="236">
        <v>1</v>
      </c>
      <c r="X398" s="236">
        <v>0</v>
      </c>
      <c r="Y398" s="236">
        <v>2</v>
      </c>
      <c r="Z398" s="237">
        <v>890054281</v>
      </c>
      <c r="AA398" s="211">
        <v>21</v>
      </c>
      <c r="AB398" s="212" t="s">
        <v>955</v>
      </c>
      <c r="AC398" s="190" t="s">
        <v>939</v>
      </c>
      <c r="AD398" s="70"/>
    </row>
    <row r="399" spans="1:30" ht="22.35" customHeight="1">
      <c r="A399" s="190" t="s">
        <v>8</v>
      </c>
      <c r="B399" s="215" t="s">
        <v>88</v>
      </c>
      <c r="C399" s="1341">
        <v>45377</v>
      </c>
      <c r="D399" s="216">
        <v>4</v>
      </c>
      <c r="E399" s="214">
        <v>405.69</v>
      </c>
      <c r="F399" s="246">
        <v>1622.75</v>
      </c>
      <c r="G399" s="214">
        <v>90</v>
      </c>
      <c r="H399" s="214">
        <v>51.19</v>
      </c>
      <c r="I399" s="214">
        <v>346.1</v>
      </c>
      <c r="J399" s="217">
        <v>1024.6500000000001</v>
      </c>
      <c r="K399" s="214"/>
      <c r="L399" s="197" t="s">
        <v>276</v>
      </c>
      <c r="M399" s="194">
        <v>5</v>
      </c>
      <c r="N399" s="244" t="s">
        <v>317</v>
      </c>
      <c r="O399" s="190" t="s">
        <v>283</v>
      </c>
      <c r="P399" s="234" t="s">
        <v>89</v>
      </c>
      <c r="Q399" s="212">
        <v>45320</v>
      </c>
      <c r="R399" s="221" t="s">
        <v>318</v>
      </c>
      <c r="S399" s="235">
        <v>495345775</v>
      </c>
      <c r="T399" s="190" t="s">
        <v>319</v>
      </c>
      <c r="U399" s="221" t="s">
        <v>122</v>
      </c>
      <c r="V399" s="236">
        <v>1</v>
      </c>
      <c r="W399" s="236">
        <v>0</v>
      </c>
      <c r="X399" s="236">
        <v>0</v>
      </c>
      <c r="Y399" s="236">
        <v>0</v>
      </c>
      <c r="Z399" s="237">
        <v>872047130</v>
      </c>
      <c r="AA399" s="211">
        <v>57</v>
      </c>
      <c r="AB399" s="212" t="s">
        <v>955</v>
      </c>
      <c r="AC399" s="190" t="s">
        <v>941</v>
      </c>
      <c r="AD399" s="70"/>
    </row>
    <row r="400" spans="1:30" ht="22.35" customHeight="1">
      <c r="A400" s="190" t="s">
        <v>8</v>
      </c>
      <c r="B400" s="215" t="s">
        <v>88</v>
      </c>
      <c r="C400" s="1341">
        <v>45372</v>
      </c>
      <c r="D400" s="216">
        <v>5</v>
      </c>
      <c r="E400" s="214">
        <v>406.26</v>
      </c>
      <c r="F400" s="246">
        <v>2031.3</v>
      </c>
      <c r="G400" s="214">
        <v>90</v>
      </c>
      <c r="H400" s="214">
        <v>64.08</v>
      </c>
      <c r="I400" s="214">
        <v>415.18</v>
      </c>
      <c r="J400" s="217">
        <v>1300.74</v>
      </c>
      <c r="K400" s="214"/>
      <c r="L400" s="197" t="s">
        <v>276</v>
      </c>
      <c r="M400" s="194">
        <v>5</v>
      </c>
      <c r="N400" s="244" t="s">
        <v>320</v>
      </c>
      <c r="O400" s="190" t="s">
        <v>283</v>
      </c>
      <c r="P400" s="234" t="s">
        <v>89</v>
      </c>
      <c r="Q400" s="212">
        <v>45241</v>
      </c>
      <c r="R400" s="221" t="s">
        <v>321</v>
      </c>
      <c r="S400" s="235">
        <v>43089599</v>
      </c>
      <c r="T400" s="190" t="s">
        <v>322</v>
      </c>
      <c r="U400" s="221" t="s">
        <v>323</v>
      </c>
      <c r="V400" s="236">
        <v>2</v>
      </c>
      <c r="W400" s="236">
        <v>2</v>
      </c>
      <c r="X400" s="236">
        <v>0</v>
      </c>
      <c r="Y400" s="236">
        <v>0</v>
      </c>
      <c r="Z400" s="237">
        <v>841490585</v>
      </c>
      <c r="AA400" s="211">
        <v>131</v>
      </c>
      <c r="AB400" s="212" t="s">
        <v>955</v>
      </c>
      <c r="AC400" s="190" t="s">
        <v>942</v>
      </c>
      <c r="AD400" s="70"/>
    </row>
    <row r="401" spans="1:30" ht="22.35" customHeight="1">
      <c r="A401" s="190" t="s">
        <v>10</v>
      </c>
      <c r="B401" s="215" t="s">
        <v>88</v>
      </c>
      <c r="C401" s="1341">
        <v>45367</v>
      </c>
      <c r="D401" s="216">
        <v>10</v>
      </c>
      <c r="E401" s="214">
        <v>292.35000000000002</v>
      </c>
      <c r="F401" s="246">
        <v>2923.53</v>
      </c>
      <c r="G401" s="214">
        <v>70</v>
      </c>
      <c r="H401" s="214">
        <v>90</v>
      </c>
      <c r="I401" s="214">
        <v>538</v>
      </c>
      <c r="J401" s="217">
        <v>1872</v>
      </c>
      <c r="K401" s="214"/>
      <c r="L401" s="197" t="s">
        <v>276</v>
      </c>
      <c r="M401" s="194">
        <v>5</v>
      </c>
      <c r="N401" s="244" t="s">
        <v>324</v>
      </c>
      <c r="O401" s="190" t="s">
        <v>283</v>
      </c>
      <c r="P401" s="234" t="s">
        <v>97</v>
      </c>
      <c r="Q401" s="212">
        <v>45293</v>
      </c>
      <c r="R401" s="221" t="s">
        <v>325</v>
      </c>
      <c r="S401" s="235">
        <v>43444472</v>
      </c>
      <c r="T401" s="214" t="s">
        <v>326</v>
      </c>
      <c r="U401" s="221" t="s">
        <v>327</v>
      </c>
      <c r="V401" s="236">
        <v>2</v>
      </c>
      <c r="W401" s="236">
        <v>0</v>
      </c>
      <c r="X401" s="236">
        <v>0</v>
      </c>
      <c r="Y401" s="236">
        <v>0</v>
      </c>
      <c r="Z401" s="237">
        <v>858798680</v>
      </c>
      <c r="AA401" s="211">
        <v>74</v>
      </c>
      <c r="AB401" s="212" t="s">
        <v>955</v>
      </c>
      <c r="AC401" s="190" t="s">
        <v>943</v>
      </c>
      <c r="AD401" s="70"/>
    </row>
    <row r="402" spans="1:30" ht="22.35" customHeight="1">
      <c r="A402" s="190" t="s">
        <v>8</v>
      </c>
      <c r="B402" s="190" t="s">
        <v>23</v>
      </c>
      <c r="C402" s="1341">
        <v>45365</v>
      </c>
      <c r="D402" s="236">
        <v>7</v>
      </c>
      <c r="E402" s="214">
        <v>258.37</v>
      </c>
      <c r="F402" s="246" t="s">
        <v>2063</v>
      </c>
      <c r="G402" s="214">
        <v>90</v>
      </c>
      <c r="H402" s="214">
        <v>307.45999999999998</v>
      </c>
      <c r="I402" s="214">
        <v>372.23</v>
      </c>
      <c r="J402" s="214">
        <v>1128.9000000000001</v>
      </c>
      <c r="K402" s="214"/>
      <c r="L402" s="197" t="s">
        <v>276</v>
      </c>
      <c r="M402" s="243">
        <v>10</v>
      </c>
      <c r="N402" s="244" t="s">
        <v>328</v>
      </c>
      <c r="O402" s="190" t="s">
        <v>283</v>
      </c>
      <c r="P402" s="244"/>
      <c r="Q402" s="212">
        <v>45237</v>
      </c>
      <c r="R402" s="329" t="s">
        <v>2062</v>
      </c>
      <c r="S402" s="235"/>
      <c r="T402" s="214"/>
      <c r="U402" s="233"/>
      <c r="V402" s="236"/>
      <c r="W402" s="236"/>
      <c r="X402" s="236"/>
      <c r="Y402" s="236"/>
      <c r="Z402" s="237"/>
      <c r="AA402" s="211">
        <v>128</v>
      </c>
      <c r="AB402" s="212" t="s">
        <v>955</v>
      </c>
      <c r="AC402" s="190" t="s">
        <v>942</v>
      </c>
      <c r="AD402" s="70"/>
    </row>
    <row r="403" spans="1:30" ht="22.35" customHeight="1">
      <c r="A403" s="190" t="s">
        <v>10</v>
      </c>
      <c r="B403" s="215" t="s">
        <v>23</v>
      </c>
      <c r="C403" s="1341">
        <v>45364</v>
      </c>
      <c r="D403" s="216">
        <v>3</v>
      </c>
      <c r="E403" s="214">
        <v>201.3</v>
      </c>
      <c r="F403" s="246">
        <v>603.9</v>
      </c>
      <c r="G403" s="214">
        <v>70</v>
      </c>
      <c r="H403" s="214">
        <v>127.75</v>
      </c>
      <c r="I403" s="214">
        <v>151.22999999999999</v>
      </c>
      <c r="J403" s="217">
        <v>324.92</v>
      </c>
      <c r="K403" s="214"/>
      <c r="L403" s="197" t="s">
        <v>276</v>
      </c>
      <c r="M403" s="194">
        <v>10</v>
      </c>
      <c r="N403" s="244" t="s">
        <v>329</v>
      </c>
      <c r="O403" s="190" t="s">
        <v>283</v>
      </c>
      <c r="P403" s="244"/>
      <c r="Q403" s="212">
        <v>45269</v>
      </c>
      <c r="R403" s="221" t="s">
        <v>330</v>
      </c>
      <c r="S403" s="235"/>
      <c r="T403" s="214"/>
      <c r="U403" s="233"/>
      <c r="V403" s="236"/>
      <c r="W403" s="236"/>
      <c r="X403" s="236"/>
      <c r="Y403" s="236"/>
      <c r="Z403" s="237"/>
      <c r="AA403" s="211">
        <v>95</v>
      </c>
      <c r="AB403" s="212" t="s">
        <v>955</v>
      </c>
      <c r="AC403" s="190" t="s">
        <v>942</v>
      </c>
      <c r="AD403" s="70"/>
    </row>
    <row r="404" spans="1:30" ht="22.35" customHeight="1">
      <c r="A404" s="190" t="s">
        <v>8</v>
      </c>
      <c r="B404" s="190" t="s">
        <v>88</v>
      </c>
      <c r="C404" s="1341">
        <v>45361</v>
      </c>
      <c r="D404" s="236">
        <v>4</v>
      </c>
      <c r="E404" s="214">
        <v>194.57</v>
      </c>
      <c r="F404" s="246">
        <v>778.28</v>
      </c>
      <c r="G404" s="214">
        <v>90</v>
      </c>
      <c r="H404" s="214">
        <v>24.55</v>
      </c>
      <c r="I404" s="214">
        <v>203.43</v>
      </c>
      <c r="J404" s="214">
        <v>453.96</v>
      </c>
      <c r="K404" s="214"/>
      <c r="L404" s="197" t="s">
        <v>276</v>
      </c>
      <c r="M404" s="243">
        <v>5</v>
      </c>
      <c r="N404" s="244" t="s">
        <v>331</v>
      </c>
      <c r="O404" s="190" t="s">
        <v>283</v>
      </c>
      <c r="P404" s="244" t="s">
        <v>89</v>
      </c>
      <c r="Q404" s="212">
        <v>45352</v>
      </c>
      <c r="R404" s="221" t="s">
        <v>332</v>
      </c>
      <c r="S404" s="235">
        <v>232002543</v>
      </c>
      <c r="T404" s="190" t="s">
        <v>333</v>
      </c>
      <c r="U404" s="221" t="s">
        <v>122</v>
      </c>
      <c r="V404" s="236">
        <v>2</v>
      </c>
      <c r="W404" s="236">
        <v>0</v>
      </c>
      <c r="X404" s="236">
        <v>0</v>
      </c>
      <c r="Y404" s="236">
        <v>0</v>
      </c>
      <c r="Z404" s="237">
        <v>888046640</v>
      </c>
      <c r="AA404" s="211">
        <v>9</v>
      </c>
      <c r="AB404" s="212" t="s">
        <v>955</v>
      </c>
      <c r="AC404" s="190" t="s">
        <v>939</v>
      </c>
      <c r="AD404" s="70"/>
    </row>
    <row r="405" spans="1:30" ht="22.35" customHeight="1">
      <c r="A405" s="190" t="s">
        <v>10</v>
      </c>
      <c r="B405" s="190" t="s">
        <v>88</v>
      </c>
      <c r="C405" s="1341">
        <v>45360</v>
      </c>
      <c r="D405" s="236"/>
      <c r="E405" s="214">
        <v>93.7</v>
      </c>
      <c r="F405" s="246">
        <v>0</v>
      </c>
      <c r="G405" s="214"/>
      <c r="H405" s="214"/>
      <c r="I405" s="214">
        <v>93.7</v>
      </c>
      <c r="J405" s="214">
        <v>374.8</v>
      </c>
      <c r="K405" s="214"/>
      <c r="L405" s="197" t="s">
        <v>276</v>
      </c>
      <c r="M405" s="243"/>
      <c r="N405" s="244"/>
      <c r="O405" s="190" t="s">
        <v>283</v>
      </c>
      <c r="P405" s="244"/>
      <c r="Q405" s="212"/>
      <c r="R405" s="233"/>
      <c r="S405" s="235"/>
      <c r="T405" s="214"/>
      <c r="U405" s="233"/>
      <c r="V405" s="236"/>
      <c r="W405" s="236"/>
      <c r="X405" s="236"/>
      <c r="Y405" s="236"/>
      <c r="Z405" s="237"/>
      <c r="AA405" s="211">
        <v>45360</v>
      </c>
      <c r="AB405" s="212" t="s">
        <v>955</v>
      </c>
      <c r="AC405" s="190" t="s">
        <v>940</v>
      </c>
      <c r="AD405" s="70"/>
    </row>
    <row r="406" spans="1:30" ht="22.35" customHeight="1">
      <c r="A406" s="190" t="s">
        <v>10</v>
      </c>
      <c r="B406" s="215" t="s">
        <v>88</v>
      </c>
      <c r="C406" s="1341">
        <v>45359</v>
      </c>
      <c r="D406" s="216">
        <v>2</v>
      </c>
      <c r="E406" s="214">
        <v>183.88</v>
      </c>
      <c r="F406" s="246">
        <v>367.75</v>
      </c>
      <c r="G406" s="214">
        <v>70</v>
      </c>
      <c r="H406" s="214">
        <v>11.38</v>
      </c>
      <c r="I406" s="214">
        <v>117.03</v>
      </c>
      <c r="J406" s="217">
        <v>187.7</v>
      </c>
      <c r="K406" s="214"/>
      <c r="L406" s="197" t="s">
        <v>276</v>
      </c>
      <c r="M406" s="194">
        <v>5</v>
      </c>
      <c r="N406" s="244" t="s">
        <v>334</v>
      </c>
      <c r="O406" s="252" t="s">
        <v>283</v>
      </c>
      <c r="P406" s="253" t="s">
        <v>97</v>
      </c>
      <c r="Q406" s="254">
        <v>45359</v>
      </c>
      <c r="R406" s="221" t="s">
        <v>335</v>
      </c>
      <c r="S406" s="255">
        <v>219529092</v>
      </c>
      <c r="T406" s="256" t="s">
        <v>336</v>
      </c>
      <c r="U406" s="259" t="s">
        <v>337</v>
      </c>
      <c r="V406" s="258">
        <v>3</v>
      </c>
      <c r="W406" s="258">
        <v>0</v>
      </c>
      <c r="X406" s="258">
        <v>0</v>
      </c>
      <c r="Y406" s="77">
        <v>0</v>
      </c>
      <c r="Z406" s="76">
        <v>891490487</v>
      </c>
      <c r="AA406" s="211">
        <v>0</v>
      </c>
      <c r="AB406" s="212" t="s">
        <v>955</v>
      </c>
      <c r="AC406" s="190" t="s">
        <v>939</v>
      </c>
      <c r="AD406" s="70"/>
    </row>
    <row r="407" spans="1:30" ht="22.35" customHeight="1">
      <c r="A407" s="190" t="s">
        <v>8</v>
      </c>
      <c r="B407" s="215" t="s">
        <v>88</v>
      </c>
      <c r="C407" s="1341">
        <v>45358</v>
      </c>
      <c r="D407" s="216">
        <v>3</v>
      </c>
      <c r="E407" s="214">
        <v>414.25</v>
      </c>
      <c r="F407" s="246">
        <v>1242.74</v>
      </c>
      <c r="G407" s="214">
        <v>90</v>
      </c>
      <c r="H407" s="214">
        <v>39.200000000000003</v>
      </c>
      <c r="I407" s="214">
        <v>281.85000000000002</v>
      </c>
      <c r="J407" s="217">
        <v>767.84</v>
      </c>
      <c r="K407" s="214"/>
      <c r="L407" s="197" t="s">
        <v>276</v>
      </c>
      <c r="M407" s="194">
        <v>5</v>
      </c>
      <c r="N407" s="244" t="s">
        <v>338</v>
      </c>
      <c r="O407" s="252" t="s">
        <v>283</v>
      </c>
      <c r="P407" s="253" t="s">
        <v>89</v>
      </c>
      <c r="Q407" s="254">
        <v>45325</v>
      </c>
      <c r="R407" s="221" t="s">
        <v>339</v>
      </c>
      <c r="S407" s="255">
        <v>144476334</v>
      </c>
      <c r="T407" s="252" t="s">
        <v>340</v>
      </c>
      <c r="U407" s="259" t="s">
        <v>341</v>
      </c>
      <c r="V407" s="258">
        <v>4</v>
      </c>
      <c r="W407" s="258">
        <v>0</v>
      </c>
      <c r="X407" s="258">
        <v>0</v>
      </c>
      <c r="Y407" s="77">
        <v>0</v>
      </c>
      <c r="Z407" s="76">
        <v>874065190</v>
      </c>
      <c r="AA407" s="211">
        <v>33</v>
      </c>
      <c r="AB407" s="212" t="s">
        <v>955</v>
      </c>
      <c r="AC407" s="190" t="s">
        <v>941</v>
      </c>
      <c r="AD407" s="70"/>
    </row>
    <row r="408" spans="1:30" ht="22.35" customHeight="1">
      <c r="A408" s="190" t="s">
        <v>8</v>
      </c>
      <c r="B408" s="215" t="s">
        <v>88</v>
      </c>
      <c r="C408" s="1341">
        <v>45355</v>
      </c>
      <c r="D408" s="216">
        <v>3</v>
      </c>
      <c r="E408" s="214">
        <v>255.55</v>
      </c>
      <c r="F408" s="246">
        <v>766.64</v>
      </c>
      <c r="G408" s="214">
        <v>90</v>
      </c>
      <c r="H408" s="214">
        <v>23.55</v>
      </c>
      <c r="I408" s="214">
        <v>198.26</v>
      </c>
      <c r="J408" s="217">
        <v>432.36</v>
      </c>
      <c r="K408" s="214"/>
      <c r="L408" s="197" t="s">
        <v>276</v>
      </c>
      <c r="M408" s="194"/>
      <c r="N408" s="244" t="s">
        <v>342</v>
      </c>
      <c r="O408" s="252" t="s">
        <v>283</v>
      </c>
      <c r="P408" s="253" t="s">
        <v>89</v>
      </c>
      <c r="Q408" s="254">
        <v>45341</v>
      </c>
      <c r="R408" s="221" t="s">
        <v>343</v>
      </c>
      <c r="S408" s="255">
        <v>562901775</v>
      </c>
      <c r="T408" s="252" t="s">
        <v>344</v>
      </c>
      <c r="U408" s="259" t="s">
        <v>345</v>
      </c>
      <c r="V408" s="258">
        <v>5</v>
      </c>
      <c r="W408" s="258" t="s">
        <v>346</v>
      </c>
      <c r="X408" s="258">
        <v>-2</v>
      </c>
      <c r="Y408" s="77">
        <v>-3</v>
      </c>
      <c r="Z408" s="76">
        <v>882503620</v>
      </c>
      <c r="AA408" s="211">
        <v>14</v>
      </c>
      <c r="AB408" s="212" t="s">
        <v>955</v>
      </c>
      <c r="AC408" s="190" t="s">
        <v>939</v>
      </c>
      <c r="AD408" s="70"/>
    </row>
    <row r="409" spans="1:30" ht="22.35" customHeight="1">
      <c r="A409" s="190" t="s">
        <v>8</v>
      </c>
      <c r="B409" s="215" t="s">
        <v>88</v>
      </c>
      <c r="C409" s="1344">
        <v>45351</v>
      </c>
      <c r="D409" s="216">
        <v>3</v>
      </c>
      <c r="E409" s="214">
        <v>273.5</v>
      </c>
      <c r="F409" s="246">
        <v>820.51</v>
      </c>
      <c r="G409" s="214">
        <v>90</v>
      </c>
      <c r="H409" s="214">
        <v>25.88</v>
      </c>
      <c r="I409" s="214">
        <v>210.52</v>
      </c>
      <c r="J409" s="217">
        <v>482.49</v>
      </c>
      <c r="K409" s="214"/>
      <c r="L409" s="197" t="s">
        <v>276</v>
      </c>
      <c r="M409" s="194"/>
      <c r="N409" s="244" t="s">
        <v>347</v>
      </c>
      <c r="O409" s="252" t="s">
        <v>283</v>
      </c>
      <c r="P409" s="253" t="s">
        <v>89</v>
      </c>
      <c r="Q409" s="254">
        <v>45337</v>
      </c>
      <c r="R409" s="221" t="s">
        <v>348</v>
      </c>
      <c r="S409" s="255">
        <v>67056226</v>
      </c>
      <c r="T409" s="252" t="s">
        <v>349</v>
      </c>
      <c r="U409" s="259" t="s">
        <v>350</v>
      </c>
      <c r="V409" s="258">
        <v>4</v>
      </c>
      <c r="W409" s="258">
        <v>0</v>
      </c>
      <c r="X409" s="258">
        <v>0</v>
      </c>
      <c r="Y409" s="77">
        <v>0</v>
      </c>
      <c r="Z409" s="76">
        <v>880555546</v>
      </c>
      <c r="AA409" s="211">
        <v>14</v>
      </c>
      <c r="AB409" s="212" t="s">
        <v>956</v>
      </c>
      <c r="AC409" s="190" t="s">
        <v>939</v>
      </c>
      <c r="AD409" s="70"/>
    </row>
    <row r="410" spans="1:30" ht="22.35" customHeight="1">
      <c r="A410" s="190" t="s">
        <v>10</v>
      </c>
      <c r="B410" s="215" t="s">
        <v>88</v>
      </c>
      <c r="C410" s="1341">
        <v>45350</v>
      </c>
      <c r="D410" s="216">
        <v>9</v>
      </c>
      <c r="E410" s="214">
        <v>221.48</v>
      </c>
      <c r="F410" s="246">
        <v>1993.29</v>
      </c>
      <c r="G410" s="214">
        <v>70</v>
      </c>
      <c r="H410" s="214">
        <v>62.88</v>
      </c>
      <c r="I410" s="214">
        <v>392.73</v>
      </c>
      <c r="J410" s="217">
        <v>1291.06</v>
      </c>
      <c r="K410" s="214"/>
      <c r="L410" s="197" t="s">
        <v>276</v>
      </c>
      <c r="M410" s="194">
        <v>4</v>
      </c>
      <c r="N410" s="244" t="s">
        <v>351</v>
      </c>
      <c r="O410" s="252" t="s">
        <v>283</v>
      </c>
      <c r="P410" s="253" t="s">
        <v>97</v>
      </c>
      <c r="Q410" s="254">
        <v>45333</v>
      </c>
      <c r="R410" s="221" t="s">
        <v>352</v>
      </c>
      <c r="S410" s="255">
        <v>61315542</v>
      </c>
      <c r="T410" s="256" t="s">
        <v>353</v>
      </c>
      <c r="U410" s="259" t="s">
        <v>354</v>
      </c>
      <c r="V410" s="258">
        <v>2</v>
      </c>
      <c r="W410" s="258">
        <v>0</v>
      </c>
      <c r="X410" s="258">
        <v>0</v>
      </c>
      <c r="Y410" s="77">
        <v>0</v>
      </c>
      <c r="Z410" s="76">
        <v>878098816</v>
      </c>
      <c r="AA410" s="211">
        <v>17</v>
      </c>
      <c r="AB410" s="212" t="s">
        <v>956</v>
      </c>
      <c r="AC410" s="190" t="s">
        <v>939</v>
      </c>
      <c r="AD410" s="70"/>
    </row>
    <row r="411" spans="1:30" ht="22.35" customHeight="1">
      <c r="A411" s="252" t="s">
        <v>8</v>
      </c>
      <c r="B411" s="260" t="s">
        <v>88</v>
      </c>
      <c r="C411" s="1346">
        <v>45349</v>
      </c>
      <c r="D411" s="258">
        <v>2</v>
      </c>
      <c r="E411" s="214">
        <v>199.14</v>
      </c>
      <c r="F411" s="449">
        <v>398.27</v>
      </c>
      <c r="G411" s="256">
        <v>90</v>
      </c>
      <c r="H411" s="256">
        <v>12.56</v>
      </c>
      <c r="I411" s="256">
        <v>139.18</v>
      </c>
      <c r="J411" s="261">
        <v>197.15</v>
      </c>
      <c r="K411" s="256"/>
      <c r="L411" s="262" t="s">
        <v>276</v>
      </c>
      <c r="M411" s="263">
        <v>5</v>
      </c>
      <c r="N411" s="253" t="s">
        <v>355</v>
      </c>
      <c r="O411" s="252" t="s">
        <v>283</v>
      </c>
      <c r="P411" s="253" t="s">
        <v>89</v>
      </c>
      <c r="Q411" s="254">
        <v>45344</v>
      </c>
      <c r="R411" s="259" t="s">
        <v>356</v>
      </c>
      <c r="S411" s="255">
        <v>105703363</v>
      </c>
      <c r="T411" s="256" t="s">
        <v>357</v>
      </c>
      <c r="U411" s="259" t="s">
        <v>358</v>
      </c>
      <c r="V411" s="258">
        <v>4</v>
      </c>
      <c r="W411" s="258">
        <v>0</v>
      </c>
      <c r="X411" s="258">
        <v>0</v>
      </c>
      <c r="Y411" s="77">
        <v>0</v>
      </c>
      <c r="Z411" s="76">
        <v>883814189</v>
      </c>
      <c r="AA411" s="211">
        <v>5</v>
      </c>
      <c r="AB411" s="212" t="s">
        <v>956</v>
      </c>
      <c r="AC411" s="190" t="s">
        <v>939</v>
      </c>
      <c r="AD411" s="70"/>
    </row>
    <row r="412" spans="1:30" ht="22.35" customHeight="1">
      <c r="A412" s="218" t="s">
        <v>10</v>
      </c>
      <c r="B412" s="248" t="s">
        <v>88</v>
      </c>
      <c r="C412" s="1345">
        <v>45347</v>
      </c>
      <c r="D412" s="225">
        <v>3</v>
      </c>
      <c r="E412" s="223">
        <v>151.59</v>
      </c>
      <c r="F412" s="448">
        <v>454.76</v>
      </c>
      <c r="G412" s="223">
        <v>70</v>
      </c>
      <c r="H412" s="223">
        <v>14.35</v>
      </c>
      <c r="I412" s="223">
        <v>132.94</v>
      </c>
      <c r="J412" s="249">
        <v>251.32</v>
      </c>
      <c r="K412" s="223"/>
      <c r="L412" s="250" t="s">
        <v>276</v>
      </c>
      <c r="M412" s="194"/>
      <c r="N412" s="219" t="s">
        <v>359</v>
      </c>
      <c r="O412" s="218" t="s">
        <v>283</v>
      </c>
      <c r="P412" s="219" t="s">
        <v>97</v>
      </c>
      <c r="Q412" s="220">
        <v>45341</v>
      </c>
      <c r="R412" s="227" t="s">
        <v>360</v>
      </c>
      <c r="S412" s="222">
        <v>375792654</v>
      </c>
      <c r="T412" s="223" t="s">
        <v>361</v>
      </c>
      <c r="U412" s="227" t="s">
        <v>362</v>
      </c>
      <c r="V412" s="225">
        <v>3</v>
      </c>
      <c r="W412" s="225">
        <v>0</v>
      </c>
      <c r="X412" s="225">
        <v>0</v>
      </c>
      <c r="Y412" s="225">
        <v>0</v>
      </c>
      <c r="Z412" s="226">
        <v>882116551</v>
      </c>
      <c r="AA412" s="211">
        <v>6</v>
      </c>
      <c r="AB412" s="212" t="s">
        <v>956</v>
      </c>
      <c r="AC412" s="190" t="s">
        <v>939</v>
      </c>
      <c r="AD412" s="70"/>
    </row>
    <row r="413" spans="1:30" ht="22.35" customHeight="1">
      <c r="A413" s="190" t="s">
        <v>10</v>
      </c>
      <c r="B413" s="190" t="s">
        <v>88</v>
      </c>
      <c r="C413" s="1341">
        <v>45344</v>
      </c>
      <c r="D413" s="236">
        <v>3</v>
      </c>
      <c r="E413" s="214">
        <v>251.81</v>
      </c>
      <c r="F413" s="246">
        <v>755.44</v>
      </c>
      <c r="G413" s="214">
        <v>70</v>
      </c>
      <c r="H413" s="214">
        <v>23.26</v>
      </c>
      <c r="I413" s="214">
        <v>180.65</v>
      </c>
      <c r="J413" s="214">
        <v>442.2</v>
      </c>
      <c r="K413" s="214"/>
      <c r="L413" s="197" t="s">
        <v>276</v>
      </c>
      <c r="M413" s="243"/>
      <c r="N413" s="244" t="s">
        <v>363</v>
      </c>
      <c r="O413" s="190" t="s">
        <v>283</v>
      </c>
      <c r="P413" s="244" t="s">
        <v>97</v>
      </c>
      <c r="Q413" s="212">
        <v>45260</v>
      </c>
      <c r="R413" s="221" t="s">
        <v>364</v>
      </c>
      <c r="S413" s="235">
        <v>426472424</v>
      </c>
      <c r="T413" s="214" t="s">
        <v>365</v>
      </c>
      <c r="U413" s="221" t="s">
        <v>366</v>
      </c>
      <c r="V413" s="236">
        <v>3</v>
      </c>
      <c r="W413" s="236">
        <v>1</v>
      </c>
      <c r="X413" s="236">
        <v>0</v>
      </c>
      <c r="Y413" s="236">
        <v>0</v>
      </c>
      <c r="Z413" s="237">
        <v>847744188</v>
      </c>
      <c r="AA413" s="211">
        <v>84</v>
      </c>
      <c r="AB413" s="212" t="s">
        <v>956</v>
      </c>
      <c r="AC413" s="190" t="s">
        <v>943</v>
      </c>
      <c r="AD413" s="70"/>
    </row>
    <row r="414" spans="1:30" ht="22.35" customHeight="1">
      <c r="A414" s="190" t="s">
        <v>8</v>
      </c>
      <c r="B414" s="215" t="s">
        <v>23</v>
      </c>
      <c r="C414" s="1341">
        <v>45342</v>
      </c>
      <c r="D414" s="216">
        <v>7</v>
      </c>
      <c r="E414" s="214">
        <v>350.1</v>
      </c>
      <c r="F414" s="246" t="s">
        <v>2061</v>
      </c>
      <c r="G414" s="214">
        <v>90</v>
      </c>
      <c r="H414" s="214">
        <v>416.62</v>
      </c>
      <c r="I414" s="214">
        <v>478.82</v>
      </c>
      <c r="J414" s="217">
        <v>1555.26</v>
      </c>
      <c r="K414" s="214"/>
      <c r="L414" s="197" t="s">
        <v>276</v>
      </c>
      <c r="M414" s="194"/>
      <c r="N414" s="244" t="s">
        <v>367</v>
      </c>
      <c r="O414" s="190" t="s">
        <v>283</v>
      </c>
      <c r="P414" s="244"/>
      <c r="Q414" s="212">
        <v>45245</v>
      </c>
      <c r="R414" s="329" t="s">
        <v>2060</v>
      </c>
      <c r="S414" s="235"/>
      <c r="T414" s="214"/>
      <c r="U414" s="233"/>
      <c r="V414" s="236"/>
      <c r="W414" s="236"/>
      <c r="X414" s="236"/>
      <c r="Y414" s="236"/>
      <c r="Z414" s="237"/>
      <c r="AA414" s="211">
        <v>97</v>
      </c>
      <c r="AB414" s="212" t="s">
        <v>956</v>
      </c>
      <c r="AC414" s="190" t="s">
        <v>942</v>
      </c>
      <c r="AD414" s="70"/>
    </row>
    <row r="415" spans="1:30" ht="22.35" customHeight="1">
      <c r="A415" s="190" t="s">
        <v>10</v>
      </c>
      <c r="B415" s="215" t="s">
        <v>88</v>
      </c>
      <c r="C415" s="1341">
        <v>45339</v>
      </c>
      <c r="D415" s="216">
        <v>5</v>
      </c>
      <c r="E415" s="214">
        <v>200.85</v>
      </c>
      <c r="F415" s="246">
        <v>1004.24</v>
      </c>
      <c r="G415" s="214">
        <v>70</v>
      </c>
      <c r="H415" s="214">
        <v>31.68</v>
      </c>
      <c r="I415" s="214">
        <v>225.66</v>
      </c>
      <c r="J415" s="217">
        <v>622.66</v>
      </c>
      <c r="K415" s="214"/>
      <c r="L415" s="197" t="s">
        <v>276</v>
      </c>
      <c r="M415" s="194">
        <v>5</v>
      </c>
      <c r="N415" s="244" t="s">
        <v>368</v>
      </c>
      <c r="O415" s="190" t="s">
        <v>283</v>
      </c>
      <c r="P415" s="244" t="s">
        <v>97</v>
      </c>
      <c r="Q415" s="212">
        <v>45258</v>
      </c>
      <c r="R415" s="221" t="s">
        <v>369</v>
      </c>
      <c r="S415" s="235">
        <v>25430398</v>
      </c>
      <c r="T415" s="190" t="s">
        <v>370</v>
      </c>
      <c r="U415" s="221" t="s">
        <v>122</v>
      </c>
      <c r="V415" s="236">
        <v>2</v>
      </c>
      <c r="W415" s="236">
        <v>0</v>
      </c>
      <c r="X415" s="236">
        <v>0</v>
      </c>
      <c r="Y415" s="236">
        <v>0</v>
      </c>
      <c r="Z415" s="237">
        <v>847171809</v>
      </c>
      <c r="AA415" s="211">
        <v>81</v>
      </c>
      <c r="AB415" s="212" t="s">
        <v>956</v>
      </c>
      <c r="AC415" s="190" t="s">
        <v>943</v>
      </c>
      <c r="AD415" s="70"/>
    </row>
    <row r="416" spans="1:30" ht="22.35" customHeight="1">
      <c r="A416" s="190" t="s">
        <v>8</v>
      </c>
      <c r="B416" s="215" t="s">
        <v>88</v>
      </c>
      <c r="C416" s="1341">
        <v>45338</v>
      </c>
      <c r="D416" s="216">
        <v>3</v>
      </c>
      <c r="E416" s="214">
        <v>251.12</v>
      </c>
      <c r="F416" s="246">
        <v>753.36</v>
      </c>
      <c r="G416" s="214">
        <v>90</v>
      </c>
      <c r="H416" s="214">
        <v>23.22</v>
      </c>
      <c r="I416" s="214">
        <v>196.36</v>
      </c>
      <c r="J416" s="217">
        <v>425.42</v>
      </c>
      <c r="K416" s="214"/>
      <c r="L416" s="197" t="s">
        <v>276</v>
      </c>
      <c r="M416" s="194"/>
      <c r="N416" s="244" t="s">
        <v>371</v>
      </c>
      <c r="O416" s="190" t="s">
        <v>283</v>
      </c>
      <c r="P416" s="244" t="s">
        <v>89</v>
      </c>
      <c r="Q416" s="212">
        <v>45321</v>
      </c>
      <c r="R416" s="221" t="s">
        <v>372</v>
      </c>
      <c r="S416" s="235">
        <v>264141756</v>
      </c>
      <c r="T416" s="214" t="s">
        <v>373</v>
      </c>
      <c r="U416" s="221" t="s">
        <v>374</v>
      </c>
      <c r="V416" s="236">
        <v>4</v>
      </c>
      <c r="W416" s="236">
        <v>0</v>
      </c>
      <c r="X416" s="236">
        <v>0</v>
      </c>
      <c r="Y416" s="236">
        <v>0</v>
      </c>
      <c r="Z416" s="237">
        <v>872245495</v>
      </c>
      <c r="AA416" s="211">
        <v>17</v>
      </c>
      <c r="AB416" s="212" t="s">
        <v>956</v>
      </c>
      <c r="AC416" s="190" t="s">
        <v>939</v>
      </c>
      <c r="AD416" s="70"/>
    </row>
    <row r="417" spans="1:30" ht="22.35" customHeight="1">
      <c r="A417" s="190" t="s">
        <v>8</v>
      </c>
      <c r="B417" s="215" t="s">
        <v>23</v>
      </c>
      <c r="C417" s="1341">
        <v>45335</v>
      </c>
      <c r="D417" s="216">
        <v>3</v>
      </c>
      <c r="E417" s="214">
        <v>175</v>
      </c>
      <c r="F417" s="246" t="s">
        <v>2059</v>
      </c>
      <c r="G417" s="214">
        <v>90</v>
      </c>
      <c r="H417" s="214">
        <v>105</v>
      </c>
      <c r="I417" s="214">
        <v>156</v>
      </c>
      <c r="J417" s="217">
        <v>264</v>
      </c>
      <c r="K417" s="214"/>
      <c r="L417" s="197" t="s">
        <v>276</v>
      </c>
      <c r="M417" s="194">
        <v>10</v>
      </c>
      <c r="N417" s="244" t="s">
        <v>375</v>
      </c>
      <c r="O417" s="190" t="s">
        <v>283</v>
      </c>
      <c r="P417" s="244"/>
      <c r="Q417" s="212">
        <v>45322</v>
      </c>
      <c r="R417" s="329" t="s">
        <v>2058</v>
      </c>
      <c r="S417" s="235"/>
      <c r="T417" s="214"/>
      <c r="U417" s="233"/>
      <c r="V417" s="236"/>
      <c r="W417" s="236"/>
      <c r="X417" s="236"/>
      <c r="Y417" s="236"/>
      <c r="Z417" s="237"/>
      <c r="AA417" s="211">
        <v>13</v>
      </c>
      <c r="AB417" s="212" t="s">
        <v>956</v>
      </c>
      <c r="AC417" s="190" t="s">
        <v>939</v>
      </c>
      <c r="AD417" s="70"/>
    </row>
    <row r="418" spans="1:30" ht="22.35" customHeight="1">
      <c r="A418" s="190" t="s">
        <v>10</v>
      </c>
      <c r="B418" s="215" t="s">
        <v>23</v>
      </c>
      <c r="C418" s="1341">
        <v>45332</v>
      </c>
      <c r="D418" s="216">
        <v>2</v>
      </c>
      <c r="E418" s="214">
        <v>145</v>
      </c>
      <c r="F418" s="246" t="s">
        <v>2092</v>
      </c>
      <c r="G418" s="214">
        <v>70</v>
      </c>
      <c r="H418" s="214">
        <v>61.71</v>
      </c>
      <c r="I418" s="214">
        <v>101.66</v>
      </c>
      <c r="J418" s="217">
        <v>126.63</v>
      </c>
      <c r="K418" s="214"/>
      <c r="L418" s="209" t="s">
        <v>276</v>
      </c>
      <c r="M418" s="194">
        <v>10</v>
      </c>
      <c r="N418" s="244" t="s">
        <v>376</v>
      </c>
      <c r="O418" s="190" t="s">
        <v>283</v>
      </c>
      <c r="P418" s="244"/>
      <c r="Q418" s="212">
        <v>45324</v>
      </c>
      <c r="R418" s="329" t="s">
        <v>2091</v>
      </c>
      <c r="S418" s="235"/>
      <c r="T418" s="214"/>
      <c r="U418" s="233"/>
      <c r="V418" s="236"/>
      <c r="W418" s="236"/>
      <c r="X418" s="236"/>
      <c r="Y418" s="236"/>
      <c r="Z418" s="237"/>
      <c r="AA418" s="211">
        <v>8</v>
      </c>
      <c r="AB418" s="212" t="s">
        <v>956</v>
      </c>
      <c r="AC418" s="190" t="s">
        <v>939</v>
      </c>
      <c r="AD418" s="70"/>
    </row>
    <row r="419" spans="1:30" ht="22.35" customHeight="1">
      <c r="A419" s="190" t="s">
        <v>8</v>
      </c>
      <c r="B419" s="215" t="s">
        <v>23</v>
      </c>
      <c r="C419" s="1341">
        <v>45331</v>
      </c>
      <c r="D419" s="216">
        <v>4</v>
      </c>
      <c r="E419" s="214">
        <v>350.1</v>
      </c>
      <c r="F419" s="246" t="s">
        <v>2057</v>
      </c>
      <c r="G419" s="214">
        <v>90</v>
      </c>
      <c r="H419" s="214">
        <v>238.07</v>
      </c>
      <c r="I419" s="214">
        <v>304.47000000000003</v>
      </c>
      <c r="J419" s="217">
        <v>857.86</v>
      </c>
      <c r="K419" s="214"/>
      <c r="L419" s="197" t="s">
        <v>276</v>
      </c>
      <c r="M419" s="194">
        <v>9</v>
      </c>
      <c r="N419" s="244" t="s">
        <v>377</v>
      </c>
      <c r="O419" s="190" t="s">
        <v>283</v>
      </c>
      <c r="P419" s="244"/>
      <c r="Q419" s="212">
        <v>45228</v>
      </c>
      <c r="R419" s="329" t="s">
        <v>2056</v>
      </c>
      <c r="S419" s="235"/>
      <c r="T419" s="214"/>
      <c r="U419" s="233"/>
      <c r="V419" s="236"/>
      <c r="W419" s="236"/>
      <c r="X419" s="236"/>
      <c r="Y419" s="236"/>
      <c r="Z419" s="237"/>
      <c r="AA419" s="211">
        <v>103</v>
      </c>
      <c r="AB419" s="212" t="s">
        <v>956</v>
      </c>
      <c r="AC419" s="190" t="s">
        <v>942</v>
      </c>
      <c r="AD419" s="70"/>
    </row>
    <row r="420" spans="1:30" ht="22.35" customHeight="1">
      <c r="A420" s="190" t="s">
        <v>15</v>
      </c>
      <c r="B420" s="215" t="s">
        <v>88</v>
      </c>
      <c r="C420" s="1341">
        <v>45326</v>
      </c>
      <c r="D420" s="216">
        <v>103</v>
      </c>
      <c r="E420" s="214">
        <v>76.05</v>
      </c>
      <c r="F420" s="246">
        <v>7832.98</v>
      </c>
      <c r="G420" s="214">
        <v>0</v>
      </c>
      <c r="H420" s="214">
        <v>256.85000000000002</v>
      </c>
      <c r="I420" s="214">
        <v>0</v>
      </c>
      <c r="J420" s="217">
        <v>6878.15</v>
      </c>
      <c r="K420" s="214"/>
      <c r="L420" s="209" t="s">
        <v>276</v>
      </c>
      <c r="M420" s="194">
        <v>5</v>
      </c>
      <c r="N420" s="244" t="s">
        <v>378</v>
      </c>
      <c r="O420" s="190" t="s">
        <v>283</v>
      </c>
      <c r="P420" s="234" t="s">
        <v>114</v>
      </c>
      <c r="Q420" s="212">
        <v>45034</v>
      </c>
      <c r="R420" s="221" t="s">
        <v>16</v>
      </c>
      <c r="S420" s="235">
        <v>5167418</v>
      </c>
      <c r="T420" s="214" t="s">
        <v>379</v>
      </c>
      <c r="U420" s="221" t="s">
        <v>380</v>
      </c>
      <c r="V420" s="236">
        <v>2</v>
      </c>
      <c r="W420" s="236">
        <v>0</v>
      </c>
      <c r="X420" s="236">
        <v>0</v>
      </c>
      <c r="Y420" s="236">
        <v>0</v>
      </c>
      <c r="Z420" s="237">
        <v>757228771</v>
      </c>
      <c r="AA420" s="211">
        <v>292</v>
      </c>
      <c r="AB420" s="212" t="s">
        <v>956</v>
      </c>
      <c r="AC420" s="190" t="s">
        <v>940</v>
      </c>
      <c r="AD420" s="70"/>
    </row>
    <row r="421" spans="1:30" ht="22.35" customHeight="1">
      <c r="A421" s="190" t="s">
        <v>10</v>
      </c>
      <c r="B421" s="215" t="s">
        <v>88</v>
      </c>
      <c r="C421" s="1341">
        <v>45325</v>
      </c>
      <c r="D421" s="216">
        <v>7</v>
      </c>
      <c r="E421" s="214">
        <v>177.8</v>
      </c>
      <c r="F421" s="246">
        <v>1244.57</v>
      </c>
      <c r="G421" s="214">
        <v>70</v>
      </c>
      <c r="H421" s="214">
        <v>39.26</v>
      </c>
      <c r="I421" s="214">
        <v>266.23</v>
      </c>
      <c r="J421" s="217">
        <v>785.07</v>
      </c>
      <c r="K421" s="214"/>
      <c r="L421" s="197" t="s">
        <v>276</v>
      </c>
      <c r="M421" s="194"/>
      <c r="N421" s="244" t="s">
        <v>382</v>
      </c>
      <c r="O421" s="190" t="s">
        <v>283</v>
      </c>
      <c r="P421" s="234" t="s">
        <v>97</v>
      </c>
      <c r="Q421" s="212">
        <v>45258</v>
      </c>
      <c r="R421" s="221" t="s">
        <v>383</v>
      </c>
      <c r="S421" s="235">
        <v>53534183</v>
      </c>
      <c r="T421" s="190" t="s">
        <v>384</v>
      </c>
      <c r="U421" s="221" t="s">
        <v>385</v>
      </c>
      <c r="V421" s="236">
        <v>2</v>
      </c>
      <c r="W421" s="236">
        <v>0</v>
      </c>
      <c r="X421" s="236">
        <v>1</v>
      </c>
      <c r="Y421" s="236">
        <v>0</v>
      </c>
      <c r="Z421" s="237">
        <v>846932482</v>
      </c>
      <c r="AA421" s="211">
        <v>67</v>
      </c>
      <c r="AB421" s="212" t="s">
        <v>956</v>
      </c>
      <c r="AC421" s="190" t="s">
        <v>943</v>
      </c>
      <c r="AD421" s="70"/>
    </row>
    <row r="422" spans="1:30" ht="22.35" customHeight="1">
      <c r="A422" s="190" t="s">
        <v>8</v>
      </c>
      <c r="B422" s="215" t="s">
        <v>23</v>
      </c>
      <c r="C422" s="1341">
        <v>45325</v>
      </c>
      <c r="D422" s="216">
        <v>6</v>
      </c>
      <c r="E422" s="214">
        <v>167.5</v>
      </c>
      <c r="F422" s="246" t="s">
        <v>2055</v>
      </c>
      <c r="G422" s="214">
        <v>90</v>
      </c>
      <c r="H422" s="214">
        <v>201</v>
      </c>
      <c r="I422" s="214">
        <v>232.8</v>
      </c>
      <c r="J422" s="217">
        <v>571.20000000000005</v>
      </c>
      <c r="K422" s="214"/>
      <c r="L422" s="197" t="s">
        <v>276</v>
      </c>
      <c r="M422" s="194">
        <v>10</v>
      </c>
      <c r="N422" s="244" t="s">
        <v>381</v>
      </c>
      <c r="O422" s="190" t="s">
        <v>283</v>
      </c>
      <c r="P422" s="244"/>
      <c r="Q422" s="212">
        <v>45319</v>
      </c>
      <c r="R422" s="329" t="s">
        <v>2054</v>
      </c>
      <c r="S422" s="235"/>
      <c r="T422" s="214"/>
      <c r="U422" s="233"/>
      <c r="V422" s="236"/>
      <c r="W422" s="236"/>
      <c r="X422" s="236"/>
      <c r="Y422" s="236"/>
      <c r="Z422" s="237"/>
      <c r="AA422" s="211">
        <v>6</v>
      </c>
      <c r="AB422" s="212" t="s">
        <v>956</v>
      </c>
      <c r="AC422" s="190" t="s">
        <v>939</v>
      </c>
      <c r="AD422" s="70"/>
    </row>
    <row r="423" spans="1:30" ht="22.35" customHeight="1">
      <c r="A423" s="190" t="s">
        <v>10</v>
      </c>
      <c r="B423" s="215" t="s">
        <v>88</v>
      </c>
      <c r="C423" s="1341">
        <v>45322</v>
      </c>
      <c r="D423" s="216">
        <v>3</v>
      </c>
      <c r="E423" s="214">
        <v>148.31</v>
      </c>
      <c r="F423" s="246">
        <v>444.93</v>
      </c>
      <c r="G423" s="214">
        <v>70</v>
      </c>
      <c r="H423" s="214">
        <v>13.91</v>
      </c>
      <c r="I423" s="214">
        <v>130.80000000000001</v>
      </c>
      <c r="J423" s="217">
        <v>241.68</v>
      </c>
      <c r="K423" s="214"/>
      <c r="L423" s="197" t="s">
        <v>276</v>
      </c>
      <c r="M423" s="194">
        <v>5</v>
      </c>
      <c r="N423" s="244" t="s">
        <v>386</v>
      </c>
      <c r="O423" s="190" t="s">
        <v>283</v>
      </c>
      <c r="P423" s="234" t="s">
        <v>97</v>
      </c>
      <c r="Q423" s="212">
        <v>45313</v>
      </c>
      <c r="R423" s="221" t="s">
        <v>387</v>
      </c>
      <c r="S423" s="235">
        <v>69952883</v>
      </c>
      <c r="T423" s="214" t="s">
        <v>388</v>
      </c>
      <c r="U423" s="221" t="s">
        <v>389</v>
      </c>
      <c r="V423" s="236">
        <v>2</v>
      </c>
      <c r="W423" s="236">
        <v>0</v>
      </c>
      <c r="X423" s="236">
        <v>0</v>
      </c>
      <c r="Y423" s="236">
        <v>0</v>
      </c>
      <c r="Z423" s="237">
        <v>868553071</v>
      </c>
      <c r="AA423" s="211">
        <v>9</v>
      </c>
      <c r="AB423" s="212" t="s">
        <v>957</v>
      </c>
      <c r="AC423" s="190" t="s">
        <v>939</v>
      </c>
      <c r="AD423" s="70"/>
    </row>
    <row r="424" spans="1:30" ht="22.35" customHeight="1">
      <c r="A424" s="190" t="s">
        <v>8</v>
      </c>
      <c r="B424" s="190" t="s">
        <v>88</v>
      </c>
      <c r="C424" s="1341">
        <v>45322</v>
      </c>
      <c r="D424" s="236">
        <v>3</v>
      </c>
      <c r="E424" s="214">
        <v>362.52</v>
      </c>
      <c r="F424" s="246">
        <v>1087.55</v>
      </c>
      <c r="G424" s="214">
        <v>90</v>
      </c>
      <c r="H424" s="214">
        <v>33.479999999999997</v>
      </c>
      <c r="I424" s="214">
        <v>251.3</v>
      </c>
      <c r="J424" s="214">
        <v>645.22</v>
      </c>
      <c r="K424" s="214"/>
      <c r="L424" s="197" t="s">
        <v>276</v>
      </c>
      <c r="M424" s="243">
        <v>5</v>
      </c>
      <c r="N424" s="244" t="s">
        <v>390</v>
      </c>
      <c r="O424" s="190" t="s">
        <v>283</v>
      </c>
      <c r="P424" s="234" t="s">
        <v>89</v>
      </c>
      <c r="Q424" s="212">
        <v>45287</v>
      </c>
      <c r="R424" s="221" t="s">
        <v>391</v>
      </c>
      <c r="S424" s="235">
        <v>32181103</v>
      </c>
      <c r="T424" s="214" t="s">
        <v>392</v>
      </c>
      <c r="U424" s="221" t="s">
        <v>393</v>
      </c>
      <c r="V424" s="236">
        <v>3</v>
      </c>
      <c r="W424" s="236">
        <v>0</v>
      </c>
      <c r="X424" s="236">
        <v>0</v>
      </c>
      <c r="Y424" s="236">
        <v>0</v>
      </c>
      <c r="Z424" s="237">
        <v>856342166</v>
      </c>
      <c r="AA424" s="211">
        <v>35</v>
      </c>
      <c r="AB424" s="212" t="s">
        <v>957</v>
      </c>
      <c r="AC424" s="190" t="s">
        <v>941</v>
      </c>
      <c r="AD424" s="70"/>
    </row>
    <row r="425" spans="1:30" ht="22.35" customHeight="1">
      <c r="A425" s="190" t="s">
        <v>8</v>
      </c>
      <c r="B425" s="215" t="s">
        <v>88</v>
      </c>
      <c r="C425" s="1341">
        <v>45319</v>
      </c>
      <c r="D425" s="216">
        <v>3</v>
      </c>
      <c r="E425" s="214">
        <v>184.49</v>
      </c>
      <c r="F425" s="246">
        <v>553.47</v>
      </c>
      <c r="G425" s="214">
        <v>90</v>
      </c>
      <c r="H425" s="214">
        <v>17.46</v>
      </c>
      <c r="I425" s="214">
        <v>165.51</v>
      </c>
      <c r="J425" s="217">
        <v>302.02999999999997</v>
      </c>
      <c r="K425" s="214"/>
      <c r="L425" s="197" t="s">
        <v>276</v>
      </c>
      <c r="M425" s="194">
        <v>5</v>
      </c>
      <c r="N425" s="244" t="s">
        <v>394</v>
      </c>
      <c r="O425" s="218" t="s">
        <v>283</v>
      </c>
      <c r="P425" s="231" t="s">
        <v>89</v>
      </c>
      <c r="Q425" s="220">
        <v>45318</v>
      </c>
      <c r="R425" s="221" t="s">
        <v>395</v>
      </c>
      <c r="S425" s="222">
        <v>148422648</v>
      </c>
      <c r="T425" s="218" t="s">
        <v>396</v>
      </c>
      <c r="U425" s="227" t="s">
        <v>397</v>
      </c>
      <c r="V425" s="225">
        <v>3</v>
      </c>
      <c r="W425" s="225">
        <v>0</v>
      </c>
      <c r="X425" s="225">
        <v>0</v>
      </c>
      <c r="Y425" s="77">
        <v>0</v>
      </c>
      <c r="Z425" s="76">
        <v>870993349</v>
      </c>
      <c r="AA425" s="211">
        <v>1</v>
      </c>
      <c r="AB425" s="212" t="s">
        <v>957</v>
      </c>
      <c r="AC425" s="190" t="s">
        <v>939</v>
      </c>
      <c r="AD425" s="70"/>
    </row>
    <row r="426" spans="1:30" ht="22.35" customHeight="1">
      <c r="A426" s="190" t="s">
        <v>10</v>
      </c>
      <c r="B426" s="215" t="s">
        <v>88</v>
      </c>
      <c r="C426" s="1341">
        <v>45319</v>
      </c>
      <c r="D426" s="216">
        <v>3</v>
      </c>
      <c r="E426" s="214">
        <v>180.69</v>
      </c>
      <c r="F426" s="246">
        <v>542.05999999999995</v>
      </c>
      <c r="G426" s="214">
        <v>70</v>
      </c>
      <c r="H426" s="214">
        <v>17.100000000000001</v>
      </c>
      <c r="I426" s="214">
        <v>147.58000000000001</v>
      </c>
      <c r="J426" s="217">
        <v>310.32</v>
      </c>
      <c r="K426" s="214"/>
      <c r="L426" s="197" t="s">
        <v>276</v>
      </c>
      <c r="M426" s="194"/>
      <c r="N426" s="244" t="s">
        <v>398</v>
      </c>
      <c r="O426" s="218" t="s">
        <v>283</v>
      </c>
      <c r="P426" s="231" t="s">
        <v>97</v>
      </c>
      <c r="Q426" s="220">
        <v>45270</v>
      </c>
      <c r="R426" s="221" t="s">
        <v>399</v>
      </c>
      <c r="S426" s="222">
        <v>542900252</v>
      </c>
      <c r="T426" s="218" t="s">
        <v>400</v>
      </c>
      <c r="U426" s="227" t="s">
        <v>122</v>
      </c>
      <c r="V426" s="225">
        <v>2</v>
      </c>
      <c r="W426" s="225">
        <v>0</v>
      </c>
      <c r="X426" s="225">
        <v>0</v>
      </c>
      <c r="Y426" s="77">
        <v>0</v>
      </c>
      <c r="Z426" s="76">
        <v>850915326</v>
      </c>
      <c r="AA426" s="211">
        <v>49</v>
      </c>
      <c r="AB426" s="212" t="s">
        <v>957</v>
      </c>
      <c r="AC426" s="190" t="s">
        <v>941</v>
      </c>
      <c r="AD426" s="70"/>
    </row>
    <row r="427" spans="1:30" ht="22.35" customHeight="1">
      <c r="A427" s="190" t="s">
        <v>8</v>
      </c>
      <c r="B427" s="215" t="s">
        <v>88</v>
      </c>
      <c r="C427" s="1341">
        <v>45315</v>
      </c>
      <c r="D427" s="216">
        <v>4</v>
      </c>
      <c r="E427" s="214">
        <v>313.25</v>
      </c>
      <c r="F427" s="246">
        <v>1253.01</v>
      </c>
      <c r="G427" s="214">
        <v>90</v>
      </c>
      <c r="H427" s="214">
        <v>39.53</v>
      </c>
      <c r="I427" s="214">
        <v>283.75</v>
      </c>
      <c r="J427" s="217">
        <v>774.78</v>
      </c>
      <c r="K427" s="214"/>
      <c r="L427" s="197" t="s">
        <v>276</v>
      </c>
      <c r="M427" s="194"/>
      <c r="N427" s="244" t="s">
        <v>401</v>
      </c>
      <c r="O427" s="218" t="s">
        <v>283</v>
      </c>
      <c r="P427" s="231" t="s">
        <v>89</v>
      </c>
      <c r="Q427" s="220">
        <v>45263</v>
      </c>
      <c r="R427" s="221" t="s">
        <v>402</v>
      </c>
      <c r="S427" s="222">
        <v>142006046</v>
      </c>
      <c r="T427" s="218" t="s">
        <v>403</v>
      </c>
      <c r="U427" s="227" t="s">
        <v>404</v>
      </c>
      <c r="V427" s="225">
        <v>4</v>
      </c>
      <c r="W427" s="225">
        <v>0</v>
      </c>
      <c r="X427" s="225">
        <v>0</v>
      </c>
      <c r="Y427" s="77">
        <v>0</v>
      </c>
      <c r="Z427" s="76">
        <v>848790756</v>
      </c>
      <c r="AA427" s="211">
        <v>52</v>
      </c>
      <c r="AB427" s="212" t="s">
        <v>957</v>
      </c>
      <c r="AC427" s="190" t="s">
        <v>941</v>
      </c>
      <c r="AD427" s="70"/>
    </row>
    <row r="428" spans="1:30" ht="22.35" customHeight="1">
      <c r="A428" s="190" t="s">
        <v>8</v>
      </c>
      <c r="B428" s="215" t="s">
        <v>23</v>
      </c>
      <c r="C428" s="1341">
        <v>45313</v>
      </c>
      <c r="D428" s="216">
        <v>2</v>
      </c>
      <c r="E428" s="214">
        <v>256</v>
      </c>
      <c r="F428" s="246">
        <v>511.99</v>
      </c>
      <c r="G428" s="214">
        <v>90</v>
      </c>
      <c r="H428" s="214">
        <v>108.38</v>
      </c>
      <c r="I428" s="214">
        <v>152.72</v>
      </c>
      <c r="J428" s="217">
        <v>250.89</v>
      </c>
      <c r="K428" s="214"/>
      <c r="L428" s="197" t="s">
        <v>276</v>
      </c>
      <c r="M428" s="194"/>
      <c r="N428" s="244" t="s">
        <v>405</v>
      </c>
      <c r="O428" s="218" t="s">
        <v>283</v>
      </c>
      <c r="P428" s="219"/>
      <c r="Q428" s="220">
        <v>45294</v>
      </c>
      <c r="R428" s="221" t="s">
        <v>406</v>
      </c>
      <c r="S428" s="222"/>
      <c r="T428" s="223"/>
      <c r="U428" s="224"/>
      <c r="V428" s="225"/>
      <c r="W428" s="225"/>
      <c r="X428" s="225"/>
      <c r="Y428" s="77"/>
      <c r="Z428" s="76"/>
      <c r="AA428" s="211">
        <v>19</v>
      </c>
      <c r="AB428" s="212" t="s">
        <v>957</v>
      </c>
      <c r="AC428" s="190" t="s">
        <v>939</v>
      </c>
      <c r="AD428" s="70"/>
    </row>
    <row r="429" spans="1:30" ht="22.35" customHeight="1">
      <c r="A429" s="218" t="s">
        <v>10</v>
      </c>
      <c r="B429" s="248" t="s">
        <v>88</v>
      </c>
      <c r="C429" s="1345">
        <v>45311</v>
      </c>
      <c r="D429" s="225">
        <v>7</v>
      </c>
      <c r="E429" s="214">
        <v>189.27</v>
      </c>
      <c r="F429" s="448">
        <v>1324.91</v>
      </c>
      <c r="G429" s="223">
        <v>70</v>
      </c>
      <c r="H429" s="223">
        <v>41.8</v>
      </c>
      <c r="I429" s="223">
        <v>279.95</v>
      </c>
      <c r="J429" s="249">
        <v>839.36</v>
      </c>
      <c r="K429" s="223"/>
      <c r="L429" s="250" t="s">
        <v>276</v>
      </c>
      <c r="M429" s="251"/>
      <c r="N429" s="219" t="s">
        <v>407</v>
      </c>
      <c r="O429" s="218" t="s">
        <v>283</v>
      </c>
      <c r="P429" s="231" t="s">
        <v>97</v>
      </c>
      <c r="Q429" s="220">
        <v>45259</v>
      </c>
      <c r="R429" s="227" t="s">
        <v>408</v>
      </c>
      <c r="S429" s="222">
        <v>139328144</v>
      </c>
      <c r="T429" s="218" t="s">
        <v>409</v>
      </c>
      <c r="U429" s="227" t="s">
        <v>127</v>
      </c>
      <c r="V429" s="225">
        <v>2</v>
      </c>
      <c r="W429" s="225">
        <v>0</v>
      </c>
      <c r="X429" s="225">
        <v>0</v>
      </c>
      <c r="Y429" s="77">
        <v>0</v>
      </c>
      <c r="Z429" s="76">
        <v>847328444</v>
      </c>
      <c r="AA429" s="211">
        <v>52</v>
      </c>
      <c r="AB429" s="212" t="s">
        <v>957</v>
      </c>
      <c r="AC429" s="190" t="s">
        <v>941</v>
      </c>
      <c r="AD429" s="70"/>
    </row>
    <row r="430" spans="1:30" ht="22.35" customHeight="1">
      <c r="A430" s="190" t="s">
        <v>8</v>
      </c>
      <c r="B430" s="215" t="s">
        <v>88</v>
      </c>
      <c r="C430" s="1341">
        <v>45310</v>
      </c>
      <c r="D430" s="216">
        <v>3</v>
      </c>
      <c r="E430" s="214">
        <v>426.04</v>
      </c>
      <c r="F430" s="246">
        <v>1278.1199999999999</v>
      </c>
      <c r="G430" s="214">
        <v>90</v>
      </c>
      <c r="H430" s="214">
        <v>40.32</v>
      </c>
      <c r="I430" s="214">
        <v>287.94</v>
      </c>
      <c r="J430" s="217">
        <v>791.74</v>
      </c>
      <c r="K430" s="214"/>
      <c r="L430" s="197" t="s">
        <v>276</v>
      </c>
      <c r="M430" s="194">
        <v>5</v>
      </c>
      <c r="N430" s="244" t="s">
        <v>410</v>
      </c>
      <c r="O430" s="218" t="s">
        <v>283</v>
      </c>
      <c r="P430" s="231" t="s">
        <v>89</v>
      </c>
      <c r="Q430" s="220">
        <v>45205</v>
      </c>
      <c r="R430" s="232" t="s">
        <v>411</v>
      </c>
      <c r="S430" s="222">
        <v>177873836</v>
      </c>
      <c r="T430" s="218" t="s">
        <v>412</v>
      </c>
      <c r="U430" s="227" t="s">
        <v>122</v>
      </c>
      <c r="V430" s="225">
        <v>4</v>
      </c>
      <c r="W430" s="225">
        <v>0</v>
      </c>
      <c r="X430" s="225">
        <v>0</v>
      </c>
      <c r="Y430" s="77">
        <v>0</v>
      </c>
      <c r="Z430" s="76">
        <v>828901899</v>
      </c>
      <c r="AA430" s="211">
        <v>105</v>
      </c>
      <c r="AB430" s="212" t="s">
        <v>957</v>
      </c>
      <c r="AC430" s="190" t="s">
        <v>942</v>
      </c>
      <c r="AD430" s="70"/>
    </row>
    <row r="431" spans="1:30" ht="22.35" customHeight="1">
      <c r="A431" s="190" t="s">
        <v>10</v>
      </c>
      <c r="B431" s="215" t="s">
        <v>88</v>
      </c>
      <c r="C431" s="1341">
        <v>45306</v>
      </c>
      <c r="D431" s="216">
        <v>4</v>
      </c>
      <c r="E431" s="214">
        <v>178.34</v>
      </c>
      <c r="F431" s="246">
        <v>713.34</v>
      </c>
      <c r="G431" s="214">
        <v>70</v>
      </c>
      <c r="H431" s="214">
        <v>21.96</v>
      </c>
      <c r="I431" s="214">
        <v>173.61</v>
      </c>
      <c r="J431" s="217">
        <v>414.43</v>
      </c>
      <c r="K431" s="214"/>
      <c r="L431" s="197" t="s">
        <v>276</v>
      </c>
      <c r="M431" s="194">
        <v>5</v>
      </c>
      <c r="N431" s="244" t="s">
        <v>415</v>
      </c>
      <c r="O431" s="218" t="s">
        <v>283</v>
      </c>
      <c r="P431" s="231" t="s">
        <v>97</v>
      </c>
      <c r="Q431" s="220">
        <v>45271</v>
      </c>
      <c r="R431" s="221" t="s">
        <v>416</v>
      </c>
      <c r="S431" s="222">
        <v>153849306</v>
      </c>
      <c r="T431" s="223" t="s">
        <v>417</v>
      </c>
      <c r="U431" s="227" t="s">
        <v>418</v>
      </c>
      <c r="V431" s="225">
        <v>2</v>
      </c>
      <c r="W431" s="225">
        <v>0</v>
      </c>
      <c r="X431" s="225">
        <v>0</v>
      </c>
      <c r="Y431" s="77">
        <v>0</v>
      </c>
      <c r="Z431" s="76">
        <v>851385430</v>
      </c>
      <c r="AA431" s="211">
        <v>35</v>
      </c>
      <c r="AB431" s="212" t="s">
        <v>957</v>
      </c>
      <c r="AC431" s="190" t="s">
        <v>941</v>
      </c>
      <c r="AD431" s="70"/>
    </row>
    <row r="432" spans="1:30" ht="22.35" customHeight="1">
      <c r="A432" s="190" t="s">
        <v>8</v>
      </c>
      <c r="B432" s="215" t="s">
        <v>23</v>
      </c>
      <c r="C432" s="1341">
        <v>45306</v>
      </c>
      <c r="D432" s="216">
        <v>4</v>
      </c>
      <c r="E432" s="214">
        <v>256</v>
      </c>
      <c r="F432" s="246">
        <v>1024.01</v>
      </c>
      <c r="G432" s="214">
        <v>90</v>
      </c>
      <c r="H432" s="214">
        <v>216.77</v>
      </c>
      <c r="I432" s="214">
        <v>233.45</v>
      </c>
      <c r="J432" s="217">
        <v>573.79</v>
      </c>
      <c r="K432" s="214"/>
      <c r="L432" s="197" t="s">
        <v>276</v>
      </c>
      <c r="M432" s="194">
        <v>10</v>
      </c>
      <c r="N432" s="244" t="s">
        <v>413</v>
      </c>
      <c r="O432" s="218" t="s">
        <v>283</v>
      </c>
      <c r="P432" s="219"/>
      <c r="Q432" s="220">
        <v>45271</v>
      </c>
      <c r="R432" s="221" t="s">
        <v>414</v>
      </c>
      <c r="S432" s="222"/>
      <c r="T432" s="223"/>
      <c r="U432" s="224"/>
      <c r="V432" s="225"/>
      <c r="W432" s="225"/>
      <c r="X432" s="225"/>
      <c r="Y432" s="77"/>
      <c r="Z432" s="76"/>
      <c r="AA432" s="211">
        <v>35</v>
      </c>
      <c r="AB432" s="212" t="s">
        <v>957</v>
      </c>
      <c r="AC432" s="190" t="s">
        <v>941</v>
      </c>
      <c r="AD432" s="70"/>
    </row>
    <row r="433" spans="1:30" ht="22.35" customHeight="1">
      <c r="A433" s="190" t="s">
        <v>10</v>
      </c>
      <c r="B433" s="215" t="s">
        <v>88</v>
      </c>
      <c r="C433" s="1341">
        <v>45304</v>
      </c>
      <c r="D433" s="216">
        <v>2</v>
      </c>
      <c r="E433" s="214">
        <v>154.06</v>
      </c>
      <c r="F433" s="246">
        <v>308.12</v>
      </c>
      <c r="G433" s="214">
        <v>70</v>
      </c>
      <c r="H433" s="214">
        <v>9.7200000000000006</v>
      </c>
      <c r="I433" s="214">
        <v>108.06</v>
      </c>
      <c r="J433" s="217">
        <v>152.22</v>
      </c>
      <c r="K433" s="214"/>
      <c r="L433" s="197" t="s">
        <v>276</v>
      </c>
      <c r="M433" s="194">
        <v>5</v>
      </c>
      <c r="N433" s="244" t="s">
        <v>419</v>
      </c>
      <c r="O433" s="218" t="s">
        <v>283</v>
      </c>
      <c r="P433" s="231" t="s">
        <v>97</v>
      </c>
      <c r="Q433" s="220">
        <v>45297</v>
      </c>
      <c r="R433" s="221" t="s">
        <v>420</v>
      </c>
      <c r="S433" s="222">
        <v>226409512</v>
      </c>
      <c r="T433" s="218" t="s">
        <v>421</v>
      </c>
      <c r="U433" s="227" t="s">
        <v>422</v>
      </c>
      <c r="V433" s="225">
        <v>2</v>
      </c>
      <c r="W433" s="225">
        <v>0</v>
      </c>
      <c r="X433" s="225">
        <v>0</v>
      </c>
      <c r="Y433" s="77">
        <v>0</v>
      </c>
      <c r="Z433" s="76">
        <v>860814297</v>
      </c>
      <c r="AA433" s="211">
        <v>7</v>
      </c>
      <c r="AB433" s="212" t="s">
        <v>957</v>
      </c>
      <c r="AC433" s="190" t="s">
        <v>939</v>
      </c>
      <c r="AD433" s="70"/>
    </row>
    <row r="434" spans="1:30" ht="22.35" customHeight="1">
      <c r="A434" s="190" t="s">
        <v>8</v>
      </c>
      <c r="B434" s="215" t="s">
        <v>23</v>
      </c>
      <c r="C434" s="1341">
        <v>45302</v>
      </c>
      <c r="D434" s="216">
        <v>4</v>
      </c>
      <c r="E434" s="214">
        <v>256</v>
      </c>
      <c r="F434" s="246">
        <v>1024.01</v>
      </c>
      <c r="G434" s="214">
        <v>90</v>
      </c>
      <c r="H434" s="214">
        <v>216.77</v>
      </c>
      <c r="I434" s="214">
        <v>233.45</v>
      </c>
      <c r="J434" s="217">
        <v>573.79</v>
      </c>
      <c r="K434" s="214"/>
      <c r="L434" s="197" t="s">
        <v>276</v>
      </c>
      <c r="M434" s="194">
        <v>10</v>
      </c>
      <c r="N434" s="244" t="s">
        <v>423</v>
      </c>
      <c r="O434" s="218" t="s">
        <v>283</v>
      </c>
      <c r="P434" s="219"/>
      <c r="Q434" s="220">
        <v>45271</v>
      </c>
      <c r="R434" s="221" t="s">
        <v>424</v>
      </c>
      <c r="S434" s="222"/>
      <c r="T434" s="223"/>
      <c r="U434" s="224"/>
      <c r="V434" s="225"/>
      <c r="W434" s="225"/>
      <c r="X434" s="225"/>
      <c r="Y434" s="77"/>
      <c r="Z434" s="76"/>
      <c r="AA434" s="211">
        <v>31</v>
      </c>
      <c r="AB434" s="212" t="s">
        <v>957</v>
      </c>
      <c r="AC434" s="190" t="s">
        <v>941</v>
      </c>
      <c r="AD434" s="70"/>
    </row>
    <row r="435" spans="1:30" ht="22.35" customHeight="1">
      <c r="A435" s="190" t="s">
        <v>18</v>
      </c>
      <c r="B435" s="215" t="s">
        <v>88</v>
      </c>
      <c r="C435" s="1341">
        <v>45299</v>
      </c>
      <c r="D435" s="216">
        <v>60</v>
      </c>
      <c r="E435" s="214">
        <v>52.43</v>
      </c>
      <c r="F435" s="246">
        <v>3146.02</v>
      </c>
      <c r="G435" s="214">
        <v>0</v>
      </c>
      <c r="H435" s="214">
        <v>101.41</v>
      </c>
      <c r="I435" s="214">
        <v>0</v>
      </c>
      <c r="J435" s="217">
        <v>2715.59</v>
      </c>
      <c r="K435" s="214"/>
      <c r="L435" s="197" t="s">
        <v>276</v>
      </c>
      <c r="M435" s="194">
        <v>5</v>
      </c>
      <c r="N435" s="244" t="s">
        <v>425</v>
      </c>
      <c r="O435" s="218" t="s">
        <v>283</v>
      </c>
      <c r="P435" s="231" t="s">
        <v>106</v>
      </c>
      <c r="Q435" s="220">
        <v>44821</v>
      </c>
      <c r="R435" s="232" t="s">
        <v>426</v>
      </c>
      <c r="S435" s="222">
        <v>300443569</v>
      </c>
      <c r="T435" s="223" t="s">
        <v>427</v>
      </c>
      <c r="U435" s="227" t="s">
        <v>428</v>
      </c>
      <c r="V435" s="225">
        <v>2</v>
      </c>
      <c r="W435" s="225">
        <v>0</v>
      </c>
      <c r="X435" s="225">
        <v>0</v>
      </c>
      <c r="Y435" s="77">
        <v>0</v>
      </c>
      <c r="Z435" s="76">
        <v>678982172</v>
      </c>
      <c r="AA435" s="211">
        <v>478</v>
      </c>
      <c r="AB435" s="212" t="s">
        <v>957</v>
      </c>
      <c r="AC435" s="190" t="s">
        <v>940</v>
      </c>
      <c r="AD435" s="70"/>
    </row>
    <row r="436" spans="1:30" ht="22.35" customHeight="1">
      <c r="A436" s="190" t="s">
        <v>10</v>
      </c>
      <c r="B436" s="215" t="s">
        <v>88</v>
      </c>
      <c r="C436" s="1341">
        <v>45297</v>
      </c>
      <c r="D436" s="216">
        <v>7</v>
      </c>
      <c r="E436" s="214">
        <v>177.8</v>
      </c>
      <c r="F436" s="246">
        <v>1244.57</v>
      </c>
      <c r="G436" s="214">
        <v>70</v>
      </c>
      <c r="H436" s="214">
        <v>39.270000000000003</v>
      </c>
      <c r="I436" s="214">
        <v>266.5</v>
      </c>
      <c r="J436" s="217">
        <v>785.06</v>
      </c>
      <c r="K436" s="214"/>
      <c r="L436" s="197" t="s">
        <v>276</v>
      </c>
      <c r="M436" s="194">
        <v>5</v>
      </c>
      <c r="N436" s="244" t="s">
        <v>429</v>
      </c>
      <c r="O436" s="218" t="s">
        <v>283</v>
      </c>
      <c r="P436" s="219" t="s">
        <v>97</v>
      </c>
      <c r="Q436" s="220">
        <v>45254</v>
      </c>
      <c r="R436" s="221" t="s">
        <v>430</v>
      </c>
      <c r="S436" s="222">
        <v>73758479</v>
      </c>
      <c r="T436" s="218" t="s">
        <v>431</v>
      </c>
      <c r="U436" s="227" t="s">
        <v>432</v>
      </c>
      <c r="V436" s="225">
        <v>2</v>
      </c>
      <c r="W436" s="225">
        <v>0</v>
      </c>
      <c r="X436" s="225">
        <v>0</v>
      </c>
      <c r="Y436" s="77">
        <v>0</v>
      </c>
      <c r="Z436" s="76">
        <v>845902311</v>
      </c>
      <c r="AA436" s="211">
        <v>43</v>
      </c>
      <c r="AB436" s="212" t="s">
        <v>957</v>
      </c>
      <c r="AC436" s="190" t="s">
        <v>941</v>
      </c>
      <c r="AD436" s="70"/>
    </row>
    <row r="437" spans="1:30" ht="22.35" customHeight="1">
      <c r="A437" s="190" t="s">
        <v>8</v>
      </c>
      <c r="B437" s="215" t="s">
        <v>23</v>
      </c>
      <c r="C437" s="1341">
        <v>45296</v>
      </c>
      <c r="D437" s="216">
        <v>4</v>
      </c>
      <c r="E437" s="214">
        <v>384</v>
      </c>
      <c r="F437" s="246">
        <v>1536</v>
      </c>
      <c r="G437" s="214">
        <v>90</v>
      </c>
      <c r="H437" s="214">
        <v>278.98</v>
      </c>
      <c r="I437" s="214">
        <v>323.39999999999998</v>
      </c>
      <c r="J437" s="217">
        <v>933.62</v>
      </c>
      <c r="K437" s="214"/>
      <c r="L437" s="197" t="s">
        <v>276</v>
      </c>
      <c r="M437" s="194">
        <v>10</v>
      </c>
      <c r="N437" s="244" t="s">
        <v>433</v>
      </c>
      <c r="O437" s="218" t="s">
        <v>283</v>
      </c>
      <c r="P437" s="219"/>
      <c r="Q437" s="220">
        <v>45230</v>
      </c>
      <c r="R437" s="221" t="s">
        <v>434</v>
      </c>
      <c r="S437" s="222"/>
      <c r="T437" s="223"/>
      <c r="U437" s="224"/>
      <c r="V437" s="225"/>
      <c r="W437" s="225"/>
      <c r="X437" s="225"/>
      <c r="Y437" s="77"/>
      <c r="Z437" s="76"/>
      <c r="AA437" s="211">
        <v>66</v>
      </c>
      <c r="AB437" s="212" t="s">
        <v>957</v>
      </c>
      <c r="AC437" s="190" t="s">
        <v>943</v>
      </c>
      <c r="AD437" s="70"/>
    </row>
    <row r="438" spans="1:30" ht="22.35" customHeight="1">
      <c r="A438" s="190" t="s">
        <v>8</v>
      </c>
      <c r="B438" s="215" t="s">
        <v>88</v>
      </c>
      <c r="C438" s="1341">
        <v>45293</v>
      </c>
      <c r="D438" s="216">
        <v>3</v>
      </c>
      <c r="E438" s="214">
        <v>382.86</v>
      </c>
      <c r="F438" s="246">
        <v>1148.57</v>
      </c>
      <c r="G438" s="214">
        <v>90</v>
      </c>
      <c r="H438" s="214">
        <v>35.32</v>
      </c>
      <c r="I438" s="214">
        <v>261.24</v>
      </c>
      <c r="J438" s="217">
        <v>684.55</v>
      </c>
      <c r="K438" s="214"/>
      <c r="L438" s="197" t="s">
        <v>276</v>
      </c>
      <c r="M438" s="194">
        <v>4</v>
      </c>
      <c r="N438" s="244" t="s">
        <v>435</v>
      </c>
      <c r="O438" s="218" t="s">
        <v>283</v>
      </c>
      <c r="P438" s="231" t="s">
        <v>89</v>
      </c>
      <c r="Q438" s="220">
        <v>45247</v>
      </c>
      <c r="R438" s="221" t="s">
        <v>436</v>
      </c>
      <c r="S438" s="222">
        <v>43612454</v>
      </c>
      <c r="T438" s="223" t="s">
        <v>437</v>
      </c>
      <c r="U438" s="227" t="s">
        <v>438</v>
      </c>
      <c r="V438" s="225">
        <v>2</v>
      </c>
      <c r="W438" s="225">
        <v>2</v>
      </c>
      <c r="X438" s="225">
        <v>0</v>
      </c>
      <c r="Y438" s="77">
        <v>0</v>
      </c>
      <c r="Z438" s="76">
        <v>843667513</v>
      </c>
      <c r="AA438" s="211">
        <v>46</v>
      </c>
      <c r="AB438" s="212" t="s">
        <v>957</v>
      </c>
      <c r="AC438" s="190" t="s">
        <v>941</v>
      </c>
      <c r="AD438" s="70"/>
    </row>
    <row r="439" spans="1:30" ht="22.35" customHeight="1">
      <c r="A439" s="190" t="s">
        <v>10</v>
      </c>
      <c r="B439" s="215" t="s">
        <v>88</v>
      </c>
      <c r="C439" s="1341">
        <v>45293</v>
      </c>
      <c r="D439" s="216">
        <v>3</v>
      </c>
      <c r="E439" s="214">
        <v>251.81</v>
      </c>
      <c r="F439" s="246">
        <v>755.44</v>
      </c>
      <c r="G439" s="214">
        <v>70</v>
      </c>
      <c r="H439" s="214">
        <v>23.26</v>
      </c>
      <c r="I439" s="214">
        <v>180.65</v>
      </c>
      <c r="J439" s="217">
        <v>442.2</v>
      </c>
      <c r="K439" s="214"/>
      <c r="L439" s="197" t="s">
        <v>276</v>
      </c>
      <c r="M439" s="194">
        <v>5</v>
      </c>
      <c r="N439" s="244" t="s">
        <v>439</v>
      </c>
      <c r="O439" s="218" t="s">
        <v>283</v>
      </c>
      <c r="P439" s="231" t="s">
        <v>97</v>
      </c>
      <c r="Q439" s="220">
        <v>45268</v>
      </c>
      <c r="R439" s="221" t="s">
        <v>440</v>
      </c>
      <c r="S439" s="222">
        <v>260005998</v>
      </c>
      <c r="T439" s="223" t="s">
        <v>441</v>
      </c>
      <c r="U439" s="227" t="s">
        <v>442</v>
      </c>
      <c r="V439" s="225">
        <v>2</v>
      </c>
      <c r="W439" s="225">
        <v>2</v>
      </c>
      <c r="X439" s="225">
        <v>0</v>
      </c>
      <c r="Y439" s="77">
        <v>0</v>
      </c>
      <c r="Z439" s="76">
        <v>850486983</v>
      </c>
      <c r="AA439" s="211">
        <v>25</v>
      </c>
      <c r="AB439" s="212" t="s">
        <v>957</v>
      </c>
      <c r="AC439" s="190" t="s">
        <v>939</v>
      </c>
      <c r="AD439" s="70"/>
    </row>
    <row r="440" spans="1:30" ht="22.35" customHeight="1">
      <c r="A440" s="190" t="s">
        <v>15</v>
      </c>
      <c r="B440" s="215" t="s">
        <v>88</v>
      </c>
      <c r="C440" s="1341">
        <v>45289</v>
      </c>
      <c r="D440" s="216">
        <v>31</v>
      </c>
      <c r="E440" s="214">
        <v>77.48</v>
      </c>
      <c r="F440" s="246">
        <v>2401.79</v>
      </c>
      <c r="G440" s="214">
        <v>0</v>
      </c>
      <c r="H440" s="214">
        <v>78.17</v>
      </c>
      <c r="I440" s="214">
        <v>0</v>
      </c>
      <c r="J440" s="217">
        <v>2093.08</v>
      </c>
      <c r="K440" s="214"/>
      <c r="L440" s="197" t="s">
        <v>276</v>
      </c>
      <c r="M440" s="194">
        <v>5</v>
      </c>
      <c r="N440" s="244" t="s">
        <v>443</v>
      </c>
      <c r="O440" s="218" t="s">
        <v>283</v>
      </c>
      <c r="P440" s="231" t="s">
        <v>114</v>
      </c>
      <c r="Q440" s="220">
        <v>45064</v>
      </c>
      <c r="R440" s="232" t="s">
        <v>444</v>
      </c>
      <c r="S440" s="222">
        <v>324603429</v>
      </c>
      <c r="T440" s="218" t="s">
        <v>445</v>
      </c>
      <c r="U440" s="227" t="s">
        <v>446</v>
      </c>
      <c r="V440" s="225">
        <v>1</v>
      </c>
      <c r="W440" s="225">
        <v>0</v>
      </c>
      <c r="X440" s="225">
        <v>0</v>
      </c>
      <c r="Y440" s="77">
        <v>0</v>
      </c>
      <c r="Z440" s="76">
        <v>769972931</v>
      </c>
      <c r="AA440" s="211">
        <v>225</v>
      </c>
      <c r="AB440" s="212" t="s">
        <v>958</v>
      </c>
      <c r="AC440" s="190" t="s">
        <v>940</v>
      </c>
      <c r="AD440" s="70"/>
    </row>
    <row r="441" spans="1:30" ht="22.35" customHeight="1">
      <c r="A441" s="190" t="s">
        <v>8</v>
      </c>
      <c r="B441" s="215" t="s">
        <v>88</v>
      </c>
      <c r="C441" s="1341">
        <v>45289</v>
      </c>
      <c r="D441" s="216">
        <v>3</v>
      </c>
      <c r="E441" s="214">
        <v>524.94000000000005</v>
      </c>
      <c r="F441" s="246">
        <v>1574.82</v>
      </c>
      <c r="G441" s="214">
        <v>90</v>
      </c>
      <c r="H441" s="214">
        <v>49.68</v>
      </c>
      <c r="I441" s="214">
        <v>338.06</v>
      </c>
      <c r="J441" s="217">
        <v>992.26</v>
      </c>
      <c r="K441" s="214"/>
      <c r="L441" s="197" t="s">
        <v>276</v>
      </c>
      <c r="M441" s="194">
        <v>5</v>
      </c>
      <c r="N441" s="244" t="s">
        <v>447</v>
      </c>
      <c r="O441" s="218" t="s">
        <v>283</v>
      </c>
      <c r="P441" s="231" t="s">
        <v>89</v>
      </c>
      <c r="Q441" s="220">
        <v>45201</v>
      </c>
      <c r="R441" s="232" t="s">
        <v>448</v>
      </c>
      <c r="S441" s="222">
        <v>501659918</v>
      </c>
      <c r="T441" s="218" t="s">
        <v>449</v>
      </c>
      <c r="U441" s="227" t="s">
        <v>122</v>
      </c>
      <c r="V441" s="225">
        <v>2</v>
      </c>
      <c r="W441" s="225">
        <v>4</v>
      </c>
      <c r="X441" s="225">
        <v>0</v>
      </c>
      <c r="Y441" s="77">
        <v>0</v>
      </c>
      <c r="Z441" s="76">
        <v>827024961</v>
      </c>
      <c r="AA441" s="211">
        <v>88</v>
      </c>
      <c r="AB441" s="212" t="s">
        <v>958</v>
      </c>
      <c r="AC441" s="190" t="s">
        <v>943</v>
      </c>
      <c r="AD441" s="70"/>
    </row>
    <row r="442" spans="1:30" ht="22.35" customHeight="1">
      <c r="A442" s="190" t="s">
        <v>10</v>
      </c>
      <c r="B442" s="215" t="s">
        <v>88</v>
      </c>
      <c r="C442" s="1341">
        <v>45287</v>
      </c>
      <c r="D442" s="216">
        <v>5</v>
      </c>
      <c r="E442" s="214">
        <v>324.08999999999997</v>
      </c>
      <c r="F442" s="246">
        <v>1620.47</v>
      </c>
      <c r="G442" s="214">
        <v>70</v>
      </c>
      <c r="H442" s="214">
        <v>51.12</v>
      </c>
      <c r="I442" s="214">
        <v>329.78</v>
      </c>
      <c r="J442" s="217">
        <v>1039.0999999999999</v>
      </c>
      <c r="K442" s="214"/>
      <c r="L442" s="197" t="s">
        <v>276</v>
      </c>
      <c r="M442" s="194">
        <v>5</v>
      </c>
      <c r="N442" s="244" t="s">
        <v>450</v>
      </c>
      <c r="O442" s="218" t="s">
        <v>283</v>
      </c>
      <c r="P442" s="231" t="s">
        <v>97</v>
      </c>
      <c r="Q442" s="220">
        <v>45206</v>
      </c>
      <c r="R442" s="232" t="s">
        <v>451</v>
      </c>
      <c r="S442" s="222">
        <v>30510185</v>
      </c>
      <c r="T442" s="218" t="s">
        <v>452</v>
      </c>
      <c r="U442" s="227" t="s">
        <v>453</v>
      </c>
      <c r="V442" s="225">
        <v>2</v>
      </c>
      <c r="W442" s="225">
        <v>2</v>
      </c>
      <c r="X442" s="225">
        <v>0</v>
      </c>
      <c r="Y442" s="77">
        <v>0</v>
      </c>
      <c r="Z442" s="76">
        <v>829019443</v>
      </c>
      <c r="AA442" s="211">
        <v>81</v>
      </c>
      <c r="AB442" s="212" t="s">
        <v>958</v>
      </c>
      <c r="AC442" s="190" t="s">
        <v>943</v>
      </c>
      <c r="AD442" s="70"/>
    </row>
    <row r="443" spans="1:30" ht="22.35" customHeight="1">
      <c r="A443" s="190" t="s">
        <v>8</v>
      </c>
      <c r="B443" s="190" t="s">
        <v>88</v>
      </c>
      <c r="C443" s="1341">
        <v>45286</v>
      </c>
      <c r="D443" s="236">
        <v>3</v>
      </c>
      <c r="E443" s="214">
        <v>381.25</v>
      </c>
      <c r="F443" s="246">
        <v>1143.75</v>
      </c>
      <c r="G443" s="214">
        <v>90</v>
      </c>
      <c r="H443" s="214">
        <v>35.64</v>
      </c>
      <c r="I443" s="214">
        <v>262.87</v>
      </c>
      <c r="J443" s="214">
        <v>691.49</v>
      </c>
      <c r="K443" s="214"/>
      <c r="L443" s="197" t="s">
        <v>276</v>
      </c>
      <c r="M443" s="243"/>
      <c r="N443" s="244" t="s">
        <v>454</v>
      </c>
      <c r="O443" s="190" t="s">
        <v>283</v>
      </c>
      <c r="P443" s="234" t="s">
        <v>89</v>
      </c>
      <c r="Q443" s="212">
        <v>45199</v>
      </c>
      <c r="R443" s="232" t="s">
        <v>455</v>
      </c>
      <c r="S443" s="235">
        <v>320175284</v>
      </c>
      <c r="T443" s="214" t="s">
        <v>456</v>
      </c>
      <c r="U443" s="221" t="s">
        <v>457</v>
      </c>
      <c r="V443" s="236">
        <v>4</v>
      </c>
      <c r="W443" s="236">
        <v>0</v>
      </c>
      <c r="X443" s="236">
        <v>0</v>
      </c>
      <c r="Y443" s="236">
        <v>0</v>
      </c>
      <c r="Z443" s="237">
        <v>826371331</v>
      </c>
      <c r="AA443" s="211">
        <v>87</v>
      </c>
      <c r="AB443" s="212" t="s">
        <v>958</v>
      </c>
      <c r="AC443" s="190" t="s">
        <v>943</v>
      </c>
      <c r="AD443" s="70"/>
    </row>
    <row r="444" spans="1:30" ht="22.35" customHeight="1">
      <c r="A444" s="190" t="s">
        <v>10</v>
      </c>
      <c r="B444" s="215" t="s">
        <v>88</v>
      </c>
      <c r="C444" s="1341">
        <v>45283</v>
      </c>
      <c r="D444" s="216">
        <v>4</v>
      </c>
      <c r="E444" s="214">
        <v>220.82</v>
      </c>
      <c r="F444" s="246">
        <v>883.27</v>
      </c>
      <c r="G444" s="214">
        <v>70</v>
      </c>
      <c r="H444" s="214">
        <v>27.86</v>
      </c>
      <c r="I444" s="214">
        <v>205.23</v>
      </c>
      <c r="J444" s="217">
        <v>540.91</v>
      </c>
      <c r="K444" s="214"/>
      <c r="L444" s="197" t="s">
        <v>276</v>
      </c>
      <c r="M444" s="194"/>
      <c r="N444" s="244" t="s">
        <v>458</v>
      </c>
      <c r="O444" s="190" t="s">
        <v>283</v>
      </c>
      <c r="P444" s="234" t="s">
        <v>97</v>
      </c>
      <c r="Q444" s="212">
        <v>45224</v>
      </c>
      <c r="R444" s="232" t="s">
        <v>459</v>
      </c>
      <c r="S444" s="235">
        <v>348894653</v>
      </c>
      <c r="T444" s="214" t="s">
        <v>460</v>
      </c>
      <c r="U444" s="221" t="s">
        <v>291</v>
      </c>
      <c r="V444" s="236">
        <v>2</v>
      </c>
      <c r="W444" s="236">
        <v>0</v>
      </c>
      <c r="X444" s="236">
        <v>0</v>
      </c>
      <c r="Y444" s="236">
        <v>0</v>
      </c>
      <c r="Z444" s="237">
        <v>835607165</v>
      </c>
      <c r="AA444" s="211">
        <v>59</v>
      </c>
      <c r="AB444" s="212" t="s">
        <v>958</v>
      </c>
      <c r="AC444" s="190" t="s">
        <v>941</v>
      </c>
      <c r="AD444" s="70"/>
    </row>
    <row r="445" spans="1:30" ht="22.35" customHeight="1">
      <c r="A445" s="190" t="s">
        <v>10</v>
      </c>
      <c r="B445" s="190" t="s">
        <v>88</v>
      </c>
      <c r="C445" s="1341">
        <v>45280</v>
      </c>
      <c r="D445" s="236">
        <v>3</v>
      </c>
      <c r="E445" s="214">
        <v>259.43</v>
      </c>
      <c r="F445" s="246">
        <v>778.28</v>
      </c>
      <c r="G445" s="214">
        <v>70</v>
      </c>
      <c r="H445" s="214">
        <v>24.56</v>
      </c>
      <c r="I445" s="214">
        <v>187.71</v>
      </c>
      <c r="J445" s="214">
        <v>469.95</v>
      </c>
      <c r="K445" s="214"/>
      <c r="L445" s="197" t="s">
        <v>276</v>
      </c>
      <c r="M445" s="243"/>
      <c r="N445" s="244" t="s">
        <v>461</v>
      </c>
      <c r="O445" s="190" t="s">
        <v>283</v>
      </c>
      <c r="P445" s="234" t="s">
        <v>97</v>
      </c>
      <c r="Q445" s="212">
        <v>45250</v>
      </c>
      <c r="R445" s="221" t="s">
        <v>462</v>
      </c>
      <c r="S445" s="235">
        <v>545111587</v>
      </c>
      <c r="T445" s="190" t="s">
        <v>463</v>
      </c>
      <c r="U445" s="221" t="s">
        <v>122</v>
      </c>
      <c r="V445" s="236">
        <v>2</v>
      </c>
      <c r="W445" s="236">
        <v>1</v>
      </c>
      <c r="X445" s="236">
        <v>0</v>
      </c>
      <c r="Y445" s="236">
        <v>0</v>
      </c>
      <c r="Z445" s="237">
        <v>844355299</v>
      </c>
      <c r="AA445" s="211">
        <v>30</v>
      </c>
      <c r="AB445" s="212" t="s">
        <v>958</v>
      </c>
      <c r="AC445" s="190" t="s">
        <v>939</v>
      </c>
      <c r="AD445" s="70"/>
    </row>
    <row r="446" spans="1:30" ht="22.35" customHeight="1">
      <c r="A446" s="190" t="s">
        <v>10</v>
      </c>
      <c r="B446" s="190" t="s">
        <v>88</v>
      </c>
      <c r="C446" s="1341">
        <v>45277</v>
      </c>
      <c r="D446" s="236">
        <v>3</v>
      </c>
      <c r="E446" s="214">
        <v>166.99</v>
      </c>
      <c r="F446" s="246">
        <v>500.98</v>
      </c>
      <c r="G446" s="214">
        <v>70</v>
      </c>
      <c r="H446" s="214">
        <v>15.8</v>
      </c>
      <c r="I446" s="214">
        <v>140.53</v>
      </c>
      <c r="J446" s="214">
        <v>282.56</v>
      </c>
      <c r="K446" s="214"/>
      <c r="L446" s="197" t="s">
        <v>276</v>
      </c>
      <c r="M446" s="243">
        <v>5</v>
      </c>
      <c r="N446" s="244" t="s">
        <v>464</v>
      </c>
      <c r="O446" s="190" t="s">
        <v>283</v>
      </c>
      <c r="P446" s="234" t="s">
        <v>97</v>
      </c>
      <c r="Q446" s="212">
        <v>45260</v>
      </c>
      <c r="R446" s="221" t="s">
        <v>465</v>
      </c>
      <c r="S446" s="235">
        <v>37391650</v>
      </c>
      <c r="T446" s="190" t="s">
        <v>466</v>
      </c>
      <c r="U446" s="221" t="s">
        <v>122</v>
      </c>
      <c r="V446" s="236">
        <v>2</v>
      </c>
      <c r="W446" s="236">
        <v>1</v>
      </c>
      <c r="X446" s="236">
        <v>1</v>
      </c>
      <c r="Y446" s="236">
        <v>0</v>
      </c>
      <c r="Z446" s="237">
        <v>847657174</v>
      </c>
      <c r="AA446" s="211">
        <v>17</v>
      </c>
      <c r="AB446" s="212" t="s">
        <v>958</v>
      </c>
      <c r="AC446" s="190" t="s">
        <v>939</v>
      </c>
      <c r="AD446" s="70"/>
    </row>
    <row r="447" spans="1:30" ht="22.35" customHeight="1">
      <c r="A447" s="190" t="s">
        <v>8</v>
      </c>
      <c r="B447" s="215" t="s">
        <v>88</v>
      </c>
      <c r="C447" s="1341">
        <v>45276</v>
      </c>
      <c r="D447" s="216">
        <v>8</v>
      </c>
      <c r="E447" s="214">
        <v>374.45</v>
      </c>
      <c r="F447" s="246">
        <v>2995.59</v>
      </c>
      <c r="G447" s="214">
        <v>90</v>
      </c>
      <c r="H447" s="214">
        <v>94.5</v>
      </c>
      <c r="I447" s="214">
        <v>578.1</v>
      </c>
      <c r="J447" s="217">
        <v>1952.4</v>
      </c>
      <c r="K447" s="214"/>
      <c r="L447" s="197" t="s">
        <v>276</v>
      </c>
      <c r="M447" s="194">
        <v>5</v>
      </c>
      <c r="N447" s="244" t="s">
        <v>467</v>
      </c>
      <c r="O447" s="190" t="s">
        <v>283</v>
      </c>
      <c r="P447" s="234" t="s">
        <v>89</v>
      </c>
      <c r="Q447" s="212">
        <v>45208</v>
      </c>
      <c r="R447" s="232" t="s">
        <v>468</v>
      </c>
      <c r="S447" s="235">
        <v>30794223</v>
      </c>
      <c r="T447" s="190" t="s">
        <v>469</v>
      </c>
      <c r="U447" s="221" t="s">
        <v>470</v>
      </c>
      <c r="V447" s="236">
        <v>3</v>
      </c>
      <c r="W447" s="236">
        <v>2</v>
      </c>
      <c r="X447" s="236">
        <v>0</v>
      </c>
      <c r="Y447" s="236">
        <v>0</v>
      </c>
      <c r="Z447" s="237">
        <v>830038026</v>
      </c>
      <c r="AA447" s="211">
        <v>68</v>
      </c>
      <c r="AB447" s="212" t="s">
        <v>958</v>
      </c>
      <c r="AC447" s="190" t="s">
        <v>943</v>
      </c>
      <c r="AD447" s="70"/>
    </row>
    <row r="448" spans="1:30" ht="22.35" customHeight="1">
      <c r="A448" s="190" t="s">
        <v>8</v>
      </c>
      <c r="B448" s="215" t="s">
        <v>88</v>
      </c>
      <c r="C448" s="1341">
        <v>45274</v>
      </c>
      <c r="D448" s="216">
        <v>2</v>
      </c>
      <c r="E448" s="214">
        <v>248.79</v>
      </c>
      <c r="F448" s="246">
        <v>497.57</v>
      </c>
      <c r="G448" s="214">
        <v>90</v>
      </c>
      <c r="H448" s="214">
        <v>15.34</v>
      </c>
      <c r="I448" s="214">
        <v>154.24</v>
      </c>
      <c r="J448" s="217">
        <v>256.52999999999997</v>
      </c>
      <c r="K448" s="214"/>
      <c r="L448" s="197" t="s">
        <v>276</v>
      </c>
      <c r="M448" s="194"/>
      <c r="N448" s="244" t="s">
        <v>471</v>
      </c>
      <c r="O448" s="190" t="s">
        <v>283</v>
      </c>
      <c r="P448" s="234" t="s">
        <v>89</v>
      </c>
      <c r="Q448" s="212">
        <v>45264</v>
      </c>
      <c r="R448" s="221" t="s">
        <v>472</v>
      </c>
      <c r="S448" s="235">
        <v>48666667</v>
      </c>
      <c r="T448" s="214" t="s">
        <v>473</v>
      </c>
      <c r="U448" s="221" t="s">
        <v>474</v>
      </c>
      <c r="V448" s="236">
        <v>4</v>
      </c>
      <c r="W448" s="236">
        <v>0</v>
      </c>
      <c r="X448" s="236">
        <v>0</v>
      </c>
      <c r="Y448" s="236">
        <v>0</v>
      </c>
      <c r="Z448" s="237">
        <v>849053271</v>
      </c>
      <c r="AA448" s="211">
        <v>10</v>
      </c>
      <c r="AB448" s="212" t="s">
        <v>958</v>
      </c>
      <c r="AC448" s="190" t="s">
        <v>939</v>
      </c>
      <c r="AD448" s="70"/>
    </row>
    <row r="449" spans="1:30" ht="22.35" customHeight="1">
      <c r="A449" s="190" t="s">
        <v>10</v>
      </c>
      <c r="B449" s="215" t="s">
        <v>88</v>
      </c>
      <c r="C449" s="1341">
        <v>45270</v>
      </c>
      <c r="D449" s="216">
        <v>7</v>
      </c>
      <c r="E449" s="214">
        <v>183.73</v>
      </c>
      <c r="F449" s="246">
        <v>1286.1099999999999</v>
      </c>
      <c r="G449" s="214">
        <v>70</v>
      </c>
      <c r="H449" s="214">
        <v>40.57</v>
      </c>
      <c r="I449" s="214">
        <v>273.23</v>
      </c>
      <c r="J449" s="217">
        <v>813.14</v>
      </c>
      <c r="K449" s="214"/>
      <c r="L449" s="197" t="s">
        <v>276</v>
      </c>
      <c r="M449" s="194">
        <v>4</v>
      </c>
      <c r="N449" s="244" t="s">
        <v>475</v>
      </c>
      <c r="O449" s="190" t="s">
        <v>283</v>
      </c>
      <c r="P449" s="234" t="s">
        <v>97</v>
      </c>
      <c r="Q449" s="212">
        <v>45246</v>
      </c>
      <c r="R449" s="221" t="s">
        <v>476</v>
      </c>
      <c r="S449" s="235">
        <v>522600461</v>
      </c>
      <c r="T449" s="190" t="s">
        <v>477</v>
      </c>
      <c r="U449" s="221" t="s">
        <v>122</v>
      </c>
      <c r="V449" s="236">
        <v>2</v>
      </c>
      <c r="W449" s="236">
        <v>0</v>
      </c>
      <c r="X449" s="236">
        <v>0</v>
      </c>
      <c r="Y449" s="236">
        <v>0</v>
      </c>
      <c r="Z449" s="237">
        <v>843084288</v>
      </c>
      <c r="AA449" s="211">
        <v>24</v>
      </c>
      <c r="AB449" s="212" t="s">
        <v>958</v>
      </c>
      <c r="AC449" s="190" t="s">
        <v>939</v>
      </c>
      <c r="AD449" s="70"/>
    </row>
    <row r="450" spans="1:30" ht="22.35" customHeight="1">
      <c r="A450" s="190" t="s">
        <v>18</v>
      </c>
      <c r="B450" s="215" t="s">
        <v>88</v>
      </c>
      <c r="C450" s="1341">
        <v>45269</v>
      </c>
      <c r="D450" s="216">
        <v>30</v>
      </c>
      <c r="E450" s="214">
        <v>59.19</v>
      </c>
      <c r="F450" s="246">
        <v>1775.68</v>
      </c>
      <c r="G450" s="214">
        <v>0</v>
      </c>
      <c r="H450" s="214">
        <v>56.7</v>
      </c>
      <c r="I450" s="214">
        <v>0</v>
      </c>
      <c r="J450" s="217">
        <v>1518.3</v>
      </c>
      <c r="K450" s="214"/>
      <c r="L450" s="197" t="s">
        <v>276</v>
      </c>
      <c r="M450" s="194">
        <v>5</v>
      </c>
      <c r="N450" s="244" t="s">
        <v>478</v>
      </c>
      <c r="O450" s="190" t="s">
        <v>283</v>
      </c>
      <c r="P450" s="244" t="s">
        <v>106</v>
      </c>
      <c r="Q450" s="212">
        <v>45267</v>
      </c>
      <c r="R450" s="221" t="s">
        <v>479</v>
      </c>
      <c r="S450" s="235">
        <v>372407351</v>
      </c>
      <c r="T450" s="214" t="s">
        <v>480</v>
      </c>
      <c r="U450" s="221" t="s">
        <v>213</v>
      </c>
      <c r="V450" s="236">
        <v>1</v>
      </c>
      <c r="W450" s="236">
        <v>0</v>
      </c>
      <c r="X450" s="236">
        <v>0</v>
      </c>
      <c r="Y450" s="236">
        <v>0</v>
      </c>
      <c r="Z450" s="237">
        <v>850241949</v>
      </c>
      <c r="AA450" s="211">
        <v>2</v>
      </c>
      <c r="AB450" s="212" t="s">
        <v>958</v>
      </c>
      <c r="AC450" s="190" t="s">
        <v>939</v>
      </c>
      <c r="AD450" s="70"/>
    </row>
    <row r="451" spans="1:30" ht="22.35" customHeight="1">
      <c r="A451" s="190" t="s">
        <v>8</v>
      </c>
      <c r="B451" s="190" t="s">
        <v>23</v>
      </c>
      <c r="C451" s="1341">
        <v>45269</v>
      </c>
      <c r="D451" s="236">
        <v>5</v>
      </c>
      <c r="E451" s="214">
        <v>221</v>
      </c>
      <c r="F451" s="246">
        <v>1105</v>
      </c>
      <c r="G451" s="214">
        <v>90</v>
      </c>
      <c r="H451" s="214">
        <v>255.95</v>
      </c>
      <c r="I451" s="214">
        <v>241.81</v>
      </c>
      <c r="J451" s="214">
        <v>607.24</v>
      </c>
      <c r="K451" s="214"/>
      <c r="L451" s="197" t="s">
        <v>276</v>
      </c>
      <c r="M451" s="243"/>
      <c r="N451" s="244" t="s">
        <v>481</v>
      </c>
      <c r="O451" s="190" t="s">
        <v>283</v>
      </c>
      <c r="P451" s="244"/>
      <c r="Q451" s="212">
        <v>45225</v>
      </c>
      <c r="R451" s="221" t="s">
        <v>482</v>
      </c>
      <c r="S451" s="235"/>
      <c r="T451" s="214"/>
      <c r="U451" s="233"/>
      <c r="V451" s="236"/>
      <c r="W451" s="236"/>
      <c r="X451" s="236"/>
      <c r="Y451" s="236"/>
      <c r="Z451" s="237"/>
      <c r="AA451" s="211">
        <v>44</v>
      </c>
      <c r="AB451" s="212" t="s">
        <v>958</v>
      </c>
      <c r="AC451" s="190" t="s">
        <v>941</v>
      </c>
      <c r="AD451" s="70"/>
    </row>
    <row r="452" spans="1:30" ht="22.35" customHeight="1">
      <c r="A452" s="252" t="s">
        <v>10</v>
      </c>
      <c r="B452" s="260" t="s">
        <v>88</v>
      </c>
      <c r="C452" s="1346">
        <v>45266</v>
      </c>
      <c r="D452" s="258">
        <v>4</v>
      </c>
      <c r="E452" s="214">
        <v>229.95</v>
      </c>
      <c r="F452" s="449">
        <v>919.79</v>
      </c>
      <c r="G452" s="256">
        <v>70</v>
      </c>
      <c r="H452" s="256">
        <v>29.02</v>
      </c>
      <c r="I452" s="256">
        <v>211.4</v>
      </c>
      <c r="J452" s="261">
        <v>565.59</v>
      </c>
      <c r="K452" s="256"/>
      <c r="L452" s="262" t="s">
        <v>276</v>
      </c>
      <c r="M452" s="263">
        <v>5</v>
      </c>
      <c r="N452" s="253" t="s">
        <v>483</v>
      </c>
      <c r="O452" s="252" t="s">
        <v>283</v>
      </c>
      <c r="P452" s="271" t="s">
        <v>97</v>
      </c>
      <c r="Q452" s="254">
        <v>45221</v>
      </c>
      <c r="R452" s="272" t="s">
        <v>484</v>
      </c>
      <c r="S452" s="255">
        <v>113890743</v>
      </c>
      <c r="T452" s="252" t="s">
        <v>485</v>
      </c>
      <c r="U452" s="259" t="s">
        <v>486</v>
      </c>
      <c r="V452" s="258">
        <v>2</v>
      </c>
      <c r="W452" s="258">
        <v>0</v>
      </c>
      <c r="X452" s="258">
        <v>0</v>
      </c>
      <c r="Y452" s="77">
        <v>0</v>
      </c>
      <c r="Z452" s="76">
        <v>834617398</v>
      </c>
      <c r="AA452" s="211">
        <v>45</v>
      </c>
      <c r="AB452" s="212" t="s">
        <v>958</v>
      </c>
      <c r="AC452" s="190" t="s">
        <v>941</v>
      </c>
      <c r="AD452" s="70"/>
    </row>
    <row r="453" spans="1:30" ht="22.35" customHeight="1">
      <c r="A453" s="193" t="s">
        <v>8</v>
      </c>
      <c r="B453" s="248" t="s">
        <v>88</v>
      </c>
      <c r="C453" s="1347">
        <v>45262</v>
      </c>
      <c r="D453" s="216">
        <v>6</v>
      </c>
      <c r="E453" s="214">
        <v>365.18</v>
      </c>
      <c r="F453" s="450">
        <v>2191.06</v>
      </c>
      <c r="G453" s="264">
        <v>90</v>
      </c>
      <c r="H453" s="264">
        <v>69.12</v>
      </c>
      <c r="I453" s="264">
        <v>442.18</v>
      </c>
      <c r="J453" s="265">
        <v>1408.7</v>
      </c>
      <c r="K453" s="264"/>
      <c r="L453" s="266" t="s">
        <v>276</v>
      </c>
      <c r="M453" s="194">
        <v>5</v>
      </c>
      <c r="N453" s="582" t="s">
        <v>487</v>
      </c>
      <c r="O453" s="193" t="s">
        <v>283</v>
      </c>
      <c r="P453" s="267" t="s">
        <v>89</v>
      </c>
      <c r="Q453" s="653">
        <v>45201</v>
      </c>
      <c r="R453" s="268" t="s">
        <v>488</v>
      </c>
      <c r="S453" s="269">
        <v>539886057</v>
      </c>
      <c r="T453" s="193" t="s">
        <v>489</v>
      </c>
      <c r="U453" s="270" t="s">
        <v>122</v>
      </c>
      <c r="V453" s="216">
        <v>3</v>
      </c>
      <c r="W453" s="216">
        <v>1</v>
      </c>
      <c r="X453" s="216">
        <v>0</v>
      </c>
      <c r="Y453" s="77">
        <v>0</v>
      </c>
      <c r="Z453" s="76">
        <v>826993661</v>
      </c>
      <c r="AA453" s="211">
        <v>61</v>
      </c>
      <c r="AB453" s="212" t="s">
        <v>958</v>
      </c>
      <c r="AC453" s="190" t="s">
        <v>943</v>
      </c>
      <c r="AD453" s="70"/>
    </row>
    <row r="454" spans="1:30" ht="22.35" customHeight="1">
      <c r="A454" s="190" t="s">
        <v>10</v>
      </c>
      <c r="B454" s="190" t="s">
        <v>23</v>
      </c>
      <c r="C454" s="1341">
        <v>45261</v>
      </c>
      <c r="D454" s="236">
        <v>5</v>
      </c>
      <c r="E454" s="214">
        <v>158.4</v>
      </c>
      <c r="F454" s="246">
        <v>792</v>
      </c>
      <c r="G454" s="214">
        <v>70</v>
      </c>
      <c r="H454" s="214">
        <v>183.45</v>
      </c>
      <c r="I454" s="214">
        <v>177.71</v>
      </c>
      <c r="J454" s="214">
        <v>430.84</v>
      </c>
      <c r="K454" s="214"/>
      <c r="L454" s="197" t="s">
        <v>276</v>
      </c>
      <c r="M454" s="243">
        <v>10</v>
      </c>
      <c r="N454" s="244" t="s">
        <v>490</v>
      </c>
      <c r="O454" s="190" t="s">
        <v>283</v>
      </c>
      <c r="P454" s="244"/>
      <c r="Q454" s="212">
        <v>45224</v>
      </c>
      <c r="R454" s="221" t="s">
        <v>491</v>
      </c>
      <c r="S454" s="235"/>
      <c r="T454" s="214"/>
      <c r="U454" s="233"/>
      <c r="V454" s="236"/>
      <c r="W454" s="236"/>
      <c r="X454" s="236"/>
      <c r="Y454" s="236"/>
      <c r="Z454" s="237"/>
      <c r="AA454" s="211">
        <v>37</v>
      </c>
      <c r="AB454" s="212" t="s">
        <v>958</v>
      </c>
      <c r="AC454" s="190" t="s">
        <v>941</v>
      </c>
      <c r="AD454" s="70"/>
    </row>
    <row r="455" spans="1:30" ht="22.35" customHeight="1">
      <c r="A455" s="190" t="s">
        <v>10</v>
      </c>
      <c r="B455" s="190" t="s">
        <v>88</v>
      </c>
      <c r="C455" s="1341">
        <v>45258</v>
      </c>
      <c r="D455" s="236">
        <v>3</v>
      </c>
      <c r="E455" s="214">
        <v>166.99</v>
      </c>
      <c r="F455" s="246">
        <v>500.98</v>
      </c>
      <c r="G455" s="214">
        <v>70</v>
      </c>
      <c r="H455" s="214">
        <v>15.8</v>
      </c>
      <c r="I455" s="214">
        <v>140.53</v>
      </c>
      <c r="J455" s="214">
        <v>282.56</v>
      </c>
      <c r="K455" s="214"/>
      <c r="L455" s="197" t="s">
        <v>276</v>
      </c>
      <c r="M455" s="243">
        <v>5</v>
      </c>
      <c r="N455" s="244" t="s">
        <v>492</v>
      </c>
      <c r="O455" s="190" t="s">
        <v>283</v>
      </c>
      <c r="P455" s="234" t="s">
        <v>97</v>
      </c>
      <c r="Q455" s="212">
        <v>45256</v>
      </c>
      <c r="R455" s="221" t="s">
        <v>493</v>
      </c>
      <c r="S455" s="235">
        <v>202647498</v>
      </c>
      <c r="T455" s="214" t="s">
        <v>494</v>
      </c>
      <c r="U455" s="221" t="s">
        <v>495</v>
      </c>
      <c r="V455" s="236">
        <v>2</v>
      </c>
      <c r="W455" s="236">
        <v>1</v>
      </c>
      <c r="X455" s="236">
        <v>0</v>
      </c>
      <c r="Y455" s="236">
        <v>0</v>
      </c>
      <c r="Z455" s="237">
        <v>846327382</v>
      </c>
      <c r="AA455" s="211">
        <v>2</v>
      </c>
      <c r="AB455" s="212" t="s">
        <v>959</v>
      </c>
      <c r="AC455" s="190" t="s">
        <v>939</v>
      </c>
      <c r="AD455" s="70"/>
    </row>
    <row r="456" spans="1:30" ht="22.35" customHeight="1">
      <c r="A456" s="190" t="s">
        <v>8</v>
      </c>
      <c r="B456" s="215" t="s">
        <v>23</v>
      </c>
      <c r="C456" s="1341">
        <v>45258</v>
      </c>
      <c r="D456" s="216">
        <v>4</v>
      </c>
      <c r="E456" s="214">
        <v>221</v>
      </c>
      <c r="F456" s="246">
        <v>884</v>
      </c>
      <c r="G456" s="214">
        <v>90</v>
      </c>
      <c r="H456" s="214">
        <v>204.76</v>
      </c>
      <c r="I456" s="214">
        <v>207.85</v>
      </c>
      <c r="J456" s="217">
        <v>471.39</v>
      </c>
      <c r="K456" s="214"/>
      <c r="L456" s="197" t="s">
        <v>276</v>
      </c>
      <c r="M456" s="194">
        <v>9</v>
      </c>
      <c r="N456" s="244" t="s">
        <v>496</v>
      </c>
      <c r="O456" s="252" t="s">
        <v>283</v>
      </c>
      <c r="P456" s="253"/>
      <c r="Q456" s="254">
        <v>45227</v>
      </c>
      <c r="R456" s="221" t="s">
        <v>497</v>
      </c>
      <c r="S456" s="255"/>
      <c r="T456" s="256"/>
      <c r="U456" s="257"/>
      <c r="V456" s="258"/>
      <c r="W456" s="258"/>
      <c r="X456" s="258"/>
      <c r="Y456" s="77"/>
      <c r="Z456" s="76"/>
      <c r="AA456" s="211">
        <v>31</v>
      </c>
      <c r="AB456" s="212" t="s">
        <v>959</v>
      </c>
      <c r="AC456" s="190" t="s">
        <v>941</v>
      </c>
      <c r="AD456" s="70"/>
    </row>
    <row r="457" spans="1:30" ht="22.35" customHeight="1">
      <c r="A457" s="190" t="s">
        <v>8</v>
      </c>
      <c r="B457" s="215" t="s">
        <v>23</v>
      </c>
      <c r="C457" s="1341">
        <v>45255</v>
      </c>
      <c r="D457" s="216">
        <v>3</v>
      </c>
      <c r="E457" s="214">
        <v>280</v>
      </c>
      <c r="F457" s="246">
        <v>840.01</v>
      </c>
      <c r="G457" s="214">
        <v>90</v>
      </c>
      <c r="H457" s="214">
        <v>194.57</v>
      </c>
      <c r="I457" s="214">
        <v>201.09</v>
      </c>
      <c r="J457" s="217">
        <v>444.35</v>
      </c>
      <c r="K457" s="214"/>
      <c r="L457" s="197" t="s">
        <v>276</v>
      </c>
      <c r="M457" s="194">
        <v>10</v>
      </c>
      <c r="N457" s="244" t="s">
        <v>498</v>
      </c>
      <c r="O457" s="252" t="s">
        <v>283</v>
      </c>
      <c r="P457" s="253"/>
      <c r="Q457" s="254">
        <v>45232</v>
      </c>
      <c r="R457" s="221" t="s">
        <v>499</v>
      </c>
      <c r="S457" s="255"/>
      <c r="T457" s="256"/>
      <c r="U457" s="257"/>
      <c r="V457" s="258"/>
      <c r="W457" s="258"/>
      <c r="X457" s="258"/>
      <c r="Y457" s="77"/>
      <c r="Z457" s="76"/>
      <c r="AA457" s="211">
        <v>23</v>
      </c>
      <c r="AB457" s="212" t="s">
        <v>959</v>
      </c>
      <c r="AC457" s="190" t="s">
        <v>939</v>
      </c>
      <c r="AD457" s="70"/>
    </row>
    <row r="458" spans="1:30" ht="22.35" customHeight="1">
      <c r="A458" s="190" t="s">
        <v>10</v>
      </c>
      <c r="B458" s="215" t="s">
        <v>23</v>
      </c>
      <c r="C458" s="1341">
        <v>45254</v>
      </c>
      <c r="D458" s="216">
        <v>3</v>
      </c>
      <c r="E458" s="214">
        <v>172</v>
      </c>
      <c r="F458" s="246">
        <v>516.01</v>
      </c>
      <c r="G458" s="214">
        <v>70</v>
      </c>
      <c r="H458" s="214">
        <v>119.52</v>
      </c>
      <c r="I458" s="214">
        <v>135.30000000000001</v>
      </c>
      <c r="J458" s="217">
        <v>261.19</v>
      </c>
      <c r="K458" s="214"/>
      <c r="L458" s="197" t="s">
        <v>276</v>
      </c>
      <c r="M458" s="194">
        <v>9</v>
      </c>
      <c r="N458" s="244" t="s">
        <v>500</v>
      </c>
      <c r="O458" s="252" t="s">
        <v>283</v>
      </c>
      <c r="P458" s="253"/>
      <c r="Q458" s="254">
        <v>45225</v>
      </c>
      <c r="R458" s="221" t="s">
        <v>501</v>
      </c>
      <c r="S458" s="255"/>
      <c r="T458" s="256"/>
      <c r="U458" s="257"/>
      <c r="V458" s="258"/>
      <c r="W458" s="258"/>
      <c r="X458" s="258"/>
      <c r="Y458" s="77"/>
      <c r="Z458" s="76"/>
      <c r="AA458" s="211">
        <v>29</v>
      </c>
      <c r="AB458" s="212" t="s">
        <v>959</v>
      </c>
      <c r="AC458" s="190" t="s">
        <v>939</v>
      </c>
      <c r="AD458" s="70"/>
    </row>
    <row r="459" spans="1:30" ht="22.35" customHeight="1">
      <c r="A459" s="190" t="s">
        <v>10</v>
      </c>
      <c r="B459" s="215" t="s">
        <v>88</v>
      </c>
      <c r="C459" s="1341">
        <v>45247</v>
      </c>
      <c r="D459" s="216">
        <v>7</v>
      </c>
      <c r="E459" s="214">
        <v>261.66000000000003</v>
      </c>
      <c r="F459" s="246">
        <v>1831.59</v>
      </c>
      <c r="G459" s="214">
        <v>70</v>
      </c>
      <c r="H459" s="214">
        <v>57.78</v>
      </c>
      <c r="I459" s="214">
        <v>365.44</v>
      </c>
      <c r="J459" s="217">
        <v>1181.78</v>
      </c>
      <c r="K459" s="214"/>
      <c r="L459" s="197" t="s">
        <v>276</v>
      </c>
      <c r="M459" s="194"/>
      <c r="N459" s="244" t="s">
        <v>502</v>
      </c>
      <c r="O459" s="252" t="s">
        <v>283</v>
      </c>
      <c r="P459" s="271" t="s">
        <v>97</v>
      </c>
      <c r="Q459" s="254">
        <v>45211</v>
      </c>
      <c r="R459" s="232" t="s">
        <v>503</v>
      </c>
      <c r="S459" s="255">
        <v>181125542</v>
      </c>
      <c r="T459" s="252" t="s">
        <v>504</v>
      </c>
      <c r="U459" s="259" t="s">
        <v>505</v>
      </c>
      <c r="V459" s="258">
        <v>2</v>
      </c>
      <c r="W459" s="258">
        <v>2</v>
      </c>
      <c r="X459" s="258">
        <v>0</v>
      </c>
      <c r="Y459" s="77">
        <v>0</v>
      </c>
      <c r="Z459" s="76">
        <v>830925968</v>
      </c>
      <c r="AA459" s="211">
        <v>36</v>
      </c>
      <c r="AB459" s="212" t="s">
        <v>959</v>
      </c>
      <c r="AC459" s="190" t="s">
        <v>941</v>
      </c>
      <c r="AD459" s="70"/>
    </row>
    <row r="460" spans="1:30" ht="22.35" customHeight="1">
      <c r="A460" s="190" t="s">
        <v>8</v>
      </c>
      <c r="B460" s="215" t="s">
        <v>88</v>
      </c>
      <c r="C460" s="1341">
        <v>45247</v>
      </c>
      <c r="D460" s="216">
        <v>8</v>
      </c>
      <c r="E460" s="214">
        <v>338.68</v>
      </c>
      <c r="F460" s="246">
        <v>2709.44</v>
      </c>
      <c r="G460" s="214">
        <v>90</v>
      </c>
      <c r="H460" s="214">
        <v>83.92</v>
      </c>
      <c r="I460" s="214">
        <v>521.41999999999996</v>
      </c>
      <c r="J460" s="217">
        <v>1725.67</v>
      </c>
      <c r="K460" s="214"/>
      <c r="L460" s="197" t="s">
        <v>276</v>
      </c>
      <c r="M460" s="194">
        <v>5</v>
      </c>
      <c r="N460" s="244" t="s">
        <v>506</v>
      </c>
      <c r="O460" s="252" t="s">
        <v>283</v>
      </c>
      <c r="P460" s="271" t="s">
        <v>89</v>
      </c>
      <c r="Q460" s="254">
        <v>45198</v>
      </c>
      <c r="R460" s="232" t="s">
        <v>507</v>
      </c>
      <c r="S460" s="255">
        <v>498898479</v>
      </c>
      <c r="T460" s="256" t="s">
        <v>508</v>
      </c>
      <c r="U460" s="259" t="s">
        <v>509</v>
      </c>
      <c r="V460" s="258">
        <v>4</v>
      </c>
      <c r="W460" s="258">
        <v>0</v>
      </c>
      <c r="X460" s="258">
        <v>0</v>
      </c>
      <c r="Y460" s="77">
        <v>0</v>
      </c>
      <c r="Z460" s="76">
        <v>826050930</v>
      </c>
      <c r="AA460" s="211">
        <v>49</v>
      </c>
      <c r="AB460" s="212" t="s">
        <v>959</v>
      </c>
      <c r="AC460" s="190" t="s">
        <v>941</v>
      </c>
      <c r="AD460" s="70"/>
    </row>
    <row r="461" spans="1:30" ht="22.35" customHeight="1">
      <c r="A461" s="252" t="s">
        <v>10</v>
      </c>
      <c r="B461" s="260" t="s">
        <v>23</v>
      </c>
      <c r="C461" s="1346">
        <v>45245</v>
      </c>
      <c r="D461" s="225">
        <v>2</v>
      </c>
      <c r="E461" s="214">
        <v>180</v>
      </c>
      <c r="F461" s="449">
        <v>360</v>
      </c>
      <c r="G461" s="256">
        <v>70</v>
      </c>
      <c r="H461" s="256">
        <v>83.38</v>
      </c>
      <c r="I461" s="256">
        <v>111.32</v>
      </c>
      <c r="J461" s="261">
        <v>165.3</v>
      </c>
      <c r="K461" s="256"/>
      <c r="L461" s="262" t="s">
        <v>276</v>
      </c>
      <c r="M461" s="263">
        <v>10</v>
      </c>
      <c r="N461" s="271" t="s">
        <v>1143</v>
      </c>
      <c r="O461" s="252" t="s">
        <v>283</v>
      </c>
      <c r="P461" s="253"/>
      <c r="Q461" s="254"/>
      <c r="R461" s="257"/>
      <c r="S461" s="255"/>
      <c r="T461" s="256"/>
      <c r="U461" s="257"/>
      <c r="V461" s="258"/>
      <c r="W461" s="258"/>
      <c r="X461" s="258"/>
      <c r="Y461" s="77"/>
      <c r="Z461" s="76"/>
      <c r="AA461" s="211">
        <v>45245</v>
      </c>
      <c r="AB461" s="212" t="s">
        <v>959</v>
      </c>
      <c r="AC461" s="190" t="s">
        <v>940</v>
      </c>
      <c r="AD461" s="70"/>
    </row>
    <row r="462" spans="1:30" ht="22.35" customHeight="1">
      <c r="A462" s="190" t="s">
        <v>15</v>
      </c>
      <c r="B462" s="215" t="s">
        <v>88</v>
      </c>
      <c r="C462" s="1344">
        <v>45241</v>
      </c>
      <c r="D462" s="216">
        <v>47</v>
      </c>
      <c r="E462" s="214">
        <v>86.76</v>
      </c>
      <c r="F462" s="246">
        <v>4077.81</v>
      </c>
      <c r="G462" s="214">
        <v>75</v>
      </c>
      <c r="H462" s="214">
        <v>129.6</v>
      </c>
      <c r="I462" s="214"/>
      <c r="J462" s="217">
        <v>3470.4</v>
      </c>
      <c r="K462" s="214"/>
      <c r="L462" s="197" t="s">
        <v>276</v>
      </c>
      <c r="M462" s="243">
        <v>5</v>
      </c>
      <c r="N462" s="244" t="s">
        <v>510</v>
      </c>
      <c r="O462" s="190" t="s">
        <v>283</v>
      </c>
      <c r="P462" s="234" t="s">
        <v>114</v>
      </c>
      <c r="Q462" s="212">
        <v>45208</v>
      </c>
      <c r="R462" s="232" t="s">
        <v>511</v>
      </c>
      <c r="S462" s="235">
        <v>515159506</v>
      </c>
      <c r="T462" s="214" t="s">
        <v>512</v>
      </c>
      <c r="U462" s="221" t="s">
        <v>513</v>
      </c>
      <c r="V462" s="236">
        <v>2</v>
      </c>
      <c r="W462" s="236">
        <v>0</v>
      </c>
      <c r="X462" s="236">
        <v>0</v>
      </c>
      <c r="Y462" s="77">
        <v>0</v>
      </c>
      <c r="Z462" s="76">
        <v>830066709</v>
      </c>
      <c r="AA462" s="211">
        <v>33</v>
      </c>
      <c r="AB462" s="212" t="s">
        <v>959</v>
      </c>
      <c r="AC462" s="190" t="s">
        <v>941</v>
      </c>
      <c r="AD462" s="70"/>
    </row>
    <row r="463" spans="1:30" ht="22.35" customHeight="1">
      <c r="A463" s="190" t="s">
        <v>10</v>
      </c>
      <c r="B463" s="215" t="s">
        <v>88</v>
      </c>
      <c r="C463" s="1344">
        <v>45241</v>
      </c>
      <c r="D463" s="216">
        <v>4</v>
      </c>
      <c r="E463" s="214">
        <v>226.56</v>
      </c>
      <c r="F463" s="246">
        <v>906.22</v>
      </c>
      <c r="G463" s="214">
        <v>70</v>
      </c>
      <c r="H463" s="214">
        <v>27.86</v>
      </c>
      <c r="I463" s="223">
        <v>205.23</v>
      </c>
      <c r="J463" s="249">
        <v>540.91</v>
      </c>
      <c r="K463" s="214"/>
      <c r="L463" s="197" t="s">
        <v>276</v>
      </c>
      <c r="M463" s="194">
        <v>5</v>
      </c>
      <c r="N463" s="244" t="s">
        <v>514</v>
      </c>
      <c r="O463" s="190" t="s">
        <v>283</v>
      </c>
      <c r="P463" s="234" t="s">
        <v>97</v>
      </c>
      <c r="Q463" s="212">
        <v>45216</v>
      </c>
      <c r="R463" s="232" t="s">
        <v>515</v>
      </c>
      <c r="S463" s="235">
        <v>9116465</v>
      </c>
      <c r="T463" s="214" t="s">
        <v>516</v>
      </c>
      <c r="U463" s="221" t="s">
        <v>517</v>
      </c>
      <c r="V463" s="236">
        <v>2</v>
      </c>
      <c r="W463" s="236">
        <v>0</v>
      </c>
      <c r="X463" s="236">
        <v>0</v>
      </c>
      <c r="Y463" s="77">
        <v>0</v>
      </c>
      <c r="Z463" s="76">
        <v>832817925</v>
      </c>
      <c r="AA463" s="211">
        <v>25</v>
      </c>
      <c r="AB463" s="212" t="s">
        <v>959</v>
      </c>
      <c r="AC463" s="190" t="s">
        <v>939</v>
      </c>
      <c r="AD463" s="70"/>
    </row>
    <row r="464" spans="1:30" ht="22.35" customHeight="1">
      <c r="A464" s="190" t="s">
        <v>8</v>
      </c>
      <c r="B464" s="215" t="s">
        <v>88</v>
      </c>
      <c r="C464" s="1341">
        <v>45241</v>
      </c>
      <c r="D464" s="216">
        <v>4</v>
      </c>
      <c r="E464" s="214">
        <v>376.59</v>
      </c>
      <c r="F464" s="246">
        <v>1506.35</v>
      </c>
      <c r="G464" s="214">
        <v>90</v>
      </c>
      <c r="H464" s="214">
        <v>47.52</v>
      </c>
      <c r="I464" s="214">
        <v>326.5</v>
      </c>
      <c r="J464" s="217">
        <v>945.98</v>
      </c>
      <c r="K464" s="214"/>
      <c r="L464" s="197" t="s">
        <v>276</v>
      </c>
      <c r="M464" s="194">
        <v>5</v>
      </c>
      <c r="N464" s="244" t="s">
        <v>518</v>
      </c>
      <c r="O464" s="190" t="s">
        <v>283</v>
      </c>
      <c r="P464" s="234" t="s">
        <v>89</v>
      </c>
      <c r="Q464" s="212">
        <v>45201</v>
      </c>
      <c r="R464" s="232" t="s">
        <v>519</v>
      </c>
      <c r="S464" s="235">
        <v>33336480</v>
      </c>
      <c r="T464" s="214" t="s">
        <v>520</v>
      </c>
      <c r="U464" s="221" t="s">
        <v>521</v>
      </c>
      <c r="V464" s="236">
        <v>4</v>
      </c>
      <c r="W464" s="236">
        <v>0</v>
      </c>
      <c r="X464" s="236">
        <v>0</v>
      </c>
      <c r="Y464" s="77">
        <v>0</v>
      </c>
      <c r="Z464" s="76">
        <v>827105375</v>
      </c>
      <c r="AA464" s="211">
        <v>40</v>
      </c>
      <c r="AB464" s="212" t="s">
        <v>959</v>
      </c>
      <c r="AC464" s="190" t="s">
        <v>941</v>
      </c>
      <c r="AD464" s="70"/>
    </row>
    <row r="465" spans="1:30" ht="22.35" customHeight="1">
      <c r="A465" s="190" t="s">
        <v>10</v>
      </c>
      <c r="B465" s="260" t="s">
        <v>88</v>
      </c>
      <c r="C465" s="1344">
        <v>45238</v>
      </c>
      <c r="D465" s="236">
        <v>3</v>
      </c>
      <c r="E465" s="214">
        <v>205.03</v>
      </c>
      <c r="F465" s="246">
        <v>615.09</v>
      </c>
      <c r="G465" s="214">
        <v>70</v>
      </c>
      <c r="H465" s="214">
        <v>19.41</v>
      </c>
      <c r="I465" s="214">
        <v>160.09</v>
      </c>
      <c r="J465" s="217">
        <v>359.67</v>
      </c>
      <c r="K465" s="214"/>
      <c r="L465" s="197" t="s">
        <v>276</v>
      </c>
      <c r="M465" s="243"/>
      <c r="N465" s="244" t="s">
        <v>522</v>
      </c>
      <c r="O465" s="190" t="s">
        <v>283</v>
      </c>
      <c r="P465" s="234" t="s">
        <v>97</v>
      </c>
      <c r="Q465" s="212">
        <v>45222</v>
      </c>
      <c r="R465" s="232" t="s">
        <v>523</v>
      </c>
      <c r="S465" s="235">
        <v>359457039</v>
      </c>
      <c r="T465" s="190" t="s">
        <v>524</v>
      </c>
      <c r="U465" s="221" t="s">
        <v>525</v>
      </c>
      <c r="V465" s="236">
        <v>2</v>
      </c>
      <c r="W465" s="236">
        <v>0</v>
      </c>
      <c r="X465" s="236">
        <v>0</v>
      </c>
      <c r="Y465" s="77">
        <v>0</v>
      </c>
      <c r="Z465" s="76">
        <v>835035064</v>
      </c>
      <c r="AA465" s="211">
        <v>16</v>
      </c>
      <c r="AB465" s="212" t="s">
        <v>959</v>
      </c>
      <c r="AC465" s="190" t="s">
        <v>939</v>
      </c>
      <c r="AD465" s="70"/>
    </row>
    <row r="466" spans="1:30" ht="22.35" customHeight="1">
      <c r="A466" s="190" t="s">
        <v>8</v>
      </c>
      <c r="B466" s="215" t="s">
        <v>88</v>
      </c>
      <c r="C466" s="1341">
        <v>45234</v>
      </c>
      <c r="D466" s="216">
        <v>5</v>
      </c>
      <c r="E466" s="214">
        <v>369.74</v>
      </c>
      <c r="F466" s="246">
        <v>1848.71</v>
      </c>
      <c r="G466" s="214">
        <v>90</v>
      </c>
      <c r="H466" s="214">
        <v>58.32</v>
      </c>
      <c r="I466" s="214">
        <v>384.34</v>
      </c>
      <c r="J466" s="217">
        <v>1177.3399999999999</v>
      </c>
      <c r="K466" s="214"/>
      <c r="L466" s="197" t="s">
        <v>276</v>
      </c>
      <c r="M466" s="194">
        <v>5</v>
      </c>
      <c r="N466" s="244" t="s">
        <v>526</v>
      </c>
      <c r="O466" s="193" t="s">
        <v>283</v>
      </c>
      <c r="P466" s="267" t="s">
        <v>89</v>
      </c>
      <c r="Q466" s="653">
        <v>45201</v>
      </c>
      <c r="R466" s="232" t="s">
        <v>527</v>
      </c>
      <c r="S466" s="269">
        <v>20630598</v>
      </c>
      <c r="T466" s="193" t="s">
        <v>528</v>
      </c>
      <c r="U466" s="270" t="s">
        <v>529</v>
      </c>
      <c r="V466" s="216">
        <v>3</v>
      </c>
      <c r="W466" s="216">
        <v>0</v>
      </c>
      <c r="X466" s="216">
        <v>0</v>
      </c>
      <c r="Y466" s="77">
        <v>0</v>
      </c>
      <c r="Z466" s="76">
        <v>827008020</v>
      </c>
      <c r="AA466" s="211">
        <v>33</v>
      </c>
      <c r="AB466" s="212" t="s">
        <v>959</v>
      </c>
      <c r="AC466" s="190" t="s">
        <v>941</v>
      </c>
      <c r="AD466" s="70"/>
    </row>
    <row r="467" spans="1:30" ht="22.35" customHeight="1">
      <c r="A467" s="190" t="s">
        <v>10</v>
      </c>
      <c r="B467" s="215" t="s">
        <v>88</v>
      </c>
      <c r="C467" s="1341">
        <v>45229</v>
      </c>
      <c r="D467" s="216">
        <v>4</v>
      </c>
      <c r="E467" s="214">
        <v>328.09</v>
      </c>
      <c r="F467" s="246">
        <v>1312.35</v>
      </c>
      <c r="G467" s="214">
        <v>70</v>
      </c>
      <c r="H467" s="214">
        <v>41.4</v>
      </c>
      <c r="I467" s="214">
        <v>277.72000000000003</v>
      </c>
      <c r="J467" s="217">
        <v>830.88</v>
      </c>
      <c r="K467" s="214"/>
      <c r="L467" s="197" t="s">
        <v>276</v>
      </c>
      <c r="M467" s="194"/>
      <c r="N467" s="244" t="s">
        <v>530</v>
      </c>
      <c r="O467" s="190" t="s">
        <v>283</v>
      </c>
      <c r="P467" s="234" t="s">
        <v>97</v>
      </c>
      <c r="Q467" s="212">
        <v>45202</v>
      </c>
      <c r="R467" s="232" t="s">
        <v>531</v>
      </c>
      <c r="S467" s="235">
        <v>35943958</v>
      </c>
      <c r="T467" s="214" t="s">
        <v>532</v>
      </c>
      <c r="U467" s="221" t="s">
        <v>533</v>
      </c>
      <c r="V467" s="236">
        <v>2</v>
      </c>
      <c r="W467" s="236">
        <v>2</v>
      </c>
      <c r="X467" s="236">
        <v>0</v>
      </c>
      <c r="Y467" s="236">
        <v>0</v>
      </c>
      <c r="Z467" s="237">
        <v>827769267</v>
      </c>
      <c r="AA467" s="211">
        <v>27</v>
      </c>
      <c r="AB467" s="212" t="s">
        <v>960</v>
      </c>
      <c r="AC467" s="190" t="s">
        <v>939</v>
      </c>
      <c r="AD467" s="70"/>
    </row>
    <row r="468" spans="1:30" ht="22.35" customHeight="1">
      <c r="A468" s="190" t="s">
        <v>8</v>
      </c>
      <c r="B468" s="190" t="s">
        <v>88</v>
      </c>
      <c r="C468" s="1341">
        <v>45228</v>
      </c>
      <c r="D468" s="236">
        <v>6</v>
      </c>
      <c r="E468" s="214">
        <v>374.66</v>
      </c>
      <c r="F468" s="246">
        <v>2247.98</v>
      </c>
      <c r="G468" s="214">
        <v>90</v>
      </c>
      <c r="H468" s="214">
        <v>69.12</v>
      </c>
      <c r="I468" s="214">
        <v>442.18</v>
      </c>
      <c r="J468" s="214">
        <v>1408.7</v>
      </c>
      <c r="K468" s="214"/>
      <c r="L468" s="197" t="s">
        <v>276</v>
      </c>
      <c r="M468" s="243">
        <v>5</v>
      </c>
      <c r="N468" s="244" t="s">
        <v>534</v>
      </c>
      <c r="O468" s="190" t="s">
        <v>283</v>
      </c>
      <c r="P468" s="234" t="s">
        <v>89</v>
      </c>
      <c r="Q468" s="212">
        <v>45201</v>
      </c>
      <c r="R468" s="232" t="s">
        <v>535</v>
      </c>
      <c r="S468" s="235">
        <v>9049328</v>
      </c>
      <c r="T468" s="214" t="s">
        <v>536</v>
      </c>
      <c r="U468" s="221" t="s">
        <v>517</v>
      </c>
      <c r="V468" s="236">
        <v>1</v>
      </c>
      <c r="W468" s="236">
        <v>3</v>
      </c>
      <c r="X468" s="236">
        <v>0</v>
      </c>
      <c r="Y468" s="236">
        <v>0</v>
      </c>
      <c r="Z468" s="237">
        <v>827362260</v>
      </c>
      <c r="AA468" s="211">
        <v>27</v>
      </c>
      <c r="AB468" s="212" t="s">
        <v>960</v>
      </c>
      <c r="AC468" s="190" t="s">
        <v>939</v>
      </c>
      <c r="AD468" s="70"/>
    </row>
    <row r="469" spans="1:30" ht="22.35" customHeight="1">
      <c r="A469" s="218" t="s">
        <v>10</v>
      </c>
      <c r="B469" s="248" t="s">
        <v>88</v>
      </c>
      <c r="C469" s="1345">
        <v>45225</v>
      </c>
      <c r="D469" s="225">
        <v>4</v>
      </c>
      <c r="E469" s="214">
        <v>308.08</v>
      </c>
      <c r="F469" s="448">
        <v>1232.33</v>
      </c>
      <c r="G469" s="223">
        <v>70</v>
      </c>
      <c r="H469" s="223">
        <v>37.799999999999997</v>
      </c>
      <c r="I469" s="223">
        <v>258.44</v>
      </c>
      <c r="J469" s="249">
        <v>753.76</v>
      </c>
      <c r="K469" s="223"/>
      <c r="L469" s="250" t="s">
        <v>276</v>
      </c>
      <c r="M469" s="251">
        <v>5</v>
      </c>
      <c r="N469" s="219" t="s">
        <v>537</v>
      </c>
      <c r="O469" s="218" t="s">
        <v>283</v>
      </c>
      <c r="P469" s="231" t="s">
        <v>97</v>
      </c>
      <c r="Q469" s="220">
        <v>45206</v>
      </c>
      <c r="R469" s="273" t="s">
        <v>538</v>
      </c>
      <c r="S469" s="222">
        <v>95090637</v>
      </c>
      <c r="T469" s="223"/>
      <c r="U469" s="227" t="s">
        <v>539</v>
      </c>
      <c r="V469" s="225">
        <v>4</v>
      </c>
      <c r="W469" s="225">
        <v>0</v>
      </c>
      <c r="X469" s="225">
        <v>0</v>
      </c>
      <c r="Y469" s="77">
        <v>0</v>
      </c>
      <c r="Z469" s="76">
        <v>829251451</v>
      </c>
      <c r="AA469" s="211">
        <v>19</v>
      </c>
      <c r="AB469" s="212" t="s">
        <v>960</v>
      </c>
      <c r="AC469" s="190" t="s">
        <v>939</v>
      </c>
      <c r="AD469" s="70"/>
    </row>
    <row r="470" spans="1:30" ht="22.35" customHeight="1">
      <c r="A470" s="190" t="s">
        <v>18</v>
      </c>
      <c r="B470" s="190" t="s">
        <v>88</v>
      </c>
      <c r="C470" s="1341">
        <v>45223</v>
      </c>
      <c r="D470" s="236">
        <v>46</v>
      </c>
      <c r="E470" s="214">
        <v>71.27</v>
      </c>
      <c r="F470" s="246">
        <v>3278.41</v>
      </c>
      <c r="G470" s="214">
        <v>45</v>
      </c>
      <c r="H470" s="214">
        <v>104.29</v>
      </c>
      <c r="I470" s="214"/>
      <c r="J470" s="214">
        <v>2792.71</v>
      </c>
      <c r="K470" s="214"/>
      <c r="L470" s="197" t="s">
        <v>276</v>
      </c>
      <c r="M470" s="243">
        <v>5</v>
      </c>
      <c r="N470" s="244" t="s">
        <v>540</v>
      </c>
      <c r="O470" s="190" t="s">
        <v>283</v>
      </c>
      <c r="P470" s="234" t="s">
        <v>106</v>
      </c>
      <c r="Q470" s="212">
        <v>45192</v>
      </c>
      <c r="R470" s="232" t="s">
        <v>541</v>
      </c>
      <c r="S470" s="235">
        <v>442788761</v>
      </c>
      <c r="T470" s="214" t="s">
        <v>542</v>
      </c>
      <c r="U470" s="221" t="s">
        <v>543</v>
      </c>
      <c r="V470" s="236">
        <v>1</v>
      </c>
      <c r="W470" s="236">
        <v>0</v>
      </c>
      <c r="X470" s="236">
        <v>0</v>
      </c>
      <c r="Y470" s="236">
        <v>0</v>
      </c>
      <c r="Z470" s="237">
        <v>823856277</v>
      </c>
      <c r="AA470" s="211">
        <v>31</v>
      </c>
      <c r="AB470" s="212" t="s">
        <v>960</v>
      </c>
      <c r="AC470" s="190" t="s">
        <v>941</v>
      </c>
      <c r="AD470" s="70"/>
    </row>
    <row r="471" spans="1:30" ht="22.35" customHeight="1">
      <c r="A471" s="190" t="s">
        <v>8</v>
      </c>
      <c r="B471" s="190" t="s">
        <v>88</v>
      </c>
      <c r="C471" s="1341">
        <v>45222</v>
      </c>
      <c r="D471" s="236">
        <v>5</v>
      </c>
      <c r="E471" s="214">
        <v>378.89</v>
      </c>
      <c r="F471" s="246">
        <v>1894.45</v>
      </c>
      <c r="G471" s="214">
        <v>90</v>
      </c>
      <c r="H471" s="214">
        <v>58.32</v>
      </c>
      <c r="I471" s="214">
        <v>384.34</v>
      </c>
      <c r="J471" s="214">
        <v>1177.3399999999999</v>
      </c>
      <c r="K471" s="214">
        <v>22</v>
      </c>
      <c r="L471" s="197" t="s">
        <v>276</v>
      </c>
      <c r="M471" s="243">
        <v>5</v>
      </c>
      <c r="N471" s="244" t="s">
        <v>544</v>
      </c>
      <c r="O471" s="190" t="s">
        <v>283</v>
      </c>
      <c r="P471" s="234" t="s">
        <v>89</v>
      </c>
      <c r="Q471" s="212">
        <v>45197</v>
      </c>
      <c r="R471" s="232" t="s">
        <v>545</v>
      </c>
      <c r="S471" s="235">
        <v>64712807</v>
      </c>
      <c r="T471" s="214"/>
      <c r="U471" s="221" t="s">
        <v>546</v>
      </c>
      <c r="V471" s="236">
        <v>4</v>
      </c>
      <c r="W471" s="236">
        <v>0</v>
      </c>
      <c r="X471" s="236">
        <v>0</v>
      </c>
      <c r="Y471" s="236">
        <v>0</v>
      </c>
      <c r="Z471" s="237">
        <v>825806094</v>
      </c>
      <c r="AA471" s="211">
        <v>25</v>
      </c>
      <c r="AB471" s="212" t="s">
        <v>960</v>
      </c>
      <c r="AC471" s="190" t="s">
        <v>939</v>
      </c>
      <c r="AD471" s="70"/>
    </row>
    <row r="472" spans="1:30" ht="22.35" customHeight="1">
      <c r="A472" s="190" t="s">
        <v>10</v>
      </c>
      <c r="B472" s="190" t="s">
        <v>88</v>
      </c>
      <c r="C472" s="1341">
        <v>45220</v>
      </c>
      <c r="D472" s="236">
        <v>4</v>
      </c>
      <c r="E472" s="214">
        <v>302.41000000000003</v>
      </c>
      <c r="F472" s="246">
        <v>1209.6500000000001</v>
      </c>
      <c r="G472" s="214">
        <v>70</v>
      </c>
      <c r="H472" s="214">
        <v>38.159999999999997</v>
      </c>
      <c r="I472" s="214">
        <v>260.37</v>
      </c>
      <c r="J472" s="214">
        <v>761.47</v>
      </c>
      <c r="K472" s="214">
        <v>90</v>
      </c>
      <c r="L472" s="197" t="s">
        <v>276</v>
      </c>
      <c r="M472" s="243">
        <v>4</v>
      </c>
      <c r="N472" s="244" t="s">
        <v>547</v>
      </c>
      <c r="O472" s="190" t="s">
        <v>283</v>
      </c>
      <c r="P472" s="234" t="s">
        <v>97</v>
      </c>
      <c r="Q472" s="212">
        <v>45203</v>
      </c>
      <c r="R472" s="232" t="s">
        <v>548</v>
      </c>
      <c r="S472" s="235">
        <v>114027247</v>
      </c>
      <c r="T472" s="214"/>
      <c r="U472" s="233"/>
      <c r="V472" s="236">
        <v>2</v>
      </c>
      <c r="W472" s="236">
        <v>0</v>
      </c>
      <c r="X472" s="236">
        <v>0</v>
      </c>
      <c r="Y472" s="236">
        <v>0</v>
      </c>
      <c r="Z472" s="237">
        <v>828001311</v>
      </c>
      <c r="AA472" s="211">
        <v>17</v>
      </c>
      <c r="AB472" s="212" t="s">
        <v>960</v>
      </c>
      <c r="AC472" s="190" t="s">
        <v>939</v>
      </c>
      <c r="AD472" s="70"/>
    </row>
    <row r="473" spans="1:30" ht="22.35" customHeight="1">
      <c r="A473" s="190" t="s">
        <v>10</v>
      </c>
      <c r="B473" s="190" t="s">
        <v>88</v>
      </c>
      <c r="C473" s="1341">
        <v>45217</v>
      </c>
      <c r="D473" s="236">
        <v>3</v>
      </c>
      <c r="E473" s="214">
        <v>233.1</v>
      </c>
      <c r="F473" s="246">
        <v>699.31</v>
      </c>
      <c r="G473" s="214">
        <v>70</v>
      </c>
      <c r="H473" s="214">
        <v>21.53</v>
      </c>
      <c r="I473" s="214">
        <v>171.29</v>
      </c>
      <c r="J473" s="214">
        <v>405.18</v>
      </c>
      <c r="K473" s="214"/>
      <c r="L473" s="197" t="s">
        <v>276</v>
      </c>
      <c r="M473" s="243">
        <v>5</v>
      </c>
      <c r="N473" s="244" t="s">
        <v>549</v>
      </c>
      <c r="O473" s="190" t="s">
        <v>283</v>
      </c>
      <c r="P473" s="234" t="s">
        <v>97</v>
      </c>
      <c r="Q473" s="212">
        <v>45211</v>
      </c>
      <c r="R473" s="232" t="s">
        <v>550</v>
      </c>
      <c r="S473" s="235">
        <v>13206677</v>
      </c>
      <c r="T473" s="214"/>
      <c r="U473" s="221" t="s">
        <v>551</v>
      </c>
      <c r="V473" s="236">
        <v>3</v>
      </c>
      <c r="W473" s="236">
        <v>0</v>
      </c>
      <c r="X473" s="236">
        <v>0</v>
      </c>
      <c r="Y473" s="236">
        <v>0</v>
      </c>
      <c r="Z473" s="237">
        <v>831152443</v>
      </c>
      <c r="AA473" s="211">
        <v>6</v>
      </c>
      <c r="AB473" s="212" t="s">
        <v>960</v>
      </c>
      <c r="AC473" s="190" t="s">
        <v>939</v>
      </c>
      <c r="AD473" s="70"/>
    </row>
    <row r="474" spans="1:30" ht="22.35" customHeight="1">
      <c r="A474" s="190" t="s">
        <v>10</v>
      </c>
      <c r="B474" s="190" t="s">
        <v>88</v>
      </c>
      <c r="C474" s="1341">
        <v>45210</v>
      </c>
      <c r="D474" s="236">
        <v>7</v>
      </c>
      <c r="E474" s="214">
        <v>295.08</v>
      </c>
      <c r="F474" s="246">
        <v>2065.5300000000002</v>
      </c>
      <c r="G474" s="214">
        <v>70</v>
      </c>
      <c r="H474" s="214">
        <v>65.16</v>
      </c>
      <c r="I474" s="214">
        <v>404.97</v>
      </c>
      <c r="J474" s="214">
        <v>1339.87</v>
      </c>
      <c r="K474" s="214"/>
      <c r="L474" s="197" t="s">
        <v>276</v>
      </c>
      <c r="M474" s="243">
        <v>5</v>
      </c>
      <c r="N474" s="244" t="s">
        <v>552</v>
      </c>
      <c r="O474" s="190" t="s">
        <v>283</v>
      </c>
      <c r="P474" s="234" t="s">
        <v>97</v>
      </c>
      <c r="Q474" s="212">
        <v>45201</v>
      </c>
      <c r="R474" s="232" t="s">
        <v>553</v>
      </c>
      <c r="S474" s="235">
        <v>16495555</v>
      </c>
      <c r="T474" s="214"/>
      <c r="U474" s="221" t="s">
        <v>554</v>
      </c>
      <c r="V474" s="236">
        <v>3</v>
      </c>
      <c r="W474" s="236">
        <v>0</v>
      </c>
      <c r="X474" s="236">
        <v>0</v>
      </c>
      <c r="Y474" s="236">
        <v>0</v>
      </c>
      <c r="Z474" s="237">
        <v>827001410</v>
      </c>
      <c r="AA474" s="211">
        <v>9</v>
      </c>
      <c r="AB474" s="212" t="s">
        <v>960</v>
      </c>
      <c r="AC474" s="190" t="s">
        <v>939</v>
      </c>
      <c r="AD474" s="70"/>
    </row>
    <row r="475" spans="1:30" ht="22.35" customHeight="1">
      <c r="A475" s="190" t="s">
        <v>10</v>
      </c>
      <c r="B475" s="190" t="s">
        <v>88</v>
      </c>
      <c r="C475" s="1341">
        <v>45206</v>
      </c>
      <c r="D475" s="236">
        <v>4</v>
      </c>
      <c r="E475" s="214">
        <v>311.02</v>
      </c>
      <c r="F475" s="246">
        <v>1244.07</v>
      </c>
      <c r="G475" s="214">
        <v>70</v>
      </c>
      <c r="H475" s="214">
        <v>38.159999999999997</v>
      </c>
      <c r="I475" s="214">
        <v>260.37</v>
      </c>
      <c r="J475" s="214">
        <v>761.47</v>
      </c>
      <c r="K475" s="214"/>
      <c r="L475" s="197" t="s">
        <v>276</v>
      </c>
      <c r="M475" s="243">
        <v>4</v>
      </c>
      <c r="N475" s="244" t="s">
        <v>555</v>
      </c>
      <c r="O475" s="190" t="s">
        <v>283</v>
      </c>
      <c r="P475" s="234" t="s">
        <v>97</v>
      </c>
      <c r="Q475" s="212">
        <v>45200</v>
      </c>
      <c r="R475" s="232" t="s">
        <v>556</v>
      </c>
      <c r="S475" s="235">
        <v>85930722</v>
      </c>
      <c r="T475" s="214"/>
      <c r="U475" s="221" t="s">
        <v>557</v>
      </c>
      <c r="V475" s="236">
        <v>2</v>
      </c>
      <c r="W475" s="236">
        <v>1</v>
      </c>
      <c r="X475" s="236">
        <v>0</v>
      </c>
      <c r="Y475" s="236">
        <v>0</v>
      </c>
      <c r="Z475" s="237">
        <v>826988173</v>
      </c>
      <c r="AA475" s="211">
        <v>6</v>
      </c>
      <c r="AB475" s="212" t="s">
        <v>960</v>
      </c>
      <c r="AC475" s="190" t="s">
        <v>939</v>
      </c>
      <c r="AD475" s="70"/>
    </row>
    <row r="476" spans="1:30" ht="22.35" customHeight="1">
      <c r="A476" s="190" t="s">
        <v>10</v>
      </c>
      <c r="B476" s="190" t="s">
        <v>88</v>
      </c>
      <c r="C476" s="1341">
        <v>45203</v>
      </c>
      <c r="D476" s="236">
        <v>3</v>
      </c>
      <c r="E476" s="214">
        <v>315.77999999999997</v>
      </c>
      <c r="F476" s="246">
        <v>947.35</v>
      </c>
      <c r="G476" s="214">
        <v>70</v>
      </c>
      <c r="H476" s="214">
        <v>29.52</v>
      </c>
      <c r="I476" s="214">
        <v>214.1</v>
      </c>
      <c r="J476" s="214">
        <v>576.38</v>
      </c>
      <c r="K476" s="214">
        <v>256.25</v>
      </c>
      <c r="L476" s="197" t="s">
        <v>276</v>
      </c>
      <c r="M476" s="243">
        <v>5</v>
      </c>
      <c r="N476" s="244" t="s">
        <v>558</v>
      </c>
      <c r="O476" s="190" t="s">
        <v>283</v>
      </c>
      <c r="P476" s="234" t="s">
        <v>97</v>
      </c>
      <c r="Q476" s="212">
        <v>45201</v>
      </c>
      <c r="R476" s="232" t="s">
        <v>559</v>
      </c>
      <c r="S476" s="235">
        <v>408506611</v>
      </c>
      <c r="T476" s="214"/>
      <c r="U476" s="221" t="s">
        <v>188</v>
      </c>
      <c r="V476" s="236">
        <v>2</v>
      </c>
      <c r="W476" s="236">
        <v>1</v>
      </c>
      <c r="X476" s="236">
        <v>0</v>
      </c>
      <c r="Y476" s="236">
        <v>0</v>
      </c>
      <c r="Z476" s="237">
        <v>827307326</v>
      </c>
      <c r="AA476" s="211">
        <v>2</v>
      </c>
      <c r="AB476" s="212" t="s">
        <v>960</v>
      </c>
      <c r="AC476" s="190" t="s">
        <v>939</v>
      </c>
      <c r="AD476" s="70"/>
    </row>
    <row r="477" spans="1:30" ht="22.35" customHeight="1">
      <c r="A477" s="190" t="s">
        <v>15</v>
      </c>
      <c r="B477" s="190" t="s">
        <v>88</v>
      </c>
      <c r="C477" s="1341">
        <v>45200</v>
      </c>
      <c r="D477" s="236">
        <v>30</v>
      </c>
      <c r="E477" s="214">
        <v>56.23</v>
      </c>
      <c r="F477" s="246">
        <v>1686.92</v>
      </c>
      <c r="G477" s="214">
        <v>40</v>
      </c>
      <c r="H477" s="214">
        <v>54.9</v>
      </c>
      <c r="I477" s="214"/>
      <c r="J477" s="214">
        <v>1470.1</v>
      </c>
      <c r="K477" s="214"/>
      <c r="L477" s="197" t="s">
        <v>276</v>
      </c>
      <c r="M477" s="243">
        <v>5</v>
      </c>
      <c r="N477" s="244" t="s">
        <v>560</v>
      </c>
      <c r="O477" s="190" t="s">
        <v>283</v>
      </c>
      <c r="P477" s="234" t="s">
        <v>114</v>
      </c>
      <c r="Q477" s="212">
        <v>44792</v>
      </c>
      <c r="R477" s="232" t="s">
        <v>561</v>
      </c>
      <c r="S477" s="235">
        <v>294412752</v>
      </c>
      <c r="T477" s="190" t="s">
        <v>562</v>
      </c>
      <c r="U477" s="221" t="s">
        <v>563</v>
      </c>
      <c r="V477" s="236">
        <v>3</v>
      </c>
      <c r="W477" s="236">
        <v>0</v>
      </c>
      <c r="X477" s="236">
        <v>0</v>
      </c>
      <c r="Y477" s="236">
        <v>0</v>
      </c>
      <c r="Z477" s="237">
        <v>667799626</v>
      </c>
      <c r="AA477" s="211">
        <v>408</v>
      </c>
      <c r="AB477" s="212" t="s">
        <v>960</v>
      </c>
      <c r="AC477" s="190" t="s">
        <v>940</v>
      </c>
      <c r="AD477" s="70"/>
    </row>
    <row r="478" spans="1:30" ht="22.35" customHeight="1">
      <c r="A478" s="190" t="s">
        <v>10</v>
      </c>
      <c r="B478" s="190" t="s">
        <v>88</v>
      </c>
      <c r="C478" s="1341">
        <v>45198</v>
      </c>
      <c r="D478" s="236">
        <v>4</v>
      </c>
      <c r="E478" s="214">
        <v>366.89</v>
      </c>
      <c r="F478" s="246">
        <v>1467.55</v>
      </c>
      <c r="G478" s="214">
        <v>70</v>
      </c>
      <c r="H478" s="214">
        <v>46.3</v>
      </c>
      <c r="I478" s="214">
        <v>303.94</v>
      </c>
      <c r="J478" s="214">
        <v>935.76</v>
      </c>
      <c r="K478" s="214"/>
      <c r="L478" s="197" t="s">
        <v>276</v>
      </c>
      <c r="M478" s="243">
        <v>5</v>
      </c>
      <c r="N478" s="244" t="s">
        <v>564</v>
      </c>
      <c r="O478" s="190" t="s">
        <v>283</v>
      </c>
      <c r="P478" s="234" t="s">
        <v>97</v>
      </c>
      <c r="Q478" s="212">
        <v>45148</v>
      </c>
      <c r="R478" s="232" t="s">
        <v>565</v>
      </c>
      <c r="S478" s="235">
        <v>89958118</v>
      </c>
      <c r="T478" s="214"/>
      <c r="U478" s="221" t="s">
        <v>566</v>
      </c>
      <c r="V478" s="236">
        <v>3</v>
      </c>
      <c r="W478" s="236">
        <v>0</v>
      </c>
      <c r="X478" s="236">
        <v>0</v>
      </c>
      <c r="Y478" s="236">
        <v>0</v>
      </c>
      <c r="Z478" s="237">
        <v>806664253</v>
      </c>
      <c r="AA478" s="211">
        <v>50</v>
      </c>
      <c r="AB478" s="212" t="s">
        <v>961</v>
      </c>
      <c r="AC478" s="190" t="s">
        <v>941</v>
      </c>
      <c r="AD478" s="70"/>
    </row>
    <row r="479" spans="1:30" ht="22.35" customHeight="1">
      <c r="A479" s="190" t="s">
        <v>10</v>
      </c>
      <c r="B479" s="190" t="s">
        <v>88</v>
      </c>
      <c r="C479" s="1341">
        <v>45190</v>
      </c>
      <c r="D479" s="236">
        <v>4</v>
      </c>
      <c r="E479" s="214">
        <v>388.57</v>
      </c>
      <c r="F479" s="246">
        <v>1554.28</v>
      </c>
      <c r="G479" s="214">
        <v>70</v>
      </c>
      <c r="H479" s="214">
        <v>49.03</v>
      </c>
      <c r="I479" s="214">
        <v>318.52999999999997</v>
      </c>
      <c r="J479" s="214">
        <v>994.38</v>
      </c>
      <c r="K479" s="214"/>
      <c r="L479" s="197" t="s">
        <v>276</v>
      </c>
      <c r="M479" s="243">
        <v>5</v>
      </c>
      <c r="N479" s="244" t="s">
        <v>567</v>
      </c>
      <c r="O479" s="190" t="s">
        <v>283</v>
      </c>
      <c r="P479" s="234" t="s">
        <v>97</v>
      </c>
      <c r="Q479" s="212">
        <v>45153</v>
      </c>
      <c r="R479" s="232" t="s">
        <v>568</v>
      </c>
      <c r="S479" s="235">
        <v>531978750</v>
      </c>
      <c r="T479" s="214"/>
      <c r="U479" s="221" t="s">
        <v>122</v>
      </c>
      <c r="V479" s="236">
        <v>2</v>
      </c>
      <c r="W479" s="236">
        <v>2</v>
      </c>
      <c r="X479" s="236">
        <v>0</v>
      </c>
      <c r="Y479" s="236">
        <v>0</v>
      </c>
      <c r="Z479" s="237">
        <v>808693547</v>
      </c>
      <c r="AA479" s="211">
        <v>37</v>
      </c>
      <c r="AB479" s="212" t="s">
        <v>961</v>
      </c>
      <c r="AC479" s="190" t="s">
        <v>941</v>
      </c>
      <c r="AD479" s="70"/>
    </row>
    <row r="480" spans="1:30" ht="22.35" customHeight="1">
      <c r="A480" s="190" t="s">
        <v>10</v>
      </c>
      <c r="B480" s="190" t="s">
        <v>88</v>
      </c>
      <c r="C480" s="1341">
        <v>45183</v>
      </c>
      <c r="D480" s="236">
        <v>7</v>
      </c>
      <c r="E480" s="214">
        <v>319.2</v>
      </c>
      <c r="F480" s="246">
        <v>2234.42</v>
      </c>
      <c r="G480" s="214">
        <v>70</v>
      </c>
      <c r="H480" s="214">
        <v>70.489999999999995</v>
      </c>
      <c r="I480" s="214">
        <v>433.56</v>
      </c>
      <c r="J480" s="214">
        <v>1454.01</v>
      </c>
      <c r="K480" s="214"/>
      <c r="L480" s="197" t="s">
        <v>276</v>
      </c>
      <c r="M480" s="194">
        <v>5</v>
      </c>
      <c r="N480" s="244" t="s">
        <v>569</v>
      </c>
      <c r="O480" s="190" t="s">
        <v>283</v>
      </c>
      <c r="P480" s="234" t="s">
        <v>97</v>
      </c>
      <c r="Q480" s="212">
        <v>45162</v>
      </c>
      <c r="R480" s="232" t="s">
        <v>570</v>
      </c>
      <c r="S480" s="235">
        <v>7743028</v>
      </c>
      <c r="T480" s="214"/>
      <c r="U480" s="221" t="s">
        <v>571</v>
      </c>
      <c r="V480" s="236">
        <v>3</v>
      </c>
      <c r="W480" s="236">
        <v>0</v>
      </c>
      <c r="X480" s="236">
        <v>0</v>
      </c>
      <c r="Y480" s="236">
        <v>0</v>
      </c>
      <c r="Z480" s="237">
        <v>812386952</v>
      </c>
      <c r="AA480" s="211">
        <v>21</v>
      </c>
      <c r="AB480" s="212" t="s">
        <v>961</v>
      </c>
      <c r="AC480" s="190" t="s">
        <v>939</v>
      </c>
      <c r="AD480" s="70"/>
    </row>
    <row r="481" spans="1:30" ht="22.35" customHeight="1">
      <c r="A481" s="274" t="s">
        <v>18</v>
      </c>
      <c r="B481" s="190" t="s">
        <v>88</v>
      </c>
      <c r="C481" s="1341">
        <v>45179</v>
      </c>
      <c r="D481" s="236">
        <v>34</v>
      </c>
      <c r="E481" s="214">
        <v>63.5</v>
      </c>
      <c r="F481" s="246">
        <v>2158.9899999999998</v>
      </c>
      <c r="G481" s="214">
        <v>45</v>
      </c>
      <c r="H481" s="214">
        <v>68.94</v>
      </c>
      <c r="I481" s="214">
        <v>0</v>
      </c>
      <c r="J481" s="214">
        <v>1846.06</v>
      </c>
      <c r="K481" s="214"/>
      <c r="L481" s="197" t="s">
        <v>276</v>
      </c>
      <c r="M481" s="243">
        <v>5</v>
      </c>
      <c r="N481" s="244" t="s">
        <v>572</v>
      </c>
      <c r="O481" s="190" t="s">
        <v>283</v>
      </c>
      <c r="P481" s="234" t="s">
        <v>106</v>
      </c>
      <c r="Q481" s="212">
        <v>45158</v>
      </c>
      <c r="R481" s="232" t="s">
        <v>573</v>
      </c>
      <c r="S481" s="235">
        <v>89567617</v>
      </c>
      <c r="T481" s="214"/>
      <c r="U481" s="221" t="s">
        <v>574</v>
      </c>
      <c r="V481" s="236">
        <v>1</v>
      </c>
      <c r="W481" s="236">
        <v>0</v>
      </c>
      <c r="X481" s="236">
        <v>0</v>
      </c>
      <c r="Y481" s="236">
        <v>0</v>
      </c>
      <c r="Z481" s="237">
        <v>810660828</v>
      </c>
      <c r="AA481" s="211">
        <v>21</v>
      </c>
      <c r="AB481" s="212" t="s">
        <v>961</v>
      </c>
      <c r="AC481" s="190" t="s">
        <v>939</v>
      </c>
      <c r="AD481" s="70"/>
    </row>
    <row r="482" spans="1:30" ht="22.35" customHeight="1">
      <c r="A482" s="190" t="s">
        <v>8</v>
      </c>
      <c r="B482" s="190" t="s">
        <v>88</v>
      </c>
      <c r="C482" s="1341">
        <v>45177</v>
      </c>
      <c r="D482" s="236">
        <v>7</v>
      </c>
      <c r="E482" s="214">
        <v>376.59</v>
      </c>
      <c r="F482" s="246">
        <v>2636.12</v>
      </c>
      <c r="G482" s="214">
        <v>70</v>
      </c>
      <c r="H482" s="214">
        <v>83.16</v>
      </c>
      <c r="I482" s="214">
        <v>501.37</v>
      </c>
      <c r="J482" s="214">
        <v>1725.47</v>
      </c>
      <c r="K482" s="214"/>
      <c r="L482" s="197" t="s">
        <v>276</v>
      </c>
      <c r="M482" s="243">
        <v>5</v>
      </c>
      <c r="N482" s="244" t="s">
        <v>575</v>
      </c>
      <c r="O482" s="190" t="s">
        <v>283</v>
      </c>
      <c r="P482" s="234" t="s">
        <v>89</v>
      </c>
      <c r="Q482" s="212">
        <v>45165</v>
      </c>
      <c r="R482" s="232" t="s">
        <v>576</v>
      </c>
      <c r="S482" s="235">
        <v>103312456</v>
      </c>
      <c r="T482" s="214"/>
      <c r="U482" s="233"/>
      <c r="V482" s="236">
        <v>2</v>
      </c>
      <c r="W482" s="236">
        <v>0</v>
      </c>
      <c r="X482" s="236">
        <v>0</v>
      </c>
      <c r="Y482" s="236">
        <v>0</v>
      </c>
      <c r="Z482" s="237">
        <v>813373594</v>
      </c>
      <c r="AA482" s="211">
        <v>12</v>
      </c>
      <c r="AB482" s="212" t="s">
        <v>961</v>
      </c>
      <c r="AC482" s="190" t="s">
        <v>939</v>
      </c>
      <c r="AD482" s="70"/>
    </row>
    <row r="483" spans="1:30" ht="22.35" customHeight="1">
      <c r="A483" s="190" t="s">
        <v>10</v>
      </c>
      <c r="B483" s="190" t="s">
        <v>88</v>
      </c>
      <c r="C483" s="1341">
        <v>45175</v>
      </c>
      <c r="D483" s="236">
        <v>6</v>
      </c>
      <c r="E483" s="214">
        <v>360.23</v>
      </c>
      <c r="F483" s="246">
        <v>2161.39</v>
      </c>
      <c r="G483" s="214">
        <v>70</v>
      </c>
      <c r="H483" s="214">
        <v>68.180000000000007</v>
      </c>
      <c r="I483" s="214">
        <v>421.05</v>
      </c>
      <c r="J483" s="214">
        <v>1404.66</v>
      </c>
      <c r="K483" s="214"/>
      <c r="L483" s="197" t="s">
        <v>276</v>
      </c>
      <c r="M483" s="243"/>
      <c r="N483" s="244" t="s">
        <v>577</v>
      </c>
      <c r="O483" s="190" t="s">
        <v>283</v>
      </c>
      <c r="P483" s="234" t="s">
        <v>97</v>
      </c>
      <c r="Q483" s="212">
        <v>45148</v>
      </c>
      <c r="R483" s="232" t="s">
        <v>578</v>
      </c>
      <c r="S483" s="235">
        <v>76227572</v>
      </c>
      <c r="T483" s="214"/>
      <c r="U483" s="221" t="s">
        <v>127</v>
      </c>
      <c r="V483" s="236">
        <v>2</v>
      </c>
      <c r="W483" s="236">
        <v>0</v>
      </c>
      <c r="X483" s="236">
        <v>0</v>
      </c>
      <c r="Y483" s="236">
        <v>0</v>
      </c>
      <c r="Z483" s="237">
        <v>806740154</v>
      </c>
      <c r="AA483" s="211">
        <v>27</v>
      </c>
      <c r="AB483" s="212" t="s">
        <v>961</v>
      </c>
      <c r="AC483" s="190" t="s">
        <v>939</v>
      </c>
      <c r="AD483" s="70"/>
    </row>
    <row r="484" spans="1:30" ht="22.35" customHeight="1">
      <c r="A484" s="190" t="s">
        <v>8</v>
      </c>
      <c r="B484" s="190" t="s">
        <v>88</v>
      </c>
      <c r="C484" s="1341">
        <v>45173</v>
      </c>
      <c r="D484" s="236">
        <v>3</v>
      </c>
      <c r="E484" s="214">
        <v>207.95</v>
      </c>
      <c r="F484" s="246">
        <v>623.86</v>
      </c>
      <c r="G484" s="214">
        <v>60</v>
      </c>
      <c r="H484" s="214">
        <v>19.440000000000001</v>
      </c>
      <c r="I484" s="214">
        <v>152.11000000000001</v>
      </c>
      <c r="J484" s="214">
        <v>368.45</v>
      </c>
      <c r="K484" s="214"/>
      <c r="L484" s="197" t="s">
        <v>276</v>
      </c>
      <c r="M484" s="243">
        <v>5</v>
      </c>
      <c r="N484" s="244" t="s">
        <v>579</v>
      </c>
      <c r="O484" s="190" t="s">
        <v>283</v>
      </c>
      <c r="P484" s="234" t="s">
        <v>89</v>
      </c>
      <c r="Q484" s="212">
        <v>45168</v>
      </c>
      <c r="R484" s="232" t="s">
        <v>580</v>
      </c>
      <c r="S484" s="235">
        <v>53258891</v>
      </c>
      <c r="T484" s="214"/>
      <c r="U484" s="221" t="s">
        <v>581</v>
      </c>
      <c r="V484" s="236">
        <v>2</v>
      </c>
      <c r="W484" s="236">
        <v>2</v>
      </c>
      <c r="X484" s="236">
        <v>0</v>
      </c>
      <c r="Y484" s="236">
        <v>0</v>
      </c>
      <c r="Z484" s="237">
        <v>814456376</v>
      </c>
      <c r="AA484" s="211">
        <v>5</v>
      </c>
      <c r="AB484" s="212" t="s">
        <v>961</v>
      </c>
      <c r="AC484" s="190" t="s">
        <v>939</v>
      </c>
      <c r="AD484" s="70"/>
    </row>
    <row r="485" spans="1:30" ht="22.35" customHeight="1">
      <c r="A485" s="190" t="s">
        <v>10</v>
      </c>
      <c r="B485" s="190" t="s">
        <v>88</v>
      </c>
      <c r="C485" s="1341">
        <v>45169</v>
      </c>
      <c r="D485" s="236">
        <v>5</v>
      </c>
      <c r="E485" s="214">
        <v>205.41</v>
      </c>
      <c r="F485" s="246">
        <v>1027.06</v>
      </c>
      <c r="G485" s="214">
        <v>70</v>
      </c>
      <c r="H485" s="214">
        <v>32.4</v>
      </c>
      <c r="I485" s="214">
        <v>229.52</v>
      </c>
      <c r="J485" s="214">
        <v>638.08000000000004</v>
      </c>
      <c r="K485" s="214"/>
      <c r="L485" s="197" t="s">
        <v>276</v>
      </c>
      <c r="M485" s="243">
        <v>5</v>
      </c>
      <c r="N485" s="244" t="s">
        <v>582</v>
      </c>
      <c r="O485" s="190" t="s">
        <v>283</v>
      </c>
      <c r="P485" s="234" t="s">
        <v>97</v>
      </c>
      <c r="Q485" s="212">
        <v>45166</v>
      </c>
      <c r="R485" s="232" t="s">
        <v>583</v>
      </c>
      <c r="S485" s="235">
        <v>84580707</v>
      </c>
      <c r="T485" s="214"/>
      <c r="U485" s="221" t="s">
        <v>584</v>
      </c>
      <c r="V485" s="236">
        <v>3</v>
      </c>
      <c r="W485" s="236">
        <v>0</v>
      </c>
      <c r="X485" s="236">
        <v>0</v>
      </c>
      <c r="Y485" s="236">
        <v>0</v>
      </c>
      <c r="Z485" s="237">
        <v>813560103</v>
      </c>
      <c r="AA485" s="211">
        <v>3</v>
      </c>
      <c r="AB485" s="212" t="s">
        <v>962</v>
      </c>
      <c r="AC485" s="190" t="s">
        <v>939</v>
      </c>
      <c r="AD485" s="70"/>
    </row>
    <row r="486" spans="1:30" ht="22.35" customHeight="1">
      <c r="A486" s="190" t="s">
        <v>8</v>
      </c>
      <c r="B486" s="190" t="s">
        <v>88</v>
      </c>
      <c r="C486" s="1341">
        <v>45168</v>
      </c>
      <c r="D486" s="236">
        <v>4</v>
      </c>
      <c r="E486" s="214">
        <v>194</v>
      </c>
      <c r="F486" s="246">
        <v>776</v>
      </c>
      <c r="G486" s="214">
        <v>80</v>
      </c>
      <c r="H486" s="214">
        <v>24.48</v>
      </c>
      <c r="I486" s="214">
        <v>195.1</v>
      </c>
      <c r="J486" s="214">
        <v>460.42</v>
      </c>
      <c r="K486" s="214"/>
      <c r="L486" s="197" t="s">
        <v>276</v>
      </c>
      <c r="M486" s="243">
        <v>5</v>
      </c>
      <c r="N486" s="244" t="s">
        <v>585</v>
      </c>
      <c r="O486" s="190" t="s">
        <v>283</v>
      </c>
      <c r="P486" s="234" t="s">
        <v>89</v>
      </c>
      <c r="Q486" s="212">
        <v>45167</v>
      </c>
      <c r="R486" s="232" t="s">
        <v>586</v>
      </c>
      <c r="S486" s="235">
        <v>499621531</v>
      </c>
      <c r="T486" s="214"/>
      <c r="U486" s="221" t="s">
        <v>291</v>
      </c>
      <c r="V486" s="236">
        <v>2</v>
      </c>
      <c r="W486" s="236">
        <v>0</v>
      </c>
      <c r="X486" s="236">
        <v>0</v>
      </c>
      <c r="Y486" s="236">
        <v>0</v>
      </c>
      <c r="Z486" s="237">
        <v>814246122</v>
      </c>
      <c r="AA486" s="211">
        <v>1</v>
      </c>
      <c r="AB486" s="212" t="s">
        <v>962</v>
      </c>
      <c r="AC486" s="190" t="s">
        <v>939</v>
      </c>
      <c r="AD486" s="70"/>
    </row>
    <row r="487" spans="1:30" ht="22.35" customHeight="1">
      <c r="A487" s="190" t="s">
        <v>10</v>
      </c>
      <c r="B487" s="190" t="s">
        <v>88</v>
      </c>
      <c r="C487" s="1341">
        <v>45166</v>
      </c>
      <c r="D487" s="236">
        <v>3</v>
      </c>
      <c r="E487" s="214">
        <v>209.22</v>
      </c>
      <c r="F487" s="246">
        <v>627.65</v>
      </c>
      <c r="G487" s="214">
        <v>70</v>
      </c>
      <c r="H487" s="214">
        <v>19.8</v>
      </c>
      <c r="I487" s="214">
        <v>162.04</v>
      </c>
      <c r="J487" s="214">
        <v>368.16</v>
      </c>
      <c r="K487" s="214">
        <v>60</v>
      </c>
      <c r="L487" s="197" t="s">
        <v>276</v>
      </c>
      <c r="M487" s="243">
        <v>5</v>
      </c>
      <c r="N487" s="244" t="s">
        <v>587</v>
      </c>
      <c r="O487" s="190" t="s">
        <v>283</v>
      </c>
      <c r="P487" s="234" t="s">
        <v>97</v>
      </c>
      <c r="Q487" s="212">
        <v>45165</v>
      </c>
      <c r="R487" s="232" t="s">
        <v>588</v>
      </c>
      <c r="S487" s="235">
        <v>63857260</v>
      </c>
      <c r="T487" s="214"/>
      <c r="U487" s="221" t="s">
        <v>589</v>
      </c>
      <c r="V487" s="236">
        <v>3</v>
      </c>
      <c r="W487" s="236">
        <v>0</v>
      </c>
      <c r="X487" s="236">
        <v>0</v>
      </c>
      <c r="Y487" s="236">
        <v>0</v>
      </c>
      <c r="Z487" s="237">
        <v>813479131</v>
      </c>
      <c r="AA487" s="211">
        <v>1</v>
      </c>
      <c r="AB487" s="212" t="s">
        <v>962</v>
      </c>
      <c r="AC487" s="190" t="s">
        <v>939</v>
      </c>
      <c r="AD487" s="70"/>
    </row>
    <row r="488" spans="1:30" ht="22.35" customHeight="1">
      <c r="A488" s="190" t="s">
        <v>10</v>
      </c>
      <c r="B488" s="190" t="s">
        <v>88</v>
      </c>
      <c r="C488" s="1341">
        <v>45162</v>
      </c>
      <c r="D488" s="236">
        <v>4</v>
      </c>
      <c r="E488" s="214">
        <v>221.39</v>
      </c>
      <c r="F488" s="246">
        <v>885.55</v>
      </c>
      <c r="G488" s="214">
        <v>70</v>
      </c>
      <c r="H488" s="214">
        <v>27.93</v>
      </c>
      <c r="I488" s="214">
        <v>205.44</v>
      </c>
      <c r="J488" s="214">
        <v>542.46</v>
      </c>
      <c r="K488" s="214">
        <v>80</v>
      </c>
      <c r="L488" s="197" t="s">
        <v>276</v>
      </c>
      <c r="M488" s="243">
        <v>5</v>
      </c>
      <c r="N488" s="244" t="s">
        <v>590</v>
      </c>
      <c r="O488" s="190" t="s">
        <v>283</v>
      </c>
      <c r="P488" s="234" t="s">
        <v>97</v>
      </c>
      <c r="Q488" s="212">
        <v>45154</v>
      </c>
      <c r="R488" s="232" t="s">
        <v>591</v>
      </c>
      <c r="S488" s="235">
        <v>142452293</v>
      </c>
      <c r="T488" s="214"/>
      <c r="U488" s="221" t="s">
        <v>592</v>
      </c>
      <c r="V488" s="236">
        <v>3</v>
      </c>
      <c r="W488" s="236">
        <v>0</v>
      </c>
      <c r="X488" s="236">
        <v>0</v>
      </c>
      <c r="Y488" s="236">
        <v>0</v>
      </c>
      <c r="Z488" s="237">
        <v>809109401</v>
      </c>
      <c r="AA488" s="211">
        <v>8</v>
      </c>
      <c r="AB488" s="212" t="s">
        <v>962</v>
      </c>
      <c r="AC488" s="190" t="s">
        <v>939</v>
      </c>
      <c r="AD488" s="70"/>
    </row>
    <row r="489" spans="1:30" ht="22.35" customHeight="1">
      <c r="A489" s="190" t="s">
        <v>18</v>
      </c>
      <c r="B489" s="190" t="s">
        <v>88</v>
      </c>
      <c r="C489" s="1341">
        <v>45158</v>
      </c>
      <c r="D489" s="236">
        <v>30</v>
      </c>
      <c r="E489" s="214">
        <v>0</v>
      </c>
      <c r="F489" s="246">
        <v>0</v>
      </c>
      <c r="G489" s="214"/>
      <c r="H489" s="214"/>
      <c r="I489" s="214">
        <v>0</v>
      </c>
      <c r="J489" s="214">
        <v>1336.1</v>
      </c>
      <c r="K489" s="214"/>
      <c r="L489" s="197" t="s">
        <v>276</v>
      </c>
      <c r="M489" s="243"/>
      <c r="N489" s="244"/>
      <c r="O489" s="190" t="s">
        <v>283</v>
      </c>
      <c r="P489" s="244"/>
      <c r="Q489" s="212"/>
      <c r="R489" s="233"/>
      <c r="S489" s="235"/>
      <c r="T489" s="214"/>
      <c r="U489" s="233"/>
      <c r="V489" s="236"/>
      <c r="W489" s="236"/>
      <c r="X489" s="236"/>
      <c r="Y489" s="236"/>
      <c r="Z489" s="237"/>
      <c r="AA489" s="211">
        <v>45158</v>
      </c>
      <c r="AB489" s="212" t="s">
        <v>962</v>
      </c>
      <c r="AC489" s="190" t="s">
        <v>940</v>
      </c>
      <c r="AD489" s="70"/>
    </row>
    <row r="490" spans="1:30" ht="22.35" customHeight="1">
      <c r="A490" s="190" t="s">
        <v>10</v>
      </c>
      <c r="B490" s="190" t="s">
        <v>88</v>
      </c>
      <c r="C490" s="1341">
        <v>45152</v>
      </c>
      <c r="D490" s="236">
        <v>6</v>
      </c>
      <c r="E490" s="214">
        <v>198.95</v>
      </c>
      <c r="F490" s="246">
        <v>1193.67</v>
      </c>
      <c r="G490" s="214">
        <v>70</v>
      </c>
      <c r="H490" s="214">
        <v>37.659999999999997</v>
      </c>
      <c r="I490" s="214">
        <v>257.77999999999997</v>
      </c>
      <c r="J490" s="214">
        <v>750.67</v>
      </c>
      <c r="K490" s="214"/>
      <c r="L490" s="197" t="s">
        <v>276</v>
      </c>
      <c r="M490" s="194">
        <v>5</v>
      </c>
      <c r="N490" s="244" t="s">
        <v>593</v>
      </c>
      <c r="O490" s="190" t="s">
        <v>283</v>
      </c>
      <c r="P490" s="234" t="s">
        <v>97</v>
      </c>
      <c r="Q490" s="212">
        <v>45150</v>
      </c>
      <c r="R490" s="232" t="s">
        <v>594</v>
      </c>
      <c r="S490" s="235">
        <v>39182208</v>
      </c>
      <c r="T490" s="214"/>
      <c r="U490" s="221" t="s">
        <v>595</v>
      </c>
      <c r="V490" s="236">
        <v>2</v>
      </c>
      <c r="W490" s="236">
        <v>0</v>
      </c>
      <c r="X490" s="236">
        <v>0</v>
      </c>
      <c r="Y490" s="236">
        <v>0</v>
      </c>
      <c r="Z490" s="237">
        <v>807409155</v>
      </c>
      <c r="AA490" s="211">
        <v>2</v>
      </c>
      <c r="AB490" s="212" t="s">
        <v>962</v>
      </c>
      <c r="AC490" s="190" t="s">
        <v>939</v>
      </c>
      <c r="AD490" s="70"/>
    </row>
    <row r="491" spans="1:30" ht="22.35" customHeight="1">
      <c r="A491" s="190" t="s">
        <v>15</v>
      </c>
      <c r="B491" s="190" t="s">
        <v>88</v>
      </c>
      <c r="C491" s="1341">
        <v>45151</v>
      </c>
      <c r="D491" s="236">
        <v>31</v>
      </c>
      <c r="E491" s="214">
        <v>103.45</v>
      </c>
      <c r="F491" s="246">
        <v>3206.95</v>
      </c>
      <c r="G491" s="214">
        <v>40</v>
      </c>
      <c r="H491" s="214">
        <v>102.5</v>
      </c>
      <c r="I491" s="214">
        <v>0</v>
      </c>
      <c r="J491" s="214">
        <v>2744.7</v>
      </c>
      <c r="K491" s="214"/>
      <c r="L491" s="197" t="s">
        <v>276</v>
      </c>
      <c r="M491" s="243">
        <v>5</v>
      </c>
      <c r="N491" s="244" t="s">
        <v>596</v>
      </c>
      <c r="O491" s="190" t="s">
        <v>283</v>
      </c>
      <c r="P491" s="234" t="s">
        <v>114</v>
      </c>
      <c r="Q491" s="212">
        <v>45138</v>
      </c>
      <c r="R491" s="232" t="s">
        <v>597</v>
      </c>
      <c r="S491" s="235">
        <v>13674876</v>
      </c>
      <c r="T491" s="214"/>
      <c r="U491" s="221" t="s">
        <v>598</v>
      </c>
      <c r="V491" s="236">
        <v>1</v>
      </c>
      <c r="W491" s="236">
        <v>0</v>
      </c>
      <c r="X491" s="236">
        <v>0</v>
      </c>
      <c r="Y491" s="236">
        <v>0</v>
      </c>
      <c r="Z491" s="237">
        <v>802149424</v>
      </c>
      <c r="AA491" s="211">
        <v>13</v>
      </c>
      <c r="AB491" s="212" t="s">
        <v>962</v>
      </c>
      <c r="AC491" s="190" t="s">
        <v>939</v>
      </c>
      <c r="AD491" s="70"/>
    </row>
    <row r="492" spans="1:30" ht="22.35" customHeight="1">
      <c r="A492" s="190" t="s">
        <v>10</v>
      </c>
      <c r="B492" s="190" t="s">
        <v>88</v>
      </c>
      <c r="C492" s="1341">
        <v>45148</v>
      </c>
      <c r="D492" s="236">
        <v>4</v>
      </c>
      <c r="E492" s="214">
        <v>193.31</v>
      </c>
      <c r="F492" s="246">
        <v>773.22</v>
      </c>
      <c r="G492" s="214">
        <v>70</v>
      </c>
      <c r="H492" s="214">
        <v>23.83</v>
      </c>
      <c r="I492" s="214">
        <v>183.57</v>
      </c>
      <c r="J492" s="214">
        <v>454.54</v>
      </c>
      <c r="K492" s="214"/>
      <c r="L492" s="197" t="s">
        <v>276</v>
      </c>
      <c r="M492" s="243">
        <v>5</v>
      </c>
      <c r="N492" s="244" t="s">
        <v>599</v>
      </c>
      <c r="O492" s="190" t="s">
        <v>283</v>
      </c>
      <c r="P492" s="234" t="s">
        <v>97</v>
      </c>
      <c r="Q492" s="212">
        <v>45147</v>
      </c>
      <c r="R492" s="232" t="s">
        <v>600</v>
      </c>
      <c r="S492" s="235">
        <v>525297841</v>
      </c>
      <c r="T492" s="214"/>
      <c r="U492" s="221" t="s">
        <v>213</v>
      </c>
      <c r="V492" s="236">
        <v>2</v>
      </c>
      <c r="W492" s="236">
        <v>2</v>
      </c>
      <c r="X492" s="236">
        <v>0</v>
      </c>
      <c r="Y492" s="236">
        <v>0</v>
      </c>
      <c r="Z492" s="237">
        <v>806345663</v>
      </c>
      <c r="AA492" s="211">
        <v>1</v>
      </c>
      <c r="AB492" s="212" t="s">
        <v>962</v>
      </c>
      <c r="AC492" s="190" t="s">
        <v>939</v>
      </c>
      <c r="AD492" s="70"/>
    </row>
    <row r="493" spans="1:30" ht="22.35" customHeight="1">
      <c r="A493" s="190" t="s">
        <v>18</v>
      </c>
      <c r="B493" s="190" t="s">
        <v>88</v>
      </c>
      <c r="C493" s="1341">
        <v>45135</v>
      </c>
      <c r="D493" s="236">
        <v>30</v>
      </c>
      <c r="E493" s="214">
        <v>71.349999999999994</v>
      </c>
      <c r="F493" s="246">
        <v>2140.4499999999998</v>
      </c>
      <c r="G493" s="214">
        <v>45</v>
      </c>
      <c r="H493" s="214">
        <v>69.66</v>
      </c>
      <c r="I493" s="214">
        <v>0</v>
      </c>
      <c r="J493" s="214">
        <v>1865.34</v>
      </c>
      <c r="K493" s="214"/>
      <c r="L493" s="197" t="s">
        <v>276</v>
      </c>
      <c r="M493" s="243">
        <v>5</v>
      </c>
      <c r="N493" s="244" t="s">
        <v>601</v>
      </c>
      <c r="O493" s="190" t="s">
        <v>283</v>
      </c>
      <c r="P493" s="234" t="s">
        <v>106</v>
      </c>
      <c r="Q493" s="212">
        <v>44939</v>
      </c>
      <c r="R493" s="232" t="s">
        <v>602</v>
      </c>
      <c r="S493" s="235">
        <v>35413125</v>
      </c>
      <c r="T493" s="214"/>
      <c r="U493" s="221" t="s">
        <v>603</v>
      </c>
      <c r="V493" s="236">
        <v>2</v>
      </c>
      <c r="W493" s="236">
        <v>0</v>
      </c>
      <c r="X493" s="236">
        <v>0</v>
      </c>
      <c r="Y493" s="236">
        <v>0</v>
      </c>
      <c r="Z493" s="237">
        <v>716965246</v>
      </c>
      <c r="AA493" s="211">
        <v>196</v>
      </c>
      <c r="AB493" s="212" t="s">
        <v>963</v>
      </c>
      <c r="AC493" s="190" t="s">
        <v>940</v>
      </c>
      <c r="AD493" s="70"/>
    </row>
    <row r="494" spans="1:30" ht="22.35" customHeight="1">
      <c r="A494" s="190" t="s">
        <v>15</v>
      </c>
      <c r="B494" s="190" t="s">
        <v>88</v>
      </c>
      <c r="C494" s="1341">
        <v>45120</v>
      </c>
      <c r="D494" s="236"/>
      <c r="E494" s="214"/>
      <c r="F494" s="246">
        <v>0</v>
      </c>
      <c r="G494" s="214"/>
      <c r="H494" s="214"/>
      <c r="I494" s="214"/>
      <c r="J494" s="214">
        <v>1908.72</v>
      </c>
      <c r="K494" s="214"/>
      <c r="L494" s="197" t="s">
        <v>276</v>
      </c>
      <c r="M494" s="243"/>
      <c r="N494" s="244"/>
      <c r="O494" s="190" t="s">
        <v>283</v>
      </c>
      <c r="P494" s="244"/>
      <c r="Q494" s="212"/>
      <c r="R494" s="233"/>
      <c r="S494" s="235"/>
      <c r="T494" s="214"/>
      <c r="U494" s="233"/>
      <c r="V494" s="236"/>
      <c r="W494" s="236"/>
      <c r="X494" s="236"/>
      <c r="Y494" s="236"/>
      <c r="Z494" s="237"/>
      <c r="AA494" s="211">
        <v>45120</v>
      </c>
      <c r="AB494" s="212" t="s">
        <v>963</v>
      </c>
      <c r="AC494" s="190" t="s">
        <v>940</v>
      </c>
      <c r="AD494" s="70"/>
    </row>
    <row r="495" spans="1:30" ht="22.35" customHeight="1">
      <c r="A495" s="190" t="s">
        <v>18</v>
      </c>
      <c r="B495" s="190" t="s">
        <v>88</v>
      </c>
      <c r="C495" s="1341">
        <v>45092</v>
      </c>
      <c r="D495" s="236">
        <v>35</v>
      </c>
      <c r="E495" s="214">
        <v>64.28</v>
      </c>
      <c r="F495" s="246">
        <v>2249.9699999999998</v>
      </c>
      <c r="G495" s="214">
        <v>0</v>
      </c>
      <c r="H495" s="214">
        <v>73.22</v>
      </c>
      <c r="I495" s="214">
        <v>0</v>
      </c>
      <c r="J495" s="214">
        <v>1960.78</v>
      </c>
      <c r="K495" s="214"/>
      <c r="L495" s="197" t="s">
        <v>276</v>
      </c>
      <c r="M495" s="194">
        <v>5</v>
      </c>
      <c r="N495" s="244" t="s">
        <v>604</v>
      </c>
      <c r="O495" s="190" t="s">
        <v>283</v>
      </c>
      <c r="P495" s="234" t="s">
        <v>106</v>
      </c>
      <c r="Q495" s="212">
        <v>44836</v>
      </c>
      <c r="R495" s="232" t="s">
        <v>605</v>
      </c>
      <c r="S495" s="235">
        <v>8782455</v>
      </c>
      <c r="T495" s="214"/>
      <c r="U495" s="221" t="s">
        <v>606</v>
      </c>
      <c r="V495" s="236">
        <v>2</v>
      </c>
      <c r="W495" s="236">
        <v>0</v>
      </c>
      <c r="X495" s="236">
        <v>0</v>
      </c>
      <c r="Y495" s="236">
        <v>0</v>
      </c>
      <c r="Z495" s="237">
        <v>684554534</v>
      </c>
      <c r="AA495" s="211">
        <v>256</v>
      </c>
      <c r="AB495" s="212" t="s">
        <v>964</v>
      </c>
      <c r="AC495" s="190" t="s">
        <v>940</v>
      </c>
      <c r="AD495" s="70"/>
    </row>
    <row r="496" spans="1:30" ht="22.35" customHeight="1">
      <c r="A496" s="218" t="s">
        <v>18</v>
      </c>
      <c r="B496" s="248" t="s">
        <v>88</v>
      </c>
      <c r="C496" s="1345">
        <v>45038</v>
      </c>
      <c r="D496" s="225">
        <v>43</v>
      </c>
      <c r="E496" s="214">
        <v>55.91</v>
      </c>
      <c r="F496" s="448">
        <v>2404.2800000000002</v>
      </c>
      <c r="G496" s="223">
        <v>0</v>
      </c>
      <c r="H496" s="223">
        <v>78.239999999999995</v>
      </c>
      <c r="I496" s="223">
        <v>0</v>
      </c>
      <c r="J496" s="249">
        <v>2095.2600000000002</v>
      </c>
      <c r="K496" s="223"/>
      <c r="L496" s="250" t="s">
        <v>276</v>
      </c>
      <c r="M496" s="194">
        <v>5</v>
      </c>
      <c r="N496" s="592" t="s">
        <v>607</v>
      </c>
      <c r="O496" s="218" t="s">
        <v>283</v>
      </c>
      <c r="P496" s="231" t="s">
        <v>106</v>
      </c>
      <c r="Q496" s="220">
        <v>44796</v>
      </c>
      <c r="R496" s="273" t="s">
        <v>608</v>
      </c>
      <c r="S496" s="222">
        <v>256475088</v>
      </c>
      <c r="T496" s="223"/>
      <c r="U496" s="227" t="s">
        <v>609</v>
      </c>
      <c r="V496" s="225">
        <v>1</v>
      </c>
      <c r="W496" s="225">
        <v>0</v>
      </c>
      <c r="X496" s="225">
        <v>0</v>
      </c>
      <c r="Y496" s="77">
        <v>0</v>
      </c>
      <c r="Z496" s="76">
        <v>669085392</v>
      </c>
      <c r="AA496" s="211">
        <v>242</v>
      </c>
      <c r="AB496" s="212" t="s">
        <v>965</v>
      </c>
      <c r="AC496" s="190" t="s">
        <v>940</v>
      </c>
      <c r="AD496" s="70"/>
    </row>
    <row r="497" spans="1:30" ht="22.35" customHeight="1">
      <c r="A497" s="275" t="s">
        <v>18</v>
      </c>
      <c r="B497" s="275" t="s">
        <v>88</v>
      </c>
      <c r="C497" s="1341">
        <v>45005</v>
      </c>
      <c r="D497" s="276">
        <v>31</v>
      </c>
      <c r="E497" s="277">
        <v>51.38</v>
      </c>
      <c r="F497" s="246">
        <v>1592.89</v>
      </c>
      <c r="G497" s="277">
        <v>0</v>
      </c>
      <c r="H497" s="277">
        <v>51.84</v>
      </c>
      <c r="I497" s="277">
        <v>0</v>
      </c>
      <c r="J497" s="277">
        <v>1388.16</v>
      </c>
      <c r="K497" s="277"/>
      <c r="L497" s="197" t="s">
        <v>276</v>
      </c>
      <c r="M497" s="276">
        <v>4</v>
      </c>
      <c r="N497" s="279" t="s">
        <v>610</v>
      </c>
      <c r="O497" s="278" t="s">
        <v>283</v>
      </c>
      <c r="P497" s="279" t="s">
        <v>106</v>
      </c>
      <c r="Q497" s="280">
        <v>44878</v>
      </c>
      <c r="R497" s="281" t="s">
        <v>611</v>
      </c>
      <c r="S497" s="282">
        <v>8772476</v>
      </c>
      <c r="T497" s="283"/>
      <c r="U497" s="281" t="s">
        <v>362</v>
      </c>
      <c r="V497" s="284">
        <v>1</v>
      </c>
      <c r="W497" s="284">
        <v>0</v>
      </c>
      <c r="X497" s="284">
        <v>0</v>
      </c>
      <c r="Y497" s="284">
        <v>0</v>
      </c>
      <c r="Z497" s="285">
        <v>698694436</v>
      </c>
      <c r="AA497" s="211">
        <v>127</v>
      </c>
      <c r="AB497" s="212" t="s">
        <v>966</v>
      </c>
      <c r="AC497" s="190" t="s">
        <v>942</v>
      </c>
      <c r="AD497" s="70"/>
    </row>
    <row r="498" spans="1:30" ht="22.35" customHeight="1">
      <c r="A498" s="190" t="s">
        <v>18</v>
      </c>
      <c r="B498" s="190" t="s">
        <v>88</v>
      </c>
      <c r="C498" s="1341">
        <v>44940</v>
      </c>
      <c r="D498" s="236">
        <v>63</v>
      </c>
      <c r="E498" s="214">
        <v>53.17</v>
      </c>
      <c r="F498" s="246">
        <v>3349.53</v>
      </c>
      <c r="G498" s="214">
        <v>0</v>
      </c>
      <c r="H498" s="214">
        <v>106.86</v>
      </c>
      <c r="I498" s="214">
        <v>0</v>
      </c>
      <c r="J498" s="214">
        <v>2861.34</v>
      </c>
      <c r="K498" s="214"/>
      <c r="L498" s="197" t="s">
        <v>276</v>
      </c>
      <c r="M498" s="243">
        <v>5</v>
      </c>
      <c r="N498" s="244" t="s">
        <v>612</v>
      </c>
      <c r="O498" s="190" t="s">
        <v>283</v>
      </c>
      <c r="P498" s="234" t="s">
        <v>106</v>
      </c>
      <c r="Q498" s="212">
        <v>44829</v>
      </c>
      <c r="R498" s="221" t="s">
        <v>613</v>
      </c>
      <c r="S498" s="235">
        <v>31346400</v>
      </c>
      <c r="T498" s="214"/>
      <c r="U498" s="221" t="s">
        <v>614</v>
      </c>
      <c r="V498" s="236">
        <v>2</v>
      </c>
      <c r="W498" s="236">
        <v>0</v>
      </c>
      <c r="X498" s="236">
        <v>0</v>
      </c>
      <c r="Y498" s="236">
        <v>0</v>
      </c>
      <c r="Z498" s="237">
        <v>681916709</v>
      </c>
      <c r="AA498" s="211">
        <v>111</v>
      </c>
      <c r="AB498" s="212" t="s">
        <v>967</v>
      </c>
      <c r="AC498" s="190" t="s">
        <v>942</v>
      </c>
      <c r="AD498" s="70"/>
    </row>
    <row r="499" spans="1:30" ht="22.35" customHeight="1">
      <c r="A499" s="190" t="s">
        <v>15</v>
      </c>
      <c r="B499" s="190" t="s">
        <v>88</v>
      </c>
      <c r="C499" s="1341">
        <v>44932</v>
      </c>
      <c r="D499" s="236">
        <v>186</v>
      </c>
      <c r="E499" s="214">
        <v>54.99</v>
      </c>
      <c r="F499" s="246">
        <v>10228.83</v>
      </c>
      <c r="G499" s="214">
        <v>0</v>
      </c>
      <c r="H499" s="214">
        <v>332.91</v>
      </c>
      <c r="I499" s="214">
        <v>0</v>
      </c>
      <c r="J499" s="214">
        <v>8914.09</v>
      </c>
      <c r="K499" s="214"/>
      <c r="L499" s="197" t="s">
        <v>276</v>
      </c>
      <c r="M499" s="243"/>
      <c r="N499" s="244" t="s">
        <v>615</v>
      </c>
      <c r="O499" s="190" t="s">
        <v>283</v>
      </c>
      <c r="P499" s="234" t="s">
        <v>114</v>
      </c>
      <c r="Q499" s="212">
        <v>44781</v>
      </c>
      <c r="R499" s="232" t="s">
        <v>616</v>
      </c>
      <c r="S499" s="235">
        <v>62709046</v>
      </c>
      <c r="T499" s="214"/>
      <c r="U499" s="233"/>
      <c r="V499" s="236">
        <v>1</v>
      </c>
      <c r="W499" s="236">
        <v>0</v>
      </c>
      <c r="X499" s="236">
        <v>0</v>
      </c>
      <c r="Y499" s="236">
        <v>0</v>
      </c>
      <c r="Z499" s="237">
        <v>662935286</v>
      </c>
      <c r="AA499" s="211">
        <v>151</v>
      </c>
      <c r="AB499" s="212" t="s">
        <v>967</v>
      </c>
      <c r="AC499" s="190" t="s">
        <v>942</v>
      </c>
      <c r="AD499" s="70"/>
    </row>
    <row r="500" spans="1:30" ht="22.35" customHeight="1">
      <c r="A500" s="190" t="s">
        <v>15</v>
      </c>
      <c r="B500" s="190" t="s">
        <v>88</v>
      </c>
      <c r="C500" s="1341">
        <v>44920</v>
      </c>
      <c r="D500" s="236">
        <v>7</v>
      </c>
      <c r="E500" s="214">
        <v>270.64</v>
      </c>
      <c r="F500" s="246">
        <v>1894.45</v>
      </c>
      <c r="G500" s="214">
        <v>0</v>
      </c>
      <c r="H500" s="214">
        <v>58.32</v>
      </c>
      <c r="I500" s="214">
        <v>0</v>
      </c>
      <c r="J500" s="214">
        <v>1561.68</v>
      </c>
      <c r="K500" s="214"/>
      <c r="L500" s="197" t="s">
        <v>276</v>
      </c>
      <c r="M500" s="243"/>
      <c r="N500" s="244" t="s">
        <v>617</v>
      </c>
      <c r="O500" s="190" t="s">
        <v>283</v>
      </c>
      <c r="P500" s="234" t="s">
        <v>618</v>
      </c>
      <c r="Q500" s="212">
        <v>44915</v>
      </c>
      <c r="R500" s="221" t="s">
        <v>619</v>
      </c>
      <c r="S500" s="235">
        <v>380574331</v>
      </c>
      <c r="T500" s="214"/>
      <c r="U500" s="221" t="s">
        <v>620</v>
      </c>
      <c r="V500" s="236">
        <v>3</v>
      </c>
      <c r="W500" s="236">
        <v>0</v>
      </c>
      <c r="X500" s="236">
        <v>0</v>
      </c>
      <c r="Y500" s="236">
        <v>0</v>
      </c>
      <c r="Z500" s="237">
        <v>709142525</v>
      </c>
      <c r="AA500" s="211">
        <v>5</v>
      </c>
      <c r="AB500" s="212" t="s">
        <v>968</v>
      </c>
      <c r="AC500" s="190" t="s">
        <v>939</v>
      </c>
      <c r="AD500" s="70"/>
    </row>
    <row r="501" spans="1:30" ht="22.35" customHeight="1">
      <c r="A501" s="190" t="s">
        <v>18</v>
      </c>
      <c r="B501" s="190" t="s">
        <v>88</v>
      </c>
      <c r="C501" s="1341">
        <v>44899</v>
      </c>
      <c r="D501" s="236">
        <v>33</v>
      </c>
      <c r="E501" s="214">
        <v>56.26</v>
      </c>
      <c r="F501" s="246">
        <v>1856.72</v>
      </c>
      <c r="G501" s="214">
        <v>0</v>
      </c>
      <c r="H501" s="214">
        <v>60.42</v>
      </c>
      <c r="I501" s="214">
        <v>0</v>
      </c>
      <c r="J501" s="214">
        <v>1618.08</v>
      </c>
      <c r="K501" s="214"/>
      <c r="L501" s="197" t="s">
        <v>276</v>
      </c>
      <c r="M501" s="243">
        <v>5</v>
      </c>
      <c r="N501" s="244" t="s">
        <v>621</v>
      </c>
      <c r="O501" s="190" t="s">
        <v>283</v>
      </c>
      <c r="P501" s="234" t="s">
        <v>106</v>
      </c>
      <c r="Q501" s="212">
        <v>44774</v>
      </c>
      <c r="R501" s="221" t="s">
        <v>622</v>
      </c>
      <c r="S501" s="235">
        <v>201198947</v>
      </c>
      <c r="T501" s="214"/>
      <c r="U501" s="221" t="s">
        <v>623</v>
      </c>
      <c r="V501" s="236">
        <v>2</v>
      </c>
      <c r="W501" s="236">
        <v>0</v>
      </c>
      <c r="X501" s="236">
        <v>0</v>
      </c>
      <c r="Y501" s="236">
        <v>0</v>
      </c>
      <c r="Z501" s="237">
        <v>659645984</v>
      </c>
      <c r="AA501" s="211">
        <v>125</v>
      </c>
      <c r="AB501" s="212" t="s">
        <v>968</v>
      </c>
      <c r="AC501" s="190" t="s">
        <v>942</v>
      </c>
      <c r="AD501" s="70"/>
    </row>
    <row r="502" spans="1:30" ht="22.35" customHeight="1">
      <c r="A502" s="190" t="s">
        <v>18</v>
      </c>
      <c r="B502" s="190" t="s">
        <v>88</v>
      </c>
      <c r="C502" s="1341">
        <v>44867</v>
      </c>
      <c r="D502" s="236">
        <v>30</v>
      </c>
      <c r="E502" s="214">
        <v>62.96</v>
      </c>
      <c r="F502" s="246">
        <v>1888.81</v>
      </c>
      <c r="G502" s="214">
        <v>0</v>
      </c>
      <c r="H502" s="214">
        <v>61.04</v>
      </c>
      <c r="I502" s="214">
        <v>0</v>
      </c>
      <c r="J502" s="214">
        <v>1633.96</v>
      </c>
      <c r="K502" s="214"/>
      <c r="L502" s="197" t="s">
        <v>276</v>
      </c>
      <c r="M502" s="243">
        <v>5</v>
      </c>
      <c r="N502" s="244" t="s">
        <v>624</v>
      </c>
      <c r="O502" s="190" t="s">
        <v>283</v>
      </c>
      <c r="P502" s="234" t="s">
        <v>106</v>
      </c>
      <c r="Q502" s="212">
        <v>44755</v>
      </c>
      <c r="R502" s="221" t="s">
        <v>625</v>
      </c>
      <c r="S502" s="235">
        <v>12577262</v>
      </c>
      <c r="T502" s="214"/>
      <c r="U502" s="221" t="s">
        <v>626</v>
      </c>
      <c r="V502" s="236">
        <v>1</v>
      </c>
      <c r="W502" s="236">
        <v>0</v>
      </c>
      <c r="X502" s="236">
        <v>0</v>
      </c>
      <c r="Y502" s="236">
        <v>0</v>
      </c>
      <c r="Z502" s="237">
        <v>651426996</v>
      </c>
      <c r="AA502" s="211">
        <v>112</v>
      </c>
      <c r="AB502" s="212" t="s">
        <v>969</v>
      </c>
      <c r="AC502" s="190" t="s">
        <v>942</v>
      </c>
      <c r="AD502" s="70"/>
    </row>
    <row r="503" spans="1:30" ht="22.35" customHeight="1">
      <c r="A503" s="190" t="s">
        <v>18</v>
      </c>
      <c r="B503" s="215" t="s">
        <v>88</v>
      </c>
      <c r="C503" s="1341">
        <v>44835</v>
      </c>
      <c r="D503" s="216">
        <v>30</v>
      </c>
      <c r="E503" s="214">
        <v>62.5</v>
      </c>
      <c r="F503" s="246">
        <v>1874.97</v>
      </c>
      <c r="G503" s="214">
        <v>0</v>
      </c>
      <c r="H503" s="214">
        <v>61.02</v>
      </c>
      <c r="I503" s="214">
        <v>0</v>
      </c>
      <c r="J503" s="217">
        <v>1633.98</v>
      </c>
      <c r="K503" s="214"/>
      <c r="L503" s="197" t="s">
        <v>276</v>
      </c>
      <c r="M503" s="194">
        <v>5</v>
      </c>
      <c r="N503" s="244" t="s">
        <v>627</v>
      </c>
      <c r="O503" s="190" t="s">
        <v>283</v>
      </c>
      <c r="P503" s="234" t="s">
        <v>106</v>
      </c>
      <c r="Q503" s="212">
        <v>44754</v>
      </c>
      <c r="R503" s="221" t="s">
        <v>628</v>
      </c>
      <c r="S503" s="235">
        <v>456756700</v>
      </c>
      <c r="T503" s="214"/>
      <c r="U503" s="221" t="s">
        <v>629</v>
      </c>
      <c r="V503" s="236">
        <v>2</v>
      </c>
      <c r="W503" s="236">
        <v>0</v>
      </c>
      <c r="X503" s="236">
        <v>0</v>
      </c>
      <c r="Y503" s="236">
        <v>0</v>
      </c>
      <c r="Z503" s="237">
        <v>650970737</v>
      </c>
      <c r="AA503" s="211">
        <v>81</v>
      </c>
      <c r="AB503" s="212" t="s">
        <v>970</v>
      </c>
      <c r="AC503" s="190" t="s">
        <v>943</v>
      </c>
      <c r="AD503" s="70"/>
    </row>
    <row r="504" spans="1:30" ht="22.35" customHeight="1">
      <c r="A504" s="190" t="s">
        <v>15</v>
      </c>
      <c r="B504" s="215" t="s">
        <v>88</v>
      </c>
      <c r="C504" s="1341">
        <v>44807</v>
      </c>
      <c r="D504" s="216">
        <v>111</v>
      </c>
      <c r="E504" s="214">
        <v>48.1</v>
      </c>
      <c r="F504" s="246">
        <v>5338.59</v>
      </c>
      <c r="G504" s="214">
        <v>0</v>
      </c>
      <c r="H504" s="214">
        <v>172.45</v>
      </c>
      <c r="I504" s="214">
        <v>0</v>
      </c>
      <c r="J504" s="217">
        <v>4618.3500000000004</v>
      </c>
      <c r="K504" s="214"/>
      <c r="L504" s="197" t="s">
        <v>276</v>
      </c>
      <c r="M504" s="194">
        <v>5</v>
      </c>
      <c r="N504" s="244" t="s">
        <v>630</v>
      </c>
      <c r="O504" s="190" t="s">
        <v>283</v>
      </c>
      <c r="P504" s="234" t="s">
        <v>114</v>
      </c>
      <c r="Q504" s="212">
        <v>44529</v>
      </c>
      <c r="R504" s="221" t="s">
        <v>631</v>
      </c>
      <c r="S504" s="235">
        <v>59312421</v>
      </c>
      <c r="T504" s="214"/>
      <c r="U504" s="221" t="s">
        <v>632</v>
      </c>
      <c r="V504" s="236">
        <v>1</v>
      </c>
      <c r="W504" s="236">
        <v>0</v>
      </c>
      <c r="X504" s="236">
        <v>0</v>
      </c>
      <c r="Y504" s="236">
        <v>0</v>
      </c>
      <c r="Z504" s="237">
        <v>562688576</v>
      </c>
      <c r="AA504" s="211">
        <v>278</v>
      </c>
      <c r="AB504" s="212" t="s">
        <v>971</v>
      </c>
      <c r="AC504" s="190" t="s">
        <v>940</v>
      </c>
      <c r="AD504" s="70"/>
    </row>
    <row r="505" spans="1:30" ht="22.35" customHeight="1">
      <c r="A505" s="190" t="s">
        <v>18</v>
      </c>
      <c r="B505" s="190" t="s">
        <v>88</v>
      </c>
      <c r="C505" s="1341">
        <v>44798</v>
      </c>
      <c r="D505" s="236">
        <v>35</v>
      </c>
      <c r="E505" s="214">
        <v>74.11</v>
      </c>
      <c r="F505" s="246">
        <v>2593.9899999999998</v>
      </c>
      <c r="G505" s="214">
        <v>0</v>
      </c>
      <c r="H505" s="214">
        <v>84.42</v>
      </c>
      <c r="I505" s="214">
        <v>0</v>
      </c>
      <c r="J505" s="214">
        <v>2260.58</v>
      </c>
      <c r="K505" s="214"/>
      <c r="L505" s="197" t="s">
        <v>276</v>
      </c>
      <c r="M505" s="243">
        <v>5</v>
      </c>
      <c r="N505" s="244" t="s">
        <v>633</v>
      </c>
      <c r="O505" s="190" t="s">
        <v>283</v>
      </c>
      <c r="P505" s="234" t="s">
        <v>106</v>
      </c>
      <c r="Q505" s="212">
        <v>44679</v>
      </c>
      <c r="R505" s="221" t="s">
        <v>634</v>
      </c>
      <c r="S505" s="235">
        <v>456309060</v>
      </c>
      <c r="T505" s="214"/>
      <c r="U505" s="221" t="s">
        <v>122</v>
      </c>
      <c r="V505" s="236">
        <v>2</v>
      </c>
      <c r="W505" s="236">
        <v>0</v>
      </c>
      <c r="X505" s="236">
        <v>0</v>
      </c>
      <c r="Y505" s="236">
        <v>0</v>
      </c>
      <c r="Z505" s="237">
        <v>617360902</v>
      </c>
      <c r="AA505" s="211">
        <v>119</v>
      </c>
      <c r="AB505" s="212" t="s">
        <v>972</v>
      </c>
      <c r="AC505" s="190" t="s">
        <v>942</v>
      </c>
      <c r="AD505" s="70"/>
    </row>
    <row r="506" spans="1:30" ht="22.35" customHeight="1">
      <c r="A506" s="190" t="s">
        <v>13</v>
      </c>
      <c r="B506" s="190" t="s">
        <v>88</v>
      </c>
      <c r="C506" s="1341">
        <v>44787</v>
      </c>
      <c r="D506" s="236">
        <v>9</v>
      </c>
      <c r="E506" s="214">
        <v>485</v>
      </c>
      <c r="F506" s="246">
        <v>4365</v>
      </c>
      <c r="G506" s="214">
        <v>0</v>
      </c>
      <c r="H506" s="214">
        <v>137.69999999999999</v>
      </c>
      <c r="I506" s="214">
        <v>0</v>
      </c>
      <c r="J506" s="214">
        <v>3687.3</v>
      </c>
      <c r="K506" s="214"/>
      <c r="L506" s="197" t="s">
        <v>276</v>
      </c>
      <c r="M506" s="243">
        <v>5</v>
      </c>
      <c r="N506" s="244" t="s">
        <v>635</v>
      </c>
      <c r="O506" s="190" t="s">
        <v>283</v>
      </c>
      <c r="P506" s="234" t="s">
        <v>143</v>
      </c>
      <c r="Q506" s="212">
        <v>44767</v>
      </c>
      <c r="R506" s="221" t="s">
        <v>636</v>
      </c>
      <c r="S506" s="235">
        <v>798499</v>
      </c>
      <c r="T506" s="214"/>
      <c r="U506" s="221" t="s">
        <v>637</v>
      </c>
      <c r="V506" s="236">
        <v>2</v>
      </c>
      <c r="W506" s="236">
        <v>2</v>
      </c>
      <c r="X506" s="236">
        <v>0</v>
      </c>
      <c r="Y506" s="236">
        <v>0</v>
      </c>
      <c r="Z506" s="237">
        <v>656528187</v>
      </c>
      <c r="AA506" s="211">
        <v>20</v>
      </c>
      <c r="AB506" s="212" t="s">
        <v>972</v>
      </c>
      <c r="AC506" s="190" t="s">
        <v>939</v>
      </c>
      <c r="AD506" s="70"/>
    </row>
    <row r="507" spans="1:30" ht="22.35" customHeight="1">
      <c r="A507" s="190" t="s">
        <v>18</v>
      </c>
      <c r="B507" s="190" t="s">
        <v>88</v>
      </c>
      <c r="C507" s="1341">
        <v>44744</v>
      </c>
      <c r="D507" s="236">
        <v>33</v>
      </c>
      <c r="E507" s="214">
        <v>56.82</v>
      </c>
      <c r="F507" s="246">
        <v>1874.97</v>
      </c>
      <c r="G507" s="214">
        <v>0</v>
      </c>
      <c r="H507" s="214">
        <v>61.02</v>
      </c>
      <c r="I507" s="214">
        <v>0</v>
      </c>
      <c r="J507" s="214">
        <v>1633.98</v>
      </c>
      <c r="K507" s="214"/>
      <c r="L507" s="197" t="s">
        <v>276</v>
      </c>
      <c r="M507" s="243">
        <v>5</v>
      </c>
      <c r="N507" s="244" t="s">
        <v>638</v>
      </c>
      <c r="O507" s="190" t="s">
        <v>283</v>
      </c>
      <c r="P507" s="234" t="s">
        <v>106</v>
      </c>
      <c r="Q507" s="212">
        <v>44660</v>
      </c>
      <c r="R507" s="221" t="s">
        <v>639</v>
      </c>
      <c r="S507" s="235">
        <v>13665850</v>
      </c>
      <c r="T507" s="214"/>
      <c r="U507" s="221" t="s">
        <v>640</v>
      </c>
      <c r="V507" s="236">
        <v>1</v>
      </c>
      <c r="W507" s="236">
        <v>0</v>
      </c>
      <c r="X507" s="236">
        <v>0</v>
      </c>
      <c r="Y507" s="236">
        <v>0</v>
      </c>
      <c r="Z507" s="237">
        <v>609508513</v>
      </c>
      <c r="AA507" s="211">
        <v>84</v>
      </c>
      <c r="AB507" s="212" t="s">
        <v>973</v>
      </c>
      <c r="AC507" s="190" t="s">
        <v>943</v>
      </c>
      <c r="AD507" s="70"/>
    </row>
    <row r="508" spans="1:30" ht="22.35" customHeight="1">
      <c r="A508" s="190" t="s">
        <v>15</v>
      </c>
      <c r="B508" s="215" t="s">
        <v>88</v>
      </c>
      <c r="C508" s="1341">
        <v>44724</v>
      </c>
      <c r="D508" s="216">
        <v>69</v>
      </c>
      <c r="E508" s="214">
        <v>50.49</v>
      </c>
      <c r="F508" s="246">
        <v>3484.03</v>
      </c>
      <c r="G508" s="214">
        <v>0</v>
      </c>
      <c r="H508" s="214">
        <v>113.39</v>
      </c>
      <c r="I508" s="214">
        <v>0</v>
      </c>
      <c r="J508" s="217">
        <v>3036.22</v>
      </c>
      <c r="K508" s="214"/>
      <c r="L508" s="197" t="s">
        <v>276</v>
      </c>
      <c r="M508" s="194">
        <v>5</v>
      </c>
      <c r="N508" s="244" t="s">
        <v>641</v>
      </c>
      <c r="O508" s="190" t="s">
        <v>283</v>
      </c>
      <c r="P508" s="234" t="s">
        <v>114</v>
      </c>
      <c r="Q508" s="212">
        <v>44517</v>
      </c>
      <c r="R508" s="221" t="s">
        <v>642</v>
      </c>
      <c r="S508" s="235">
        <v>5384015</v>
      </c>
      <c r="T508" s="214"/>
      <c r="U508" s="221" t="s">
        <v>145</v>
      </c>
      <c r="V508" s="236">
        <v>1</v>
      </c>
      <c r="W508" s="236">
        <v>0</v>
      </c>
      <c r="X508" s="236">
        <v>0</v>
      </c>
      <c r="Y508" s="236">
        <v>0</v>
      </c>
      <c r="Z508" s="237">
        <v>559362995</v>
      </c>
      <c r="AA508" s="211">
        <v>207</v>
      </c>
      <c r="AB508" s="212" t="s">
        <v>974</v>
      </c>
      <c r="AC508" s="190" t="s">
        <v>940</v>
      </c>
      <c r="AD508" s="70"/>
    </row>
    <row r="509" spans="1:30" ht="22.35" customHeight="1">
      <c r="A509" s="190" t="s">
        <v>18</v>
      </c>
      <c r="B509" s="190" t="s">
        <v>88</v>
      </c>
      <c r="C509" s="1341">
        <v>44697</v>
      </c>
      <c r="D509" s="236">
        <v>44</v>
      </c>
      <c r="E509" s="214">
        <v>57.52</v>
      </c>
      <c r="F509" s="246">
        <v>2531.0500000000002</v>
      </c>
      <c r="G509" s="214">
        <v>0</v>
      </c>
      <c r="H509" s="214">
        <v>80.819999999999993</v>
      </c>
      <c r="I509" s="214">
        <v>0</v>
      </c>
      <c r="J509" s="214">
        <v>2164.1799999999998</v>
      </c>
      <c r="K509" s="214"/>
      <c r="L509" s="197" t="s">
        <v>276</v>
      </c>
      <c r="M509" s="243">
        <v>5</v>
      </c>
      <c r="N509" s="244" t="s">
        <v>643</v>
      </c>
      <c r="O509" s="190" t="s">
        <v>283</v>
      </c>
      <c r="P509" s="234" t="s">
        <v>106</v>
      </c>
      <c r="Q509" s="212">
        <v>44627</v>
      </c>
      <c r="R509" s="221" t="s">
        <v>644</v>
      </c>
      <c r="S509" s="235">
        <v>265180773</v>
      </c>
      <c r="T509" s="214"/>
      <c r="U509" s="221" t="s">
        <v>645</v>
      </c>
      <c r="V509" s="236">
        <v>1</v>
      </c>
      <c r="W509" s="236">
        <v>0</v>
      </c>
      <c r="X509" s="236">
        <v>0</v>
      </c>
      <c r="Y509" s="236">
        <v>0</v>
      </c>
      <c r="Z509" s="237">
        <v>595823234</v>
      </c>
      <c r="AA509" s="211">
        <v>70</v>
      </c>
      <c r="AB509" s="212" t="s">
        <v>975</v>
      </c>
      <c r="AC509" s="190" t="s">
        <v>943</v>
      </c>
      <c r="AD509" s="70"/>
    </row>
    <row r="510" spans="1:30" ht="22.35" customHeight="1">
      <c r="A510" s="190" t="s">
        <v>18</v>
      </c>
      <c r="B510" s="215" t="s">
        <v>88</v>
      </c>
      <c r="C510" s="1341">
        <v>44472</v>
      </c>
      <c r="D510" s="216">
        <v>209</v>
      </c>
      <c r="E510" s="214">
        <v>43.16</v>
      </c>
      <c r="F510" s="246">
        <v>9020.06</v>
      </c>
      <c r="G510" s="214">
        <v>0</v>
      </c>
      <c r="H510" s="214">
        <v>306.35000000000002</v>
      </c>
      <c r="I510" s="214">
        <v>0</v>
      </c>
      <c r="J510" s="217">
        <v>8203.15</v>
      </c>
      <c r="K510" s="214"/>
      <c r="L510" s="197" t="s">
        <v>276</v>
      </c>
      <c r="M510" s="194">
        <v>5</v>
      </c>
      <c r="N510" s="244" t="s">
        <v>646</v>
      </c>
      <c r="O510" s="78" t="s">
        <v>283</v>
      </c>
      <c r="P510" s="79" t="s">
        <v>106</v>
      </c>
      <c r="Q510" s="654">
        <v>44356</v>
      </c>
      <c r="R510" s="221" t="s">
        <v>647</v>
      </c>
      <c r="S510" s="80">
        <v>305476557</v>
      </c>
      <c r="T510" s="81"/>
      <c r="U510" s="82" t="s">
        <v>648</v>
      </c>
      <c r="V510" s="77">
        <v>1</v>
      </c>
      <c r="W510" s="77">
        <v>0</v>
      </c>
      <c r="X510" s="77">
        <v>0</v>
      </c>
      <c r="Y510" s="77">
        <v>0</v>
      </c>
      <c r="Z510" s="76">
        <v>501896431</v>
      </c>
      <c r="AA510" s="211">
        <v>116</v>
      </c>
      <c r="AB510" s="212" t="s">
        <v>976</v>
      </c>
      <c r="AC510" s="190" t="s">
        <v>942</v>
      </c>
      <c r="AD510" s="70"/>
    </row>
    <row r="511" spans="1:30" ht="22.35" customHeight="1">
      <c r="A511" s="190" t="s">
        <v>18</v>
      </c>
      <c r="B511" s="215" t="s">
        <v>88</v>
      </c>
      <c r="C511" s="1341">
        <v>44426</v>
      </c>
      <c r="D511" s="216">
        <v>45</v>
      </c>
      <c r="E511" s="214">
        <v>51.86</v>
      </c>
      <c r="F511" s="246">
        <v>2333.75</v>
      </c>
      <c r="G511" s="214">
        <v>0</v>
      </c>
      <c r="H511" s="214">
        <v>74.52</v>
      </c>
      <c r="I511" s="214">
        <v>0</v>
      </c>
      <c r="J511" s="217">
        <v>1995.48</v>
      </c>
      <c r="K511" s="214"/>
      <c r="L511" s="197" t="s">
        <v>276</v>
      </c>
      <c r="M511" s="194">
        <v>5</v>
      </c>
      <c r="N511" s="244" t="s">
        <v>649</v>
      </c>
      <c r="O511" s="78" t="s">
        <v>283</v>
      </c>
      <c r="P511" s="79" t="s">
        <v>106</v>
      </c>
      <c r="Q511" s="654">
        <v>44361</v>
      </c>
      <c r="R511" s="221" t="s">
        <v>650</v>
      </c>
      <c r="S511" s="80">
        <v>383264443</v>
      </c>
      <c r="T511" s="81"/>
      <c r="U511" s="82" t="s">
        <v>651</v>
      </c>
      <c r="V511" s="77">
        <v>1</v>
      </c>
      <c r="W511" s="77">
        <v>0</v>
      </c>
      <c r="X511" s="77">
        <v>0</v>
      </c>
      <c r="Y511" s="77">
        <v>0</v>
      </c>
      <c r="Z511" s="76">
        <v>503932459</v>
      </c>
      <c r="AA511" s="211">
        <v>65</v>
      </c>
      <c r="AB511" s="212" t="s">
        <v>977</v>
      </c>
      <c r="AC511" s="190" t="s">
        <v>943</v>
      </c>
      <c r="AD511" s="70"/>
    </row>
    <row r="512" spans="1:30" ht="22.35" customHeight="1">
      <c r="A512" s="190" t="s">
        <v>15</v>
      </c>
      <c r="B512" s="215" t="s">
        <v>88</v>
      </c>
      <c r="C512" s="1341">
        <v>44423</v>
      </c>
      <c r="D512" s="216">
        <v>289</v>
      </c>
      <c r="E512" s="214">
        <v>44.4</v>
      </c>
      <c r="F512" s="246">
        <v>12831.67</v>
      </c>
      <c r="G512" s="214">
        <v>0</v>
      </c>
      <c r="H512" s="214">
        <v>417.6</v>
      </c>
      <c r="I512" s="214">
        <v>0</v>
      </c>
      <c r="J512" s="217">
        <v>11182.4</v>
      </c>
      <c r="K512" s="214"/>
      <c r="L512" s="197" t="s">
        <v>276</v>
      </c>
      <c r="M512" s="194">
        <v>5</v>
      </c>
      <c r="N512" s="244" t="s">
        <v>652</v>
      </c>
      <c r="O512" s="78" t="s">
        <v>283</v>
      </c>
      <c r="P512" s="79" t="s">
        <v>114</v>
      </c>
      <c r="Q512" s="654">
        <v>44274</v>
      </c>
      <c r="R512" s="221" t="s">
        <v>653</v>
      </c>
      <c r="S512" s="80">
        <v>58910813</v>
      </c>
      <c r="T512" s="81"/>
      <c r="U512" s="82" t="s">
        <v>648</v>
      </c>
      <c r="V512" s="77">
        <v>1</v>
      </c>
      <c r="W512" s="77">
        <v>0</v>
      </c>
      <c r="X512" s="77">
        <v>0</v>
      </c>
      <c r="Y512" s="77">
        <v>0</v>
      </c>
      <c r="Z512" s="76">
        <v>476561804</v>
      </c>
      <c r="AA512" s="211">
        <v>149</v>
      </c>
      <c r="AB512" s="212" t="s">
        <v>977</v>
      </c>
      <c r="AC512" s="190" t="s">
        <v>942</v>
      </c>
      <c r="AD512" s="70"/>
    </row>
    <row r="513" spans="1:30" ht="22.35" customHeight="1">
      <c r="A513" s="190" t="s">
        <v>18</v>
      </c>
      <c r="B513" s="215" t="s">
        <v>88</v>
      </c>
      <c r="C513" s="1341">
        <v>44380</v>
      </c>
      <c r="D513" s="216">
        <v>30</v>
      </c>
      <c r="E513" s="214">
        <v>52.38</v>
      </c>
      <c r="F513" s="246">
        <v>1571.26</v>
      </c>
      <c r="G513" s="214">
        <v>0</v>
      </c>
      <c r="H513" s="214">
        <v>50.22</v>
      </c>
      <c r="I513" s="214">
        <v>0</v>
      </c>
      <c r="J513" s="217">
        <v>1344.78</v>
      </c>
      <c r="K513" s="214"/>
      <c r="L513" s="197" t="s">
        <v>276</v>
      </c>
      <c r="M513" s="194"/>
      <c r="N513" s="244" t="s">
        <v>654</v>
      </c>
      <c r="O513" s="78" t="s">
        <v>283</v>
      </c>
      <c r="P513" s="79" t="s">
        <v>106</v>
      </c>
      <c r="Q513" s="654">
        <v>44363</v>
      </c>
      <c r="R513" s="221" t="s">
        <v>655</v>
      </c>
      <c r="S513" s="80">
        <v>274431626</v>
      </c>
      <c r="T513" s="81"/>
      <c r="U513" s="82" t="s">
        <v>656</v>
      </c>
      <c r="V513" s="77">
        <v>2</v>
      </c>
      <c r="W513" s="77">
        <v>0</v>
      </c>
      <c r="X513" s="77">
        <v>0</v>
      </c>
      <c r="Y513" s="77">
        <v>0</v>
      </c>
      <c r="Z513" s="76">
        <v>504927905</v>
      </c>
      <c r="AA513" s="211">
        <v>17</v>
      </c>
      <c r="AB513" s="212" t="s">
        <v>978</v>
      </c>
      <c r="AC513" s="190" t="s">
        <v>939</v>
      </c>
      <c r="AD513" s="70"/>
    </row>
    <row r="514" spans="1:30" ht="22.35" customHeight="1">
      <c r="A514" s="190" t="s">
        <v>15</v>
      </c>
      <c r="B514" s="215" t="s">
        <v>88</v>
      </c>
      <c r="C514" s="1341">
        <v>44338</v>
      </c>
      <c r="D514" s="216">
        <v>21</v>
      </c>
      <c r="E514" s="214">
        <v>49</v>
      </c>
      <c r="F514" s="246">
        <v>1029.0899999999999</v>
      </c>
      <c r="G514" s="214">
        <v>0</v>
      </c>
      <c r="H514" s="214">
        <v>31.68</v>
      </c>
      <c r="I514" s="214">
        <v>0</v>
      </c>
      <c r="J514" s="217">
        <v>848.32</v>
      </c>
      <c r="K514" s="214"/>
      <c r="L514" s="197" t="s">
        <v>276</v>
      </c>
      <c r="M514" s="194">
        <v>5</v>
      </c>
      <c r="N514" s="244" t="s">
        <v>657</v>
      </c>
      <c r="O514" s="78" t="s">
        <v>283</v>
      </c>
      <c r="P514" s="79" t="s">
        <v>114</v>
      </c>
      <c r="Q514" s="654">
        <v>44284</v>
      </c>
      <c r="R514" s="221" t="s">
        <v>658</v>
      </c>
      <c r="S514" s="80">
        <v>349762243</v>
      </c>
      <c r="T514" s="81"/>
      <c r="U514" s="82" t="s">
        <v>659</v>
      </c>
      <c r="V514" s="77">
        <v>2</v>
      </c>
      <c r="W514" s="77">
        <v>0</v>
      </c>
      <c r="X514" s="77">
        <v>0</v>
      </c>
      <c r="Y514" s="77">
        <v>0</v>
      </c>
      <c r="Z514" s="76">
        <v>479188298</v>
      </c>
      <c r="AA514" s="211">
        <v>54</v>
      </c>
      <c r="AB514" s="212" t="s">
        <v>979</v>
      </c>
      <c r="AC514" s="190" t="s">
        <v>941</v>
      </c>
      <c r="AD514" s="70"/>
    </row>
    <row r="515" spans="1:30" ht="22.35" customHeight="1">
      <c r="A515" s="190" t="s">
        <v>15</v>
      </c>
      <c r="B515" s="215" t="s">
        <v>88</v>
      </c>
      <c r="C515" s="1341">
        <v>44212</v>
      </c>
      <c r="D515" s="216">
        <v>63</v>
      </c>
      <c r="E515" s="214">
        <v>51.45</v>
      </c>
      <c r="F515" s="246">
        <v>3241.31</v>
      </c>
      <c r="G515" s="214">
        <v>0</v>
      </c>
      <c r="H515" s="214">
        <v>103.51</v>
      </c>
      <c r="I515" s="214">
        <v>0</v>
      </c>
      <c r="J515" s="217">
        <v>2771.49</v>
      </c>
      <c r="K515" s="214"/>
      <c r="L515" s="197" t="s">
        <v>276</v>
      </c>
      <c r="M515" s="194">
        <v>5</v>
      </c>
      <c r="N515" s="244" t="s">
        <v>660</v>
      </c>
      <c r="O515" s="78" t="s">
        <v>283</v>
      </c>
      <c r="P515" s="79" t="s">
        <v>114</v>
      </c>
      <c r="Q515" s="654">
        <v>44155</v>
      </c>
      <c r="R515" s="221" t="s">
        <v>661</v>
      </c>
      <c r="S515" s="80">
        <v>151211046</v>
      </c>
      <c r="T515" s="81"/>
      <c r="U515" s="82" t="s">
        <v>662</v>
      </c>
      <c r="V515" s="77">
        <v>1</v>
      </c>
      <c r="W515" s="77">
        <v>0</v>
      </c>
      <c r="X515" s="77">
        <v>0</v>
      </c>
      <c r="Y515" s="77">
        <v>0</v>
      </c>
      <c r="Z515" s="76">
        <v>453405384</v>
      </c>
      <c r="AA515" s="211">
        <v>57</v>
      </c>
      <c r="AB515" s="212" t="s">
        <v>980</v>
      </c>
      <c r="AC515" s="190" t="s">
        <v>941</v>
      </c>
      <c r="AD515" s="70"/>
    </row>
    <row r="516" spans="1:30" ht="22.35" customHeight="1">
      <c r="A516" s="190" t="s">
        <v>15</v>
      </c>
      <c r="B516" s="215" t="s">
        <v>88</v>
      </c>
      <c r="C516" s="1341">
        <v>44201</v>
      </c>
      <c r="D516" s="216">
        <v>2</v>
      </c>
      <c r="E516" s="214">
        <v>81.86</v>
      </c>
      <c r="F516" s="246">
        <v>163.71</v>
      </c>
      <c r="G516" s="214">
        <v>0</v>
      </c>
      <c r="H516" s="214">
        <v>5.04</v>
      </c>
      <c r="I516" s="214">
        <v>0</v>
      </c>
      <c r="J516" s="217">
        <v>134.96</v>
      </c>
      <c r="K516" s="214"/>
      <c r="L516" s="197" t="s">
        <v>276</v>
      </c>
      <c r="M516" s="194">
        <v>5</v>
      </c>
      <c r="N516" s="244" t="s">
        <v>663</v>
      </c>
      <c r="O516" s="78" t="s">
        <v>283</v>
      </c>
      <c r="P516" s="79" t="s">
        <v>114</v>
      </c>
      <c r="Q516" s="654">
        <v>44189</v>
      </c>
      <c r="R516" s="221" t="s">
        <v>664</v>
      </c>
      <c r="S516" s="80">
        <v>77627219</v>
      </c>
      <c r="T516" s="81"/>
      <c r="U516" s="82" t="s">
        <v>665</v>
      </c>
      <c r="V516" s="77">
        <v>1</v>
      </c>
      <c r="W516" s="77">
        <v>0</v>
      </c>
      <c r="X516" s="77">
        <v>0</v>
      </c>
      <c r="Y516" s="77">
        <v>0</v>
      </c>
      <c r="Z516" s="76">
        <v>459835781</v>
      </c>
      <c r="AA516" s="211">
        <v>12</v>
      </c>
      <c r="AB516" s="212" t="s">
        <v>980</v>
      </c>
      <c r="AC516" s="190" t="s">
        <v>939</v>
      </c>
      <c r="AD516" s="70"/>
    </row>
    <row r="517" spans="1:30" ht="22.35" customHeight="1">
      <c r="A517" s="190" t="s">
        <v>15</v>
      </c>
      <c r="B517" s="215" t="s">
        <v>88</v>
      </c>
      <c r="C517" s="1341">
        <v>44193</v>
      </c>
      <c r="D517" s="216">
        <v>4</v>
      </c>
      <c r="E517" s="214">
        <v>68.47</v>
      </c>
      <c r="F517" s="246">
        <v>273.88</v>
      </c>
      <c r="G517" s="214">
        <v>0</v>
      </c>
      <c r="H517" s="214">
        <v>8.64</v>
      </c>
      <c r="I517" s="214">
        <v>0</v>
      </c>
      <c r="J517" s="217">
        <v>231.36</v>
      </c>
      <c r="K517" s="214"/>
      <c r="L517" s="197" t="s">
        <v>276</v>
      </c>
      <c r="M517" s="194">
        <v>5</v>
      </c>
      <c r="N517" s="244" t="s">
        <v>666</v>
      </c>
      <c r="O517" s="78" t="s">
        <v>283</v>
      </c>
      <c r="P517" s="79" t="s">
        <v>114</v>
      </c>
      <c r="Q517" s="654">
        <v>44162</v>
      </c>
      <c r="R517" s="221" t="s">
        <v>667</v>
      </c>
      <c r="S517" s="80">
        <v>8709940</v>
      </c>
      <c r="T517" s="81"/>
      <c r="U517" s="82" t="s">
        <v>668</v>
      </c>
      <c r="V517" s="77">
        <v>1</v>
      </c>
      <c r="W517" s="77">
        <v>0</v>
      </c>
      <c r="X517" s="77">
        <v>0</v>
      </c>
      <c r="Y517" s="77">
        <v>0</v>
      </c>
      <c r="Z517" s="76">
        <v>454437923</v>
      </c>
      <c r="AA517" s="211">
        <v>31</v>
      </c>
      <c r="AB517" s="212" t="s">
        <v>981</v>
      </c>
      <c r="AC517" s="190" t="s">
        <v>941</v>
      </c>
      <c r="AD517" s="70"/>
    </row>
    <row r="518" spans="1:30" ht="22.35" customHeight="1">
      <c r="A518" s="190" t="s">
        <v>18</v>
      </c>
      <c r="B518" s="215" t="s">
        <v>88</v>
      </c>
      <c r="C518" s="1341">
        <v>43645</v>
      </c>
      <c r="D518" s="216">
        <v>64</v>
      </c>
      <c r="E518" s="214">
        <v>0</v>
      </c>
      <c r="F518" s="246">
        <v>0</v>
      </c>
      <c r="G518" s="214"/>
      <c r="H518" s="214">
        <v>0</v>
      </c>
      <c r="I518" s="214"/>
      <c r="J518" s="217">
        <v>-44</v>
      </c>
      <c r="K518" s="214"/>
      <c r="L518" s="197" t="s">
        <v>276</v>
      </c>
      <c r="M518" s="194">
        <v>5</v>
      </c>
      <c r="N518" s="244" t="s">
        <v>1736</v>
      </c>
      <c r="O518" s="78" t="s">
        <v>283</v>
      </c>
      <c r="P518" s="79" t="s">
        <v>106</v>
      </c>
      <c r="Q518" s="654">
        <v>43478</v>
      </c>
      <c r="R518" s="221"/>
      <c r="S518" s="80">
        <v>23749672</v>
      </c>
      <c r="T518" s="81"/>
      <c r="U518" s="82" t="s">
        <v>1737</v>
      </c>
      <c r="V518" s="77">
        <v>1</v>
      </c>
      <c r="W518" s="77">
        <v>0</v>
      </c>
      <c r="X518" s="77">
        <v>0</v>
      </c>
      <c r="Y518" s="77">
        <v>0</v>
      </c>
      <c r="Z518" s="76">
        <v>243414188</v>
      </c>
      <c r="AA518" s="211">
        <v>20</v>
      </c>
      <c r="AB518" s="212" t="s">
        <v>982</v>
      </c>
      <c r="AC518" s="190" t="s">
        <v>939</v>
      </c>
      <c r="AD518" s="70"/>
    </row>
    <row r="519" spans="1:30" ht="22.35" customHeight="1">
      <c r="A519" s="190" t="s">
        <v>18</v>
      </c>
      <c r="B519" s="215" t="s">
        <v>88</v>
      </c>
      <c r="C519" s="1341">
        <v>43586</v>
      </c>
      <c r="D519" s="216">
        <v>30</v>
      </c>
      <c r="E519" s="190">
        <v>0</v>
      </c>
      <c r="F519" s="246">
        <v>0</v>
      </c>
      <c r="G519" s="190"/>
      <c r="H519" s="190">
        <v>0</v>
      </c>
      <c r="I519" s="190"/>
      <c r="J519" s="228">
        <v>-44</v>
      </c>
      <c r="K519" s="229"/>
      <c r="L519" s="197" t="s">
        <v>276</v>
      </c>
      <c r="M519" s="194"/>
      <c r="N519" s="244" t="s">
        <v>1738</v>
      </c>
      <c r="O519" s="78" t="s">
        <v>283</v>
      </c>
      <c r="P519" s="79" t="s">
        <v>106</v>
      </c>
      <c r="Q519" s="654">
        <v>43483</v>
      </c>
      <c r="R519" s="221"/>
      <c r="S519" s="80">
        <v>237363297</v>
      </c>
      <c r="T519" s="78"/>
      <c r="U519" s="82" t="s">
        <v>393</v>
      </c>
      <c r="V519" s="77">
        <v>2</v>
      </c>
      <c r="W519" s="77">
        <v>0</v>
      </c>
      <c r="X519" s="77">
        <v>0</v>
      </c>
      <c r="Y519" s="77">
        <v>0</v>
      </c>
      <c r="Z519" s="76">
        <v>245172832</v>
      </c>
      <c r="AA519" s="211"/>
      <c r="AB519" s="211"/>
      <c r="AC519" s="190"/>
      <c r="AD519" s="70"/>
    </row>
    <row r="520" spans="1:30" ht="22.35" customHeight="1">
      <c r="A520" s="300" t="s">
        <v>18</v>
      </c>
      <c r="B520" s="315" t="s">
        <v>88</v>
      </c>
      <c r="C520" s="1337">
        <v>43560</v>
      </c>
      <c r="D520" s="316">
        <v>18</v>
      </c>
      <c r="E520" s="300">
        <v>0</v>
      </c>
      <c r="F520" s="392">
        <v>0</v>
      </c>
      <c r="G520" s="300"/>
      <c r="H520" s="300">
        <v>0</v>
      </c>
      <c r="I520" s="300"/>
      <c r="J520" s="317">
        <v>-44</v>
      </c>
      <c r="K520" s="318"/>
      <c r="L520" s="197" t="s">
        <v>276</v>
      </c>
      <c r="M520" s="320"/>
      <c r="N520" s="580" t="s">
        <v>1739</v>
      </c>
      <c r="O520" s="78" t="s">
        <v>283</v>
      </c>
      <c r="P520" s="79" t="s">
        <v>106</v>
      </c>
      <c r="Q520" s="654">
        <v>43487</v>
      </c>
      <c r="R520" s="321"/>
      <c r="S520" s="80">
        <v>237249555</v>
      </c>
      <c r="T520" s="78"/>
      <c r="U520" s="82" t="s">
        <v>1740</v>
      </c>
      <c r="V520" s="77">
        <v>2</v>
      </c>
      <c r="W520" s="77">
        <v>0</v>
      </c>
      <c r="X520" s="77">
        <v>0</v>
      </c>
      <c r="Y520" s="77">
        <v>0</v>
      </c>
      <c r="Z520" s="76">
        <v>246232938</v>
      </c>
      <c r="AA520" s="322"/>
      <c r="AB520" s="322"/>
      <c r="AC520" s="300"/>
      <c r="AD520" s="70"/>
    </row>
    <row r="521" spans="1:30" ht="22.35" customHeight="1">
      <c r="A521" s="300" t="s">
        <v>18</v>
      </c>
      <c r="B521" s="315" t="s">
        <v>88</v>
      </c>
      <c r="C521" s="1337">
        <v>42918</v>
      </c>
      <c r="D521" s="316">
        <v>30</v>
      </c>
      <c r="E521" s="300">
        <v>59.69</v>
      </c>
      <c r="F521" s="392">
        <v>1790.83</v>
      </c>
      <c r="G521" s="300">
        <v>30.37</v>
      </c>
      <c r="H521" s="300">
        <v>58.96</v>
      </c>
      <c r="I521" s="300"/>
      <c r="J521" s="317">
        <v>1590</v>
      </c>
      <c r="K521" s="318"/>
      <c r="L521" s="197" t="s">
        <v>276</v>
      </c>
      <c r="M521" s="320">
        <v>4</v>
      </c>
      <c r="N521" s="580" t="s">
        <v>1741</v>
      </c>
      <c r="O521" s="78" t="s">
        <v>283</v>
      </c>
      <c r="P521" s="79" t="s">
        <v>106</v>
      </c>
      <c r="Q521" s="654">
        <v>42897</v>
      </c>
      <c r="R521" s="321" t="s">
        <v>1742</v>
      </c>
      <c r="S521" s="80">
        <v>134132226</v>
      </c>
      <c r="T521" s="78"/>
      <c r="U521" s="82" t="s">
        <v>1743</v>
      </c>
      <c r="V521" s="77">
        <v>1</v>
      </c>
      <c r="W521" s="77">
        <v>0</v>
      </c>
      <c r="X521" s="77">
        <v>0</v>
      </c>
      <c r="Y521" s="77">
        <v>0</v>
      </c>
      <c r="Z521" s="76">
        <v>98976088</v>
      </c>
      <c r="AA521" s="322"/>
      <c r="AB521" s="322"/>
      <c r="AC521" s="300"/>
      <c r="AD521" s="70"/>
    </row>
    <row r="522" spans="1:30" ht="22.35" customHeight="1">
      <c r="A522" s="300" t="s">
        <v>18</v>
      </c>
      <c r="B522" s="315" t="s">
        <v>88</v>
      </c>
      <c r="C522" s="1337">
        <v>42888</v>
      </c>
      <c r="D522" s="316">
        <v>13</v>
      </c>
      <c r="E522" s="300">
        <v>63.66</v>
      </c>
      <c r="F522" s="392">
        <v>827.56</v>
      </c>
      <c r="G522" s="300"/>
      <c r="H522" s="300">
        <v>24.98</v>
      </c>
      <c r="I522" s="300"/>
      <c r="J522" s="317">
        <v>676</v>
      </c>
      <c r="K522" s="318"/>
      <c r="L522" s="197" t="s">
        <v>276</v>
      </c>
      <c r="M522" s="320">
        <v>5</v>
      </c>
      <c r="N522" s="580" t="s">
        <v>1744</v>
      </c>
      <c r="O522" s="78" t="s">
        <v>283</v>
      </c>
      <c r="P522" s="79" t="s">
        <v>106</v>
      </c>
      <c r="Q522" s="654">
        <v>42877</v>
      </c>
      <c r="R522" s="321" t="s">
        <v>1745</v>
      </c>
      <c r="S522" s="80">
        <v>13159142</v>
      </c>
      <c r="T522" s="78"/>
      <c r="U522" s="82" t="s">
        <v>1746</v>
      </c>
      <c r="V522" s="77">
        <v>2</v>
      </c>
      <c r="W522" s="77">
        <v>0</v>
      </c>
      <c r="X522" s="77">
        <v>0</v>
      </c>
      <c r="Y522" s="77">
        <v>0</v>
      </c>
      <c r="Z522" s="76">
        <v>94855117</v>
      </c>
      <c r="AA522" s="322"/>
      <c r="AB522" s="322"/>
      <c r="AC522" s="300"/>
      <c r="AD522" s="70"/>
    </row>
    <row r="523" spans="1:30" ht="22.35" customHeight="1">
      <c r="A523" s="300" t="s">
        <v>18</v>
      </c>
      <c r="B523" s="315" t="s">
        <v>88</v>
      </c>
      <c r="C523" s="1337">
        <v>42879</v>
      </c>
      <c r="D523" s="316">
        <v>6</v>
      </c>
      <c r="E523" s="300">
        <v>74.989999999999995</v>
      </c>
      <c r="F523" s="392">
        <v>449.93</v>
      </c>
      <c r="G523" s="300">
        <v>30</v>
      </c>
      <c r="H523" s="300">
        <v>13.13</v>
      </c>
      <c r="I523" s="300"/>
      <c r="J523" s="317">
        <v>377</v>
      </c>
      <c r="K523" s="318"/>
      <c r="L523" s="197" t="s">
        <v>276</v>
      </c>
      <c r="M523" s="320">
        <v>4</v>
      </c>
      <c r="N523" s="580" t="s">
        <v>1747</v>
      </c>
      <c r="O523" s="78" t="s">
        <v>283</v>
      </c>
      <c r="P523" s="79" t="s">
        <v>106</v>
      </c>
      <c r="Q523" s="654">
        <v>42830</v>
      </c>
      <c r="R523" s="321" t="s">
        <v>1748</v>
      </c>
      <c r="S523" s="80">
        <v>27513405</v>
      </c>
      <c r="T523" s="78"/>
      <c r="U523" s="82" t="s">
        <v>1749</v>
      </c>
      <c r="V523" s="77">
        <v>2</v>
      </c>
      <c r="W523" s="77">
        <v>0</v>
      </c>
      <c r="X523" s="77">
        <v>0</v>
      </c>
      <c r="Y523" s="77">
        <v>0</v>
      </c>
      <c r="Z523" s="76">
        <v>86150851</v>
      </c>
      <c r="AA523" s="322"/>
      <c r="AB523" s="322"/>
      <c r="AC523" s="300"/>
      <c r="AD523" s="70"/>
    </row>
    <row r="524" spans="1:30" ht="22.35" customHeight="1">
      <c r="A524" s="300" t="s">
        <v>18</v>
      </c>
      <c r="B524" s="315" t="s">
        <v>88</v>
      </c>
      <c r="C524" s="1337">
        <v>42872</v>
      </c>
      <c r="D524" s="316">
        <v>4</v>
      </c>
      <c r="E524" s="300">
        <v>77.59</v>
      </c>
      <c r="F524" s="392">
        <v>310.37</v>
      </c>
      <c r="G524" s="300">
        <v>30.39</v>
      </c>
      <c r="H524" s="300">
        <v>9.1999999999999993</v>
      </c>
      <c r="I524" s="300"/>
      <c r="J524" s="317">
        <v>260</v>
      </c>
      <c r="K524" s="318"/>
      <c r="L524" s="197" t="s">
        <v>276</v>
      </c>
      <c r="M524" s="320">
        <v>5</v>
      </c>
      <c r="N524" s="580" t="s">
        <v>1750</v>
      </c>
      <c r="O524" s="78" t="s">
        <v>283</v>
      </c>
      <c r="P524" s="79" t="s">
        <v>106</v>
      </c>
      <c r="Q524" s="654">
        <v>42851</v>
      </c>
      <c r="R524" s="321" t="s">
        <v>1751</v>
      </c>
      <c r="S524" s="80">
        <v>36335177</v>
      </c>
      <c r="T524" s="78"/>
      <c r="U524" s="82" t="s">
        <v>1752</v>
      </c>
      <c r="V524" s="77">
        <v>2</v>
      </c>
      <c r="W524" s="77">
        <v>0</v>
      </c>
      <c r="X524" s="77">
        <v>0</v>
      </c>
      <c r="Y524" s="77">
        <v>0</v>
      </c>
      <c r="Z524" s="76">
        <v>89889260</v>
      </c>
      <c r="AA524" s="322"/>
      <c r="AB524" s="322"/>
      <c r="AC524" s="300"/>
      <c r="AD524" s="70"/>
    </row>
    <row r="525" spans="1:30" ht="22.35" customHeight="1">
      <c r="A525" s="300" t="s">
        <v>18</v>
      </c>
      <c r="B525" s="315" t="s">
        <v>88</v>
      </c>
      <c r="C525" s="1337">
        <v>42737</v>
      </c>
      <c r="D525" s="316">
        <v>88</v>
      </c>
      <c r="E525" s="300">
        <v>39.909999999999997</v>
      </c>
      <c r="F525" s="392">
        <v>3511.69</v>
      </c>
      <c r="G525" s="300">
        <v>29.17</v>
      </c>
      <c r="H525" s="300">
        <v>115.76</v>
      </c>
      <c r="I525" s="300"/>
      <c r="J525" s="317">
        <v>3100</v>
      </c>
      <c r="K525" s="318"/>
      <c r="L525" s="197" t="s">
        <v>276</v>
      </c>
      <c r="M525" s="320">
        <v>5</v>
      </c>
      <c r="N525" s="580" t="s">
        <v>1753</v>
      </c>
      <c r="O525" s="78" t="s">
        <v>283</v>
      </c>
      <c r="P525" s="79" t="s">
        <v>106</v>
      </c>
      <c r="Q525" s="654">
        <v>42697</v>
      </c>
      <c r="R525" s="321" t="s">
        <v>1754</v>
      </c>
      <c r="S525" s="80">
        <v>31487445</v>
      </c>
      <c r="T525" s="78"/>
      <c r="U525" s="82" t="s">
        <v>1755</v>
      </c>
      <c r="V525" s="77">
        <v>1</v>
      </c>
      <c r="W525" s="77">
        <v>0</v>
      </c>
      <c r="X525" s="77">
        <v>0</v>
      </c>
      <c r="Y525" s="77">
        <v>0</v>
      </c>
      <c r="Z525" s="76">
        <v>68427593</v>
      </c>
      <c r="AA525" s="322"/>
      <c r="AB525" s="322"/>
      <c r="AC525" s="300"/>
      <c r="AD525" s="70"/>
    </row>
    <row r="526" spans="1:30" ht="22.35" customHeight="1">
      <c r="A526" s="300" t="s">
        <v>18</v>
      </c>
      <c r="B526" s="315" t="s">
        <v>88</v>
      </c>
      <c r="C526" s="1337">
        <v>42656</v>
      </c>
      <c r="D526" s="316">
        <v>4</v>
      </c>
      <c r="E526" s="300">
        <v>0</v>
      </c>
      <c r="F526" s="392">
        <v>0</v>
      </c>
      <c r="G526" s="300"/>
      <c r="H526" s="300">
        <v>0</v>
      </c>
      <c r="I526" s="300"/>
      <c r="J526" s="317">
        <v>0</v>
      </c>
      <c r="K526" s="318"/>
      <c r="L526" s="197" t="s">
        <v>276</v>
      </c>
      <c r="M526" s="320"/>
      <c r="N526" s="580" t="s">
        <v>1756</v>
      </c>
      <c r="O526" s="78" t="s">
        <v>283</v>
      </c>
      <c r="P526" s="79" t="s">
        <v>106</v>
      </c>
      <c r="Q526" s="654">
        <v>42646</v>
      </c>
      <c r="R526" s="321"/>
      <c r="S526" s="80">
        <v>41718004</v>
      </c>
      <c r="T526" s="78"/>
      <c r="U526" s="82" t="s">
        <v>1757</v>
      </c>
      <c r="V526" s="77">
        <v>1</v>
      </c>
      <c r="W526" s="77">
        <v>0</v>
      </c>
      <c r="X526" s="77">
        <v>0</v>
      </c>
      <c r="Y526" s="77">
        <v>0</v>
      </c>
      <c r="Z526" s="76">
        <v>63001465</v>
      </c>
      <c r="AA526" s="322"/>
      <c r="AB526" s="322"/>
      <c r="AC526" s="300"/>
      <c r="AD526" s="70"/>
    </row>
    <row r="527" spans="1:30" ht="22.35" customHeight="1">
      <c r="A527" s="300" t="s">
        <v>18</v>
      </c>
      <c r="B527" s="315" t="s">
        <v>88</v>
      </c>
      <c r="C527" s="1337">
        <v>42646</v>
      </c>
      <c r="D527" s="316">
        <v>7</v>
      </c>
      <c r="E527" s="300">
        <v>70.78</v>
      </c>
      <c r="F527" s="392">
        <v>495.44</v>
      </c>
      <c r="G527" s="300">
        <v>30.23</v>
      </c>
      <c r="H527" s="300">
        <v>15.12</v>
      </c>
      <c r="I527" s="300"/>
      <c r="J527" s="317">
        <v>414</v>
      </c>
      <c r="K527" s="318"/>
      <c r="L527" s="197" t="s">
        <v>276</v>
      </c>
      <c r="M527" s="320"/>
      <c r="N527" s="580" t="s">
        <v>1758</v>
      </c>
      <c r="O527" s="78" t="s">
        <v>283</v>
      </c>
      <c r="P527" s="79" t="s">
        <v>106</v>
      </c>
      <c r="Q527" s="654">
        <v>42646</v>
      </c>
      <c r="R527" s="321" t="s">
        <v>1759</v>
      </c>
      <c r="S527" s="80">
        <v>92200795</v>
      </c>
      <c r="T527" s="78"/>
      <c r="U527" s="82" t="s">
        <v>1760</v>
      </c>
      <c r="V527" s="77">
        <v>1</v>
      </c>
      <c r="W527" s="77">
        <v>0</v>
      </c>
      <c r="X527" s="77">
        <v>0</v>
      </c>
      <c r="Y527" s="77">
        <v>0</v>
      </c>
      <c r="Z527" s="76">
        <v>63071364</v>
      </c>
      <c r="AA527" s="322"/>
      <c r="AB527" s="322"/>
      <c r="AC527" s="300"/>
      <c r="AD527" s="70"/>
    </row>
    <row r="528" spans="1:30" ht="22.35" customHeight="1">
      <c r="A528" s="300" t="s">
        <v>18</v>
      </c>
      <c r="B528" s="315" t="s">
        <v>88</v>
      </c>
      <c r="C528" s="1337">
        <v>42646</v>
      </c>
      <c r="D528" s="316">
        <v>7</v>
      </c>
      <c r="E528" s="300">
        <v>70.78</v>
      </c>
      <c r="F528" s="392">
        <v>495.44</v>
      </c>
      <c r="G528" s="300">
        <v>30.23</v>
      </c>
      <c r="H528" s="300">
        <v>15.12</v>
      </c>
      <c r="I528" s="300"/>
      <c r="J528" s="317">
        <v>414</v>
      </c>
      <c r="K528" s="318"/>
      <c r="L528" s="197" t="s">
        <v>276</v>
      </c>
      <c r="M528" s="320"/>
      <c r="N528" s="580" t="s">
        <v>1758</v>
      </c>
      <c r="O528" s="78" t="s">
        <v>283</v>
      </c>
      <c r="P528" s="79" t="s">
        <v>106</v>
      </c>
      <c r="Q528" s="654">
        <v>42646</v>
      </c>
      <c r="R528" s="321" t="s">
        <v>1759</v>
      </c>
      <c r="S528" s="80">
        <v>92200795</v>
      </c>
      <c r="T528" s="78"/>
      <c r="U528" s="82" t="s">
        <v>1760</v>
      </c>
      <c r="V528" s="77">
        <v>1</v>
      </c>
      <c r="W528" s="77">
        <v>0</v>
      </c>
      <c r="X528" s="77">
        <v>0</v>
      </c>
      <c r="Y528" s="77">
        <v>0</v>
      </c>
      <c r="Z528" s="76">
        <v>63071364</v>
      </c>
      <c r="AA528" s="322"/>
      <c r="AB528" s="322"/>
      <c r="AC528" s="300"/>
      <c r="AD528" s="70"/>
    </row>
    <row r="529" spans="1:30" ht="22.35" customHeight="1">
      <c r="A529" s="300" t="s">
        <v>18</v>
      </c>
      <c r="B529" s="315" t="s">
        <v>88</v>
      </c>
      <c r="C529" s="1337">
        <v>42646</v>
      </c>
      <c r="D529" s="316">
        <v>7</v>
      </c>
      <c r="E529" s="300">
        <v>70.78</v>
      </c>
      <c r="F529" s="392">
        <v>495.44</v>
      </c>
      <c r="G529" s="300">
        <v>30.23</v>
      </c>
      <c r="H529" s="300">
        <v>15.12</v>
      </c>
      <c r="I529" s="300"/>
      <c r="J529" s="317">
        <v>414</v>
      </c>
      <c r="K529" s="318"/>
      <c r="L529" s="197" t="s">
        <v>276</v>
      </c>
      <c r="M529" s="320"/>
      <c r="N529" s="580" t="s">
        <v>1758</v>
      </c>
      <c r="O529" s="78" t="s">
        <v>283</v>
      </c>
      <c r="P529" s="79" t="s">
        <v>106</v>
      </c>
      <c r="Q529" s="654">
        <v>42646</v>
      </c>
      <c r="R529" s="321" t="s">
        <v>1759</v>
      </c>
      <c r="S529" s="80">
        <v>92200795</v>
      </c>
      <c r="T529" s="78"/>
      <c r="U529" s="82" t="s">
        <v>1760</v>
      </c>
      <c r="V529" s="77">
        <v>1</v>
      </c>
      <c r="W529" s="77">
        <v>0</v>
      </c>
      <c r="X529" s="77">
        <v>0</v>
      </c>
      <c r="Y529" s="77">
        <v>0</v>
      </c>
      <c r="Z529" s="76">
        <v>63071364</v>
      </c>
      <c r="AA529" s="322"/>
      <c r="AB529" s="322"/>
      <c r="AC529" s="300"/>
      <c r="AD529" s="70"/>
    </row>
    <row r="530" spans="1:30" ht="22.35" customHeight="1">
      <c r="A530" s="300" t="s">
        <v>18</v>
      </c>
      <c r="B530" s="315" t="s">
        <v>88</v>
      </c>
      <c r="C530" s="1337">
        <v>42515</v>
      </c>
      <c r="D530" s="316">
        <v>1</v>
      </c>
      <c r="E530" s="300">
        <v>399.61</v>
      </c>
      <c r="F530" s="392">
        <v>399.61</v>
      </c>
      <c r="G530" s="300"/>
      <c r="H530" s="300">
        <v>12.19</v>
      </c>
      <c r="I530" s="300"/>
      <c r="J530" s="317">
        <v>338</v>
      </c>
      <c r="K530" s="318"/>
      <c r="L530" s="197" t="s">
        <v>276</v>
      </c>
      <c r="M530" s="320"/>
      <c r="N530" s="580" t="s">
        <v>1761</v>
      </c>
      <c r="O530" s="78" t="s">
        <v>283</v>
      </c>
      <c r="P530" s="79" t="s">
        <v>1762</v>
      </c>
      <c r="Q530" s="654">
        <v>42494</v>
      </c>
      <c r="R530" s="321" t="s">
        <v>1763</v>
      </c>
      <c r="S530" s="80">
        <v>69502981</v>
      </c>
      <c r="T530" s="78"/>
      <c r="U530" s="82" t="s">
        <v>648</v>
      </c>
      <c r="V530" s="77">
        <v>1</v>
      </c>
      <c r="W530" s="77">
        <v>0</v>
      </c>
      <c r="X530" s="77">
        <v>0</v>
      </c>
      <c r="Y530" s="77">
        <v>0</v>
      </c>
      <c r="Z530" s="76">
        <v>44119370</v>
      </c>
      <c r="AA530" s="322"/>
      <c r="AB530" s="322"/>
      <c r="AC530" s="300"/>
      <c r="AD530" s="70"/>
    </row>
    <row r="531" spans="1:30" ht="22.35" customHeight="1">
      <c r="A531" s="300" t="s">
        <v>18</v>
      </c>
      <c r="B531" s="315" t="s">
        <v>88</v>
      </c>
      <c r="C531" s="1337">
        <v>42515</v>
      </c>
      <c r="D531" s="316">
        <v>1</v>
      </c>
      <c r="E531" s="300">
        <v>399.61</v>
      </c>
      <c r="F531" s="392">
        <v>399.61</v>
      </c>
      <c r="G531" s="300"/>
      <c r="H531" s="300">
        <v>12.19</v>
      </c>
      <c r="I531" s="300"/>
      <c r="J531" s="317">
        <v>338</v>
      </c>
      <c r="K531" s="318"/>
      <c r="L531" s="197" t="s">
        <v>276</v>
      </c>
      <c r="M531" s="320"/>
      <c r="N531" s="580" t="s">
        <v>1761</v>
      </c>
      <c r="O531" s="78" t="s">
        <v>283</v>
      </c>
      <c r="P531" s="79" t="s">
        <v>1762</v>
      </c>
      <c r="Q531" s="654">
        <v>42494</v>
      </c>
      <c r="R531" s="321" t="s">
        <v>1763</v>
      </c>
      <c r="S531" s="80">
        <v>69502981</v>
      </c>
      <c r="T531" s="78"/>
      <c r="U531" s="82" t="s">
        <v>648</v>
      </c>
      <c r="V531" s="77">
        <v>1</v>
      </c>
      <c r="W531" s="77">
        <v>0</v>
      </c>
      <c r="X531" s="77">
        <v>0</v>
      </c>
      <c r="Y531" s="77">
        <v>0</v>
      </c>
      <c r="Z531" s="76">
        <v>44119370</v>
      </c>
      <c r="AA531" s="322"/>
      <c r="AB531" s="322"/>
      <c r="AC531" s="300"/>
      <c r="AD531" s="70"/>
    </row>
    <row r="532" spans="1:30" ht="22.35" customHeight="1">
      <c r="A532" s="300" t="s">
        <v>18</v>
      </c>
      <c r="B532" s="315" t="s">
        <v>88</v>
      </c>
      <c r="C532" s="1337">
        <v>42515</v>
      </c>
      <c r="D532" s="316">
        <v>1</v>
      </c>
      <c r="E532" s="300">
        <v>399.61</v>
      </c>
      <c r="F532" s="392">
        <v>399.61</v>
      </c>
      <c r="G532" s="300"/>
      <c r="H532" s="300">
        <v>12.19</v>
      </c>
      <c r="I532" s="300"/>
      <c r="J532" s="317">
        <v>338</v>
      </c>
      <c r="K532" s="318"/>
      <c r="L532" s="197" t="s">
        <v>276</v>
      </c>
      <c r="M532" s="320"/>
      <c r="N532" s="580" t="s">
        <v>1761</v>
      </c>
      <c r="O532" s="78" t="s">
        <v>283</v>
      </c>
      <c r="P532" s="79" t="s">
        <v>1762</v>
      </c>
      <c r="Q532" s="654">
        <v>42494</v>
      </c>
      <c r="R532" s="321" t="s">
        <v>1763</v>
      </c>
      <c r="S532" s="80">
        <v>69502981</v>
      </c>
      <c r="T532" s="78"/>
      <c r="U532" s="82" t="s">
        <v>648</v>
      </c>
      <c r="V532" s="77">
        <v>1</v>
      </c>
      <c r="W532" s="77">
        <v>0</v>
      </c>
      <c r="X532" s="77">
        <v>0</v>
      </c>
      <c r="Y532" s="77">
        <v>0</v>
      </c>
      <c r="Z532" s="76">
        <v>44119370</v>
      </c>
      <c r="AA532" s="322"/>
      <c r="AB532" s="322"/>
      <c r="AC532" s="300"/>
      <c r="AD532" s="70"/>
    </row>
    <row r="533" spans="1:30" ht="22.35" customHeight="1">
      <c r="A533" s="300" t="s">
        <v>18</v>
      </c>
      <c r="B533" s="315" t="s">
        <v>88</v>
      </c>
      <c r="C533" s="1337">
        <v>42515</v>
      </c>
      <c r="D533" s="316">
        <v>1</v>
      </c>
      <c r="E533" s="300">
        <v>399.61</v>
      </c>
      <c r="F533" s="392">
        <v>399.61</v>
      </c>
      <c r="G533" s="300"/>
      <c r="H533" s="300">
        <v>12.19</v>
      </c>
      <c r="I533" s="300"/>
      <c r="J533" s="317">
        <v>338</v>
      </c>
      <c r="K533" s="318"/>
      <c r="L533" s="197" t="s">
        <v>276</v>
      </c>
      <c r="M533" s="320"/>
      <c r="N533" s="580" t="s">
        <v>1761</v>
      </c>
      <c r="O533" s="78" t="s">
        <v>283</v>
      </c>
      <c r="P533" s="79" t="s">
        <v>1762</v>
      </c>
      <c r="Q533" s="654">
        <v>42494</v>
      </c>
      <c r="R533" s="321" t="s">
        <v>1763</v>
      </c>
      <c r="S533" s="80">
        <v>69502981</v>
      </c>
      <c r="T533" s="78"/>
      <c r="U533" s="82" t="s">
        <v>648</v>
      </c>
      <c r="V533" s="77">
        <v>1</v>
      </c>
      <c r="W533" s="77">
        <v>0</v>
      </c>
      <c r="X533" s="77">
        <v>0</v>
      </c>
      <c r="Y533" s="77">
        <v>0</v>
      </c>
      <c r="Z533" s="76">
        <v>44119370</v>
      </c>
      <c r="AA533" s="322"/>
      <c r="AB533" s="322"/>
      <c r="AC533" s="300"/>
      <c r="AD533" s="70"/>
    </row>
    <row r="534" spans="1:30" ht="22.35" customHeight="1">
      <c r="A534" s="300" t="s">
        <v>18</v>
      </c>
      <c r="B534" s="315" t="s">
        <v>88</v>
      </c>
      <c r="C534" s="1337">
        <v>42515</v>
      </c>
      <c r="D534" s="316">
        <v>1</v>
      </c>
      <c r="E534" s="300">
        <v>399.61</v>
      </c>
      <c r="F534" s="392">
        <v>399.61</v>
      </c>
      <c r="G534" s="300"/>
      <c r="H534" s="300">
        <v>12.19</v>
      </c>
      <c r="I534" s="300"/>
      <c r="J534" s="317">
        <v>338</v>
      </c>
      <c r="K534" s="318"/>
      <c r="L534" s="197" t="s">
        <v>276</v>
      </c>
      <c r="M534" s="320"/>
      <c r="N534" s="580" t="s">
        <v>1761</v>
      </c>
      <c r="O534" s="78" t="s">
        <v>283</v>
      </c>
      <c r="P534" s="79" t="s">
        <v>1762</v>
      </c>
      <c r="Q534" s="654">
        <v>42494</v>
      </c>
      <c r="R534" s="321" t="s">
        <v>1763</v>
      </c>
      <c r="S534" s="80">
        <v>69502981</v>
      </c>
      <c r="T534" s="78"/>
      <c r="U534" s="82" t="s">
        <v>648</v>
      </c>
      <c r="V534" s="77">
        <v>1</v>
      </c>
      <c r="W534" s="77">
        <v>0</v>
      </c>
      <c r="X534" s="77">
        <v>0</v>
      </c>
      <c r="Y534" s="77">
        <v>0</v>
      </c>
      <c r="Z534" s="76">
        <v>44119370</v>
      </c>
      <c r="AA534" s="322"/>
      <c r="AB534" s="322"/>
      <c r="AC534" s="300"/>
      <c r="AD534" s="70"/>
    </row>
    <row r="535" spans="1:30" ht="22.35" customHeight="1">
      <c r="A535" s="526"/>
      <c r="B535" s="527"/>
      <c r="C535" s="528"/>
      <c r="D535" s="304">
        <f>SUBTOTAL(103,ListeRésas[Nb Nuits])</f>
        <v>529</v>
      </c>
      <c r="E535" s="526"/>
      <c r="F535" s="529">
        <f>SUBTOTAL(109,ListeRésas[Prix])</f>
        <v>694049.88999999966</v>
      </c>
      <c r="G535" s="526">
        <f>SUBTOTAL(109,ListeRésas[Ménage])</f>
        <v>37030.62000000001</v>
      </c>
      <c r="H535" s="526">
        <f>SUBTOTAL(109,ListeRésas[Frais channel])</f>
        <v>81901.080000000075</v>
      </c>
      <c r="I535" s="526">
        <f>SUBTOTAL(109,ListeRésas[Frais Conciergerie])</f>
        <v>129614.78</v>
      </c>
      <c r="J535" s="530">
        <f>SUBTOTAL(109,ListeRésas[Versement])</f>
        <v>530349.75000000023</v>
      </c>
      <c r="K535" s="531"/>
      <c r="L535" s="532"/>
      <c r="M535" s="533"/>
      <c r="N535" s="583"/>
      <c r="O535" s="534" t="s">
        <v>3429</v>
      </c>
      <c r="P535" s="74"/>
      <c r="Q535" s="535"/>
      <c r="R535" s="536"/>
      <c r="S535" s="75"/>
      <c r="T535" s="534"/>
      <c r="U535" s="537"/>
      <c r="V535" s="538"/>
      <c r="W535" s="538"/>
      <c r="X535" s="538"/>
      <c r="Y535" s="538"/>
      <c r="Z535" s="538"/>
      <c r="AA535" s="539"/>
      <c r="AB535" s="539"/>
      <c r="AC535" s="526"/>
      <c r="AD535" s="534"/>
    </row>
    <row r="536" spans="1:30" ht="22.35" customHeight="1">
      <c r="E536" s="21"/>
      <c r="G536" s="21"/>
      <c r="H536" s="21"/>
      <c r="I536" s="21"/>
      <c r="J536" s="21"/>
      <c r="K536" s="21"/>
    </row>
    <row r="537" spans="1:30" ht="22.35" customHeight="1">
      <c r="E537" s="21"/>
      <c r="G537" s="21"/>
      <c r="H537" s="21"/>
      <c r="I537" s="21"/>
      <c r="J537" s="21"/>
      <c r="K537" s="21"/>
    </row>
    <row r="538" spans="1:30" ht="22.35" customHeight="1">
      <c r="E538" s="21"/>
      <c r="G538" s="21"/>
      <c r="H538" s="21"/>
      <c r="I538" s="21"/>
      <c r="J538" s="21"/>
      <c r="K538" s="2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6867" r:id="rId4" name="SpinButton1">
          <controlPr defaultSize="0" autoLine="0" r:id="rId5">
            <anchor moveWithCells="1">
              <from>
                <xdr:col>2</xdr:col>
                <xdr:colOff>1219200</xdr:colOff>
                <xdr:row>0</xdr:row>
                <xdr:rowOff>68580</xdr:rowOff>
              </from>
              <to>
                <xdr:col>3</xdr:col>
                <xdr:colOff>274320</xdr:colOff>
                <xdr:row>1</xdr:row>
                <xdr:rowOff>205740</xdr:rowOff>
              </to>
            </anchor>
          </controlPr>
        </control>
      </mc:Choice>
      <mc:Fallback>
        <control shapeId="36867" r:id="rId4" name="SpinButton1"/>
      </mc:Fallback>
    </mc:AlternateContent>
    <mc:AlternateContent xmlns:mc="http://schemas.openxmlformats.org/markup-compatibility/2006">
      <mc:Choice Requires="x14">
        <control shapeId="36866" r:id="rId6" name="FiltreMois">
          <controlPr defaultSize="0" autoLine="0" r:id="rId7">
            <anchor moveWithCells="1">
              <from>
                <xdr:col>1</xdr:col>
                <xdr:colOff>708660</xdr:colOff>
                <xdr:row>0</xdr:row>
                <xdr:rowOff>121920</xdr:rowOff>
              </from>
              <to>
                <xdr:col>2</xdr:col>
                <xdr:colOff>891540</xdr:colOff>
                <xdr:row>1</xdr:row>
                <xdr:rowOff>152400</xdr:rowOff>
              </to>
            </anchor>
          </controlPr>
        </control>
      </mc:Choice>
      <mc:Fallback>
        <control shapeId="36866" r:id="rId6" name="FiltreMois"/>
      </mc:Fallback>
    </mc:AlternateContent>
    <mc:AlternateContent xmlns:mc="http://schemas.openxmlformats.org/markup-compatibility/2006">
      <mc:Choice Requires="x14">
        <control shapeId="36865" r:id="rId8" name="RAZFiltres">
          <controlPr defaultSize="0" autoLine="0" r:id="rId9">
            <anchor moveWithCells="1">
              <from>
                <xdr:col>4</xdr:col>
                <xdr:colOff>1089660</xdr:colOff>
                <xdr:row>0</xdr:row>
                <xdr:rowOff>30480</xdr:rowOff>
              </from>
              <to>
                <xdr:col>6</xdr:col>
                <xdr:colOff>304800</xdr:colOff>
                <xdr:row>1</xdr:row>
                <xdr:rowOff>15240</xdr:rowOff>
              </to>
            </anchor>
          </controlPr>
        </control>
      </mc:Choice>
      <mc:Fallback>
        <control shapeId="36865" r:id="rId8" name="RAZFiltres"/>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75E2E-BFF1-47CF-9931-50918DE44C27}">
  <sheetPr codeName="Feuil22"/>
  <dimension ref="A3:MG4"/>
  <sheetViews>
    <sheetView showGridLines="0" tabSelected="1" zoomScale="85" zoomScaleNormal="85" workbookViewId="0">
      <selection activeCell="G8" sqref="G8"/>
    </sheetView>
  </sheetViews>
  <sheetFormatPr baseColWidth="10" defaultRowHeight="24"/>
  <cols>
    <col min="7" max="7" width="13.640625" customWidth="1"/>
    <col min="8" max="8" width="11.2109375" customWidth="1"/>
  </cols>
  <sheetData>
    <row r="3" spans="1:345" s="336" customFormat="1" ht="22.35" customHeight="1">
      <c r="A3" s="563" t="s">
        <v>64</v>
      </c>
      <c r="B3" s="442" t="s">
        <v>65</v>
      </c>
      <c r="C3" s="1352" t="s">
        <v>66</v>
      </c>
      <c r="D3" s="1353" t="s">
        <v>67</v>
      </c>
      <c r="E3" s="442" t="s">
        <v>69</v>
      </c>
      <c r="F3" s="442" t="s">
        <v>73</v>
      </c>
      <c r="G3" s="676" t="s">
        <v>1020</v>
      </c>
      <c r="H3" s="1354" t="s">
        <v>1022</v>
      </c>
      <c r="I3" s="1355" t="s">
        <v>4046</v>
      </c>
      <c r="J3" s="1088"/>
      <c r="K3" s="1085"/>
      <c r="L3" s="1086"/>
      <c r="M3" s="1086"/>
      <c r="O3" s="1085"/>
      <c r="P3" s="1085"/>
      <c r="Q3" s="1086"/>
      <c r="S3" s="1086"/>
      <c r="T3" s="1086"/>
      <c r="V3" s="1085"/>
      <c r="W3" s="1085"/>
      <c r="X3" s="1086"/>
      <c r="Z3" s="1086"/>
      <c r="AA3" s="1086"/>
      <c r="AC3" s="1085"/>
      <c r="AD3" s="1085"/>
      <c r="AE3" s="1086"/>
      <c r="AG3" s="1086"/>
      <c r="AH3" s="1086"/>
      <c r="AJ3" s="1085"/>
      <c r="AK3" s="1085"/>
      <c r="AL3" s="1087"/>
      <c r="AM3" s="1085"/>
      <c r="AN3" s="1087"/>
      <c r="AO3" s="1084"/>
      <c r="AP3" s="1085"/>
      <c r="AQ3" s="1085"/>
      <c r="AR3" s="1085"/>
      <c r="AS3" s="1086"/>
      <c r="AU3" s="1086"/>
      <c r="AV3" s="1086"/>
      <c r="AX3" s="1085"/>
      <c r="AY3" s="1085"/>
      <c r="AZ3" s="1086"/>
      <c r="BB3" s="1086"/>
      <c r="BC3" s="1086"/>
      <c r="BE3" s="1085"/>
      <c r="BF3" s="1085"/>
      <c r="BG3" s="1086"/>
      <c r="BI3" s="1086"/>
      <c r="BJ3" s="1086"/>
      <c r="BL3" s="1085"/>
      <c r="BM3" s="1085"/>
      <c r="BN3" s="1086"/>
      <c r="BP3" s="1087"/>
      <c r="BQ3" s="1084"/>
      <c r="BR3" s="1085"/>
      <c r="BS3" s="1085"/>
      <c r="BT3" s="1085"/>
      <c r="BU3" s="1086"/>
      <c r="BW3" s="1086"/>
      <c r="BX3" s="1086"/>
      <c r="BZ3" s="1085"/>
      <c r="CA3" s="1085"/>
      <c r="CB3" s="1086"/>
      <c r="CD3" s="1086"/>
      <c r="CE3" s="1086"/>
      <c r="CG3" s="1085"/>
      <c r="CH3" s="1085"/>
      <c r="CI3" s="1086"/>
      <c r="CK3" s="1086"/>
      <c r="CL3" s="1086"/>
      <c r="CN3" s="1085"/>
      <c r="CO3" s="1085"/>
      <c r="CP3" s="1086"/>
      <c r="CR3" s="1086"/>
      <c r="CS3" s="1086"/>
      <c r="CU3" s="1084"/>
      <c r="CV3" s="1084"/>
      <c r="CW3" s="1084"/>
      <c r="CX3" s="1085"/>
      <c r="CY3" s="1086"/>
      <c r="CZ3" s="1086"/>
      <c r="DB3" s="1085"/>
      <c r="DC3" s="1085"/>
      <c r="DD3" s="1086"/>
      <c r="DF3" s="1086"/>
      <c r="DG3" s="1086"/>
      <c r="DI3" s="1085"/>
      <c r="DJ3" s="1085"/>
      <c r="DK3" s="1086"/>
      <c r="DM3" s="1086"/>
      <c r="DN3" s="1086"/>
      <c r="DP3" s="1085"/>
      <c r="DQ3" s="1085"/>
      <c r="DR3" s="1086"/>
      <c r="DT3" s="1086"/>
      <c r="DU3" s="1086"/>
      <c r="DW3" s="1085"/>
      <c r="DX3" s="1085"/>
      <c r="DY3" s="1087"/>
      <c r="DZ3" s="1084"/>
      <c r="EA3" s="1085"/>
      <c r="EB3" s="1087"/>
      <c r="EC3" s="1085"/>
      <c r="ED3" s="1085"/>
      <c r="EE3" s="1085"/>
      <c r="EF3" s="1086"/>
      <c r="EH3" s="1086"/>
      <c r="EI3" s="1086"/>
      <c r="EK3" s="1085"/>
      <c r="EL3" s="1085"/>
      <c r="EM3" s="1086"/>
      <c r="EO3" s="1086"/>
      <c r="EP3" s="1086"/>
      <c r="ER3" s="1085"/>
      <c r="ES3" s="1085"/>
      <c r="ET3" s="1086"/>
      <c r="EV3" s="1086"/>
      <c r="EW3" s="1086"/>
      <c r="EY3" s="1085"/>
      <c r="EZ3" s="1085"/>
      <c r="FA3" s="1086"/>
      <c r="FC3" s="1086"/>
      <c r="FD3" s="1087"/>
      <c r="FE3" s="1084"/>
      <c r="FF3" s="1085"/>
      <c r="FG3" s="1085"/>
      <c r="FH3" s="1086"/>
      <c r="FJ3" s="1086"/>
      <c r="FK3" s="1086"/>
      <c r="FM3" s="1085"/>
      <c r="FN3" s="1085"/>
      <c r="FO3" s="1086"/>
      <c r="FQ3" s="1086"/>
      <c r="FR3" s="1086"/>
      <c r="FT3" s="1085"/>
      <c r="FU3" s="1085"/>
      <c r="FV3" s="1086"/>
      <c r="FX3" s="1086"/>
      <c r="FY3" s="1086"/>
      <c r="GA3" s="1085"/>
      <c r="GB3" s="1085"/>
      <c r="GC3" s="1086"/>
      <c r="GE3" s="1086"/>
      <c r="GF3" s="1086"/>
      <c r="GH3" s="1085"/>
      <c r="GI3" s="1084"/>
      <c r="GJ3" s="1085"/>
      <c r="GL3" s="1086"/>
      <c r="GM3" s="1086"/>
      <c r="GO3" s="1085"/>
      <c r="GP3" s="1085"/>
      <c r="GQ3" s="1086"/>
      <c r="GS3" s="1086"/>
      <c r="GT3" s="1086"/>
      <c r="GV3" s="1085"/>
      <c r="GW3" s="1085"/>
      <c r="GX3" s="1086"/>
      <c r="GZ3" s="1086"/>
      <c r="HA3" s="1086"/>
      <c r="HC3" s="1085"/>
      <c r="HD3" s="1085"/>
      <c r="HE3" s="1086"/>
      <c r="HG3" s="1086"/>
      <c r="HH3" s="1086"/>
      <c r="HJ3" s="1085"/>
      <c r="HK3" s="1085"/>
      <c r="HL3" s="1086"/>
      <c r="HM3" s="1088"/>
      <c r="HN3" s="1084"/>
      <c r="HO3" s="1085"/>
      <c r="HQ3" s="1085"/>
      <c r="HR3" s="1085"/>
      <c r="HS3" s="1086"/>
      <c r="HU3" s="1086"/>
      <c r="HV3" s="1086"/>
      <c r="HX3" s="1085"/>
      <c r="HY3" s="1085"/>
      <c r="HZ3" s="1086"/>
      <c r="IB3" s="1086"/>
      <c r="IC3" s="1086"/>
      <c r="IE3" s="1085"/>
      <c r="IF3" s="1085"/>
      <c r="IG3" s="1086"/>
      <c r="II3" s="1086"/>
      <c r="IJ3" s="1086"/>
      <c r="IL3" s="1085"/>
      <c r="IM3" s="1085"/>
      <c r="IN3" s="1086"/>
      <c r="IP3" s="1086"/>
      <c r="IQ3" s="1086"/>
      <c r="IR3" s="1088"/>
      <c r="IS3" s="1085"/>
      <c r="IT3" s="1085"/>
      <c r="IU3" s="1086"/>
      <c r="IW3" s="1086"/>
      <c r="IX3" s="1086"/>
      <c r="IZ3" s="1085"/>
      <c r="JA3" s="1085"/>
      <c r="JB3" s="1086"/>
      <c r="JD3" s="1086"/>
      <c r="JE3" s="1086"/>
      <c r="JG3" s="1085"/>
      <c r="JH3" s="1085"/>
      <c r="JI3" s="1086"/>
      <c r="JK3" s="1086"/>
      <c r="JL3" s="1086"/>
      <c r="JN3" s="1085"/>
      <c r="JO3" s="1085"/>
      <c r="JP3" s="1086"/>
      <c r="JR3" s="1086"/>
      <c r="JS3" s="1086"/>
      <c r="JU3" s="1085"/>
      <c r="JV3" s="1084"/>
      <c r="JW3" s="1084"/>
      <c r="JX3" s="1085"/>
      <c r="JY3" s="1086"/>
      <c r="JZ3" s="1086"/>
      <c r="KB3" s="1085"/>
      <c r="KC3" s="1085"/>
      <c r="KD3" s="1086"/>
      <c r="KF3" s="1086"/>
      <c r="KG3" s="1086"/>
      <c r="KI3" s="1085"/>
      <c r="KJ3" s="1085"/>
      <c r="KK3" s="1086"/>
      <c r="KM3" s="1086"/>
      <c r="KN3" s="1086"/>
      <c r="KP3" s="1085"/>
      <c r="KQ3" s="1085"/>
      <c r="KR3" s="1086"/>
      <c r="KT3" s="1086"/>
      <c r="KU3" s="1086"/>
      <c r="KW3" s="1085"/>
      <c r="KX3" s="1085"/>
      <c r="KY3" s="1086"/>
      <c r="LA3" s="1087"/>
      <c r="LB3" s="1087"/>
      <c r="LD3" s="1085"/>
      <c r="LE3" s="1085"/>
      <c r="LF3" s="1086"/>
      <c r="LH3" s="1086"/>
      <c r="LI3" s="1086"/>
      <c r="LK3" s="1085"/>
      <c r="LL3" s="1085"/>
      <c r="LM3" s="1086"/>
      <c r="LO3" s="1086"/>
      <c r="LP3" s="1086"/>
      <c r="LR3" s="1085"/>
      <c r="LS3" s="1085"/>
      <c r="LT3" s="1086"/>
      <c r="LV3" s="1086"/>
      <c r="LW3" s="1086"/>
      <c r="LY3" s="1085"/>
      <c r="LZ3" s="1085"/>
      <c r="MA3" s="1086"/>
      <c r="MC3" s="1086"/>
      <c r="MD3" s="1086"/>
      <c r="MF3" s="1085"/>
      <c r="MG3" s="1088"/>
    </row>
    <row r="4" spans="1:345">
      <c r="A4" s="1332"/>
      <c r="B4" s="1356"/>
      <c r="C4" s="1356"/>
      <c r="D4" s="1356"/>
      <c r="E4" s="1356"/>
      <c r="F4" s="1356"/>
      <c r="G4" s="1356"/>
      <c r="H4" s="1356"/>
      <c r="I4" s="133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98B74-3973-4AB2-8EED-E8B7B9935B36}">
  <sheetPr codeName="Feuil8">
    <pageSetUpPr fitToPage="1"/>
  </sheetPr>
  <dimension ref="A1:NC153"/>
  <sheetViews>
    <sheetView showGridLines="0" showRowColHeaders="0" zoomScale="115" zoomScaleNormal="115" workbookViewId="0">
      <selection activeCell="E2" sqref="E2:I30"/>
    </sheetView>
  </sheetViews>
  <sheetFormatPr baseColWidth="10" defaultColWidth="10.7109375" defaultRowHeight="24"/>
  <cols>
    <col min="1" max="1" width="1" customWidth="1"/>
    <col min="4" max="4" width="12.5703125" customWidth="1"/>
    <col min="5" max="5" width="3.7109375" customWidth="1"/>
    <col min="9" max="9" width="3.35546875" customWidth="1"/>
    <col min="11" max="11" width="3.0703125" customWidth="1"/>
    <col min="12" max="12" width="18.2109375" customWidth="1"/>
    <col min="13" max="13" width="5.28515625" customWidth="1"/>
  </cols>
  <sheetData>
    <row r="1" spans="1:367" ht="42.6" customHeight="1" thickBot="1">
      <c r="B1" s="1310" t="s">
        <v>1148</v>
      </c>
      <c r="C1" s="1310"/>
      <c r="D1" s="1310"/>
      <c r="E1" s="1310"/>
      <c r="F1" s="1310"/>
      <c r="G1" s="1310"/>
      <c r="H1" s="1310"/>
      <c r="I1" s="1310"/>
    </row>
    <row r="2" spans="1:367" ht="24.6" thickBot="1">
      <c r="A2" s="63"/>
      <c r="B2" s="1312" t="s">
        <v>693</v>
      </c>
      <c r="C2" s="1313"/>
      <c r="D2" s="1314"/>
      <c r="E2" s="1286"/>
      <c r="F2" s="1286"/>
      <c r="G2" s="1286"/>
      <c r="H2" s="1286"/>
      <c r="I2" s="1289"/>
      <c r="J2" s="1293" t="s">
        <v>692</v>
      </c>
      <c r="K2" s="1294"/>
      <c r="L2" s="1295"/>
      <c r="M2" s="480"/>
      <c r="N2" s="1299"/>
      <c r="O2" s="1299"/>
      <c r="P2" s="1299"/>
      <c r="Q2" s="614"/>
      <c r="R2" s="614"/>
      <c r="S2" s="614"/>
      <c r="T2" s="614"/>
      <c r="U2" s="614"/>
      <c r="V2" s="614"/>
      <c r="W2" s="614"/>
      <c r="X2" s="614"/>
      <c r="Y2" s="614"/>
      <c r="Z2" s="614"/>
      <c r="AA2" s="614"/>
      <c r="AB2" s="614"/>
      <c r="AC2" s="614"/>
      <c r="AD2" s="614"/>
      <c r="AE2" s="614"/>
      <c r="AF2" s="614"/>
      <c r="AG2" s="614"/>
      <c r="AH2" s="614"/>
      <c r="AI2" s="614"/>
      <c r="AJ2" s="614"/>
      <c r="AK2" s="614"/>
      <c r="AL2" s="614"/>
      <c r="AM2" s="614"/>
      <c r="AN2" s="614"/>
      <c r="AO2" s="614"/>
      <c r="AP2" s="614"/>
      <c r="AQ2" s="614"/>
      <c r="AR2" s="614"/>
      <c r="AS2" s="614"/>
      <c r="AT2" s="614"/>
      <c r="AU2" s="614"/>
      <c r="AV2" s="614"/>
      <c r="AW2" s="614"/>
      <c r="AX2" s="614"/>
      <c r="AY2" s="614"/>
      <c r="AZ2" s="614"/>
      <c r="BA2" s="614"/>
      <c r="BB2" s="614"/>
      <c r="BC2" s="614"/>
      <c r="BD2" s="614"/>
      <c r="BE2" s="614"/>
      <c r="BF2" s="614"/>
      <c r="BG2" s="614"/>
      <c r="BH2" s="614"/>
      <c r="BI2" s="614"/>
      <c r="BJ2" s="614"/>
      <c r="BK2" s="614"/>
      <c r="BL2" s="614"/>
      <c r="BM2" s="614"/>
      <c r="BN2" s="614"/>
      <c r="BO2" s="614"/>
      <c r="BP2" s="614"/>
      <c r="BQ2" s="614"/>
      <c r="BR2" s="614"/>
      <c r="BS2" s="614"/>
      <c r="BT2" s="614"/>
      <c r="BU2" s="614"/>
      <c r="BV2" s="614"/>
      <c r="BW2" s="614"/>
      <c r="BX2" s="614"/>
      <c r="BY2" s="614"/>
      <c r="BZ2" s="614"/>
      <c r="CA2" s="614"/>
      <c r="CB2" s="614"/>
      <c r="CC2" s="614"/>
      <c r="CD2" s="614"/>
      <c r="CE2" s="614"/>
      <c r="CF2" s="614"/>
      <c r="CG2" s="614"/>
      <c r="CH2" s="614"/>
      <c r="CI2" s="614"/>
      <c r="CJ2" s="614"/>
      <c r="CK2" s="614"/>
      <c r="CL2" s="614"/>
      <c r="CM2" s="614"/>
      <c r="CN2" s="614"/>
      <c r="CO2" s="614"/>
      <c r="CP2" s="614"/>
      <c r="CQ2" s="614"/>
      <c r="CR2" s="614"/>
      <c r="CS2" s="614"/>
      <c r="CT2" s="614"/>
      <c r="CU2" s="614"/>
      <c r="CV2" s="614"/>
      <c r="CW2" s="614"/>
      <c r="CX2" s="614"/>
      <c r="CY2" s="614"/>
      <c r="CZ2" s="614"/>
      <c r="DA2" s="614"/>
      <c r="DB2" s="614"/>
      <c r="DC2" s="614"/>
      <c r="DD2" s="614"/>
      <c r="DE2" s="614"/>
      <c r="DF2" s="614"/>
      <c r="DG2" s="614"/>
      <c r="DH2" s="614"/>
      <c r="DI2" s="614"/>
      <c r="DJ2" s="614"/>
      <c r="DK2" s="614"/>
      <c r="DL2" s="614"/>
      <c r="DM2" s="614"/>
      <c r="DN2" s="614"/>
      <c r="DO2" s="614"/>
      <c r="DP2" s="614"/>
      <c r="DQ2" s="614"/>
      <c r="DR2" s="614"/>
      <c r="DS2" s="614"/>
      <c r="DT2" s="614"/>
      <c r="DU2" s="614"/>
      <c r="DV2" s="614"/>
      <c r="DW2" s="614"/>
      <c r="DX2" s="614"/>
      <c r="DY2" s="614"/>
      <c r="DZ2" s="614"/>
      <c r="EA2" s="614"/>
      <c r="EB2" s="614"/>
      <c r="EC2" s="614"/>
      <c r="ED2" s="614"/>
      <c r="EE2" s="614"/>
      <c r="EF2" s="614"/>
      <c r="EG2" s="614"/>
      <c r="EH2" s="614"/>
      <c r="EI2" s="614"/>
      <c r="EJ2" s="614"/>
      <c r="EK2" s="614"/>
      <c r="EL2" s="614"/>
      <c r="EM2" s="614"/>
      <c r="EN2" s="614"/>
      <c r="EO2" s="614"/>
      <c r="EP2" s="614"/>
      <c r="EQ2" s="614"/>
      <c r="ER2" s="614"/>
      <c r="ES2" s="614"/>
      <c r="ET2" s="614"/>
      <c r="EU2" s="614"/>
      <c r="EV2" s="614"/>
      <c r="EW2" s="614"/>
      <c r="EX2" s="614"/>
      <c r="EY2" s="614"/>
      <c r="EZ2" s="614"/>
      <c r="FA2" s="614"/>
      <c r="FB2" s="614"/>
      <c r="FC2" s="614"/>
      <c r="FD2" s="614"/>
      <c r="FE2" s="614"/>
      <c r="FF2" s="614"/>
      <c r="FG2" s="614"/>
      <c r="FH2" s="614"/>
      <c r="FI2" s="614"/>
      <c r="FJ2" s="614"/>
      <c r="FK2" s="614"/>
      <c r="FL2" s="614"/>
      <c r="FM2" s="614"/>
      <c r="FN2" s="614"/>
      <c r="FO2" s="614"/>
      <c r="FP2" s="614"/>
      <c r="FQ2" s="614"/>
      <c r="FR2" s="614"/>
      <c r="FS2" s="614"/>
      <c r="FT2" s="614"/>
      <c r="FU2" s="614"/>
      <c r="FV2" s="614"/>
      <c r="FW2" s="614"/>
      <c r="FX2" s="614"/>
      <c r="FY2" s="614"/>
      <c r="FZ2" s="614"/>
      <c r="GA2" s="614"/>
      <c r="GB2" s="614"/>
      <c r="GC2" s="614"/>
      <c r="GD2" s="614"/>
      <c r="GE2" s="614"/>
      <c r="GF2" s="614"/>
      <c r="GG2" s="614"/>
      <c r="GH2" s="614"/>
      <c r="GI2" s="614"/>
      <c r="GJ2" s="614"/>
      <c r="GK2" s="614"/>
      <c r="GL2" s="614"/>
      <c r="GM2" s="614"/>
      <c r="GN2" s="614"/>
      <c r="GO2" s="614"/>
      <c r="GP2" s="614"/>
      <c r="GQ2" s="614"/>
      <c r="GR2" s="614"/>
      <c r="GS2" s="614"/>
      <c r="GT2" s="614"/>
      <c r="GU2" s="614"/>
      <c r="GV2" s="614"/>
      <c r="GW2" s="614"/>
      <c r="GX2" s="614"/>
      <c r="GY2" s="614"/>
      <c r="GZ2" s="614"/>
      <c r="HA2" s="614"/>
      <c r="HB2" s="614"/>
      <c r="HC2" s="614"/>
      <c r="HD2" s="614"/>
      <c r="HE2" s="614"/>
      <c r="HF2" s="614"/>
      <c r="HG2" s="614"/>
      <c r="HH2" s="614"/>
      <c r="HI2" s="614"/>
      <c r="HJ2" s="614"/>
      <c r="HK2" s="614"/>
      <c r="HL2" s="614"/>
      <c r="HM2" s="614"/>
      <c r="HN2" s="614"/>
      <c r="HO2" s="614"/>
      <c r="HP2" s="614"/>
      <c r="HQ2" s="614"/>
      <c r="HR2" s="614"/>
      <c r="HS2" s="614"/>
      <c r="HT2" s="614"/>
      <c r="HU2" s="614"/>
      <c r="HV2" s="614"/>
      <c r="HW2" s="614"/>
      <c r="HX2" s="614"/>
      <c r="HY2" s="614"/>
      <c r="HZ2" s="614"/>
      <c r="IA2" s="614"/>
      <c r="IB2" s="614"/>
      <c r="IC2" s="614"/>
      <c r="ID2" s="614"/>
      <c r="IE2" s="614"/>
      <c r="IF2" s="614"/>
      <c r="IG2" s="614"/>
      <c r="IH2" s="614"/>
      <c r="II2" s="614"/>
      <c r="IJ2" s="614"/>
      <c r="IK2" s="614"/>
      <c r="IL2" s="614"/>
      <c r="IM2" s="614"/>
      <c r="IN2" s="614"/>
      <c r="IO2" s="614"/>
      <c r="IP2" s="614"/>
      <c r="IQ2" s="614"/>
      <c r="IR2" s="614"/>
      <c r="IS2" s="614"/>
      <c r="IT2" s="614"/>
      <c r="IU2" s="614"/>
      <c r="IV2" s="614"/>
      <c r="IW2" s="614"/>
      <c r="IX2" s="614"/>
      <c r="IY2" s="614"/>
      <c r="IZ2" s="614"/>
      <c r="JA2" s="614"/>
      <c r="JB2" s="614"/>
      <c r="JC2" s="614"/>
      <c r="JD2" s="614"/>
      <c r="JE2" s="614"/>
      <c r="JF2" s="614"/>
      <c r="JG2" s="614"/>
      <c r="JH2" s="614"/>
      <c r="JI2" s="614"/>
      <c r="JJ2" s="614"/>
      <c r="JK2" s="614"/>
      <c r="JL2" s="614"/>
      <c r="JM2" s="614"/>
      <c r="JN2" s="614"/>
      <c r="JO2" s="614"/>
      <c r="JP2" s="614"/>
      <c r="JQ2" s="614"/>
      <c r="JR2" s="614"/>
      <c r="JS2" s="614"/>
      <c r="JT2" s="614"/>
      <c r="JU2" s="614"/>
      <c r="JV2" s="614"/>
      <c r="JW2" s="614"/>
      <c r="JX2" s="614"/>
      <c r="JY2" s="614"/>
      <c r="JZ2" s="614"/>
      <c r="KA2" s="614"/>
      <c r="KB2" s="614"/>
      <c r="KC2" s="614"/>
      <c r="KD2" s="614"/>
      <c r="KE2" s="614"/>
      <c r="KF2" s="614"/>
      <c r="KG2" s="614"/>
      <c r="KH2" s="614"/>
      <c r="KI2" s="614"/>
      <c r="KJ2" s="614"/>
      <c r="KK2" s="614"/>
      <c r="KL2" s="614"/>
      <c r="KM2" s="614"/>
      <c r="KN2" s="614"/>
      <c r="KO2" s="614"/>
      <c r="KP2" s="614"/>
      <c r="KQ2" s="614"/>
      <c r="KR2" s="614"/>
      <c r="KS2" s="614"/>
      <c r="KT2" s="614"/>
      <c r="KU2" s="614"/>
      <c r="KV2" s="614"/>
      <c r="KW2" s="614"/>
      <c r="KX2" s="614"/>
      <c r="KY2" s="614"/>
      <c r="KZ2" s="614"/>
      <c r="LA2" s="614"/>
      <c r="LB2" s="614"/>
      <c r="LC2" s="614"/>
      <c r="LD2" s="614"/>
      <c r="LE2" s="614"/>
      <c r="LF2" s="614"/>
      <c r="LG2" s="614"/>
      <c r="LH2" s="614"/>
      <c r="LI2" s="614"/>
      <c r="LJ2" s="614"/>
      <c r="LK2" s="614"/>
      <c r="LL2" s="614"/>
      <c r="LM2" s="614"/>
      <c r="LN2" s="614"/>
      <c r="LO2" s="614"/>
      <c r="LP2" s="614"/>
      <c r="LQ2" s="614"/>
      <c r="LR2" s="614"/>
      <c r="LS2" s="614"/>
      <c r="LT2" s="614"/>
      <c r="LU2" s="614"/>
      <c r="LV2" s="614"/>
      <c r="LW2" s="614"/>
      <c r="LX2" s="614"/>
      <c r="LY2" s="614"/>
      <c r="LZ2" s="614"/>
      <c r="MA2" s="614"/>
      <c r="MB2" s="614"/>
      <c r="MC2" s="614"/>
      <c r="MD2" s="614"/>
      <c r="ME2" s="614"/>
      <c r="MF2" s="614"/>
      <c r="MG2" s="614"/>
      <c r="MH2" s="614"/>
      <c r="MI2" s="614"/>
      <c r="MJ2" s="614"/>
      <c r="MK2" s="614"/>
      <c r="ML2" s="614"/>
      <c r="MM2" s="614"/>
      <c r="MN2" s="614"/>
      <c r="MO2" s="614"/>
      <c r="MP2" s="614"/>
      <c r="MQ2" s="614"/>
      <c r="MR2" s="614"/>
      <c r="MS2" s="614"/>
      <c r="MT2" s="614"/>
      <c r="MU2" s="614"/>
      <c r="MV2" s="614"/>
      <c r="MW2" s="614"/>
      <c r="MX2" s="614"/>
      <c r="MY2" s="614"/>
      <c r="MZ2" s="614"/>
      <c r="NA2" s="614"/>
      <c r="NB2" s="614"/>
      <c r="NC2" s="614"/>
    </row>
    <row r="3" spans="1:367" ht="24" customHeight="1" thickBot="1">
      <c r="A3" s="63"/>
      <c r="B3" s="1315"/>
      <c r="C3" s="1316"/>
      <c r="D3" s="1317"/>
      <c r="E3" s="1286"/>
      <c r="F3" s="1286"/>
      <c r="G3" s="1286"/>
      <c r="H3" s="1286"/>
      <c r="I3" s="1311"/>
      <c r="J3" s="1296"/>
      <c r="K3" s="1297"/>
      <c r="L3" s="1296"/>
      <c r="M3" s="612"/>
      <c r="N3" s="1300"/>
      <c r="O3" s="1301"/>
      <c r="P3" s="1302"/>
      <c r="Q3" s="481"/>
      <c r="R3" s="612"/>
      <c r="T3" s="612"/>
      <c r="U3" s="614"/>
      <c r="V3" s="479"/>
      <c r="W3" s="481"/>
      <c r="X3" s="481"/>
      <c r="Y3" s="612"/>
      <c r="AA3" s="612"/>
      <c r="AB3" s="614"/>
      <c r="AC3" s="614"/>
      <c r="AD3" s="479"/>
      <c r="AE3" s="612"/>
      <c r="AF3" s="614"/>
      <c r="AG3" s="479"/>
      <c r="AH3" s="612"/>
      <c r="AI3" s="614"/>
      <c r="AJ3" s="479"/>
      <c r="AK3" s="481"/>
      <c r="AL3" s="481"/>
      <c r="AM3" s="612"/>
      <c r="AO3" s="612"/>
      <c r="AP3" s="614"/>
      <c r="AQ3" s="479"/>
      <c r="AR3" s="481"/>
      <c r="AS3" s="481"/>
      <c r="AT3" s="612"/>
      <c r="AV3" s="612"/>
      <c r="AW3" s="614"/>
      <c r="AX3" s="479"/>
      <c r="AY3" s="481"/>
      <c r="AZ3" s="481"/>
      <c r="BA3" s="612"/>
      <c r="BC3" s="612"/>
      <c r="BD3" s="614"/>
      <c r="BE3" s="479"/>
      <c r="BF3" s="481"/>
      <c r="BG3" s="481"/>
      <c r="BH3" s="612"/>
      <c r="BI3" s="479"/>
      <c r="BJ3" s="612"/>
      <c r="BK3" s="614"/>
      <c r="BL3" s="479"/>
      <c r="BM3" s="481"/>
      <c r="BN3" s="481"/>
      <c r="BO3" s="612"/>
      <c r="BQ3" s="612"/>
      <c r="BR3" s="614"/>
      <c r="BS3" s="479"/>
      <c r="BT3" s="481"/>
      <c r="BU3" s="481"/>
      <c r="BV3" s="612"/>
      <c r="BX3" s="612"/>
      <c r="BY3" s="614"/>
      <c r="BZ3" s="479"/>
      <c r="CA3" s="481"/>
      <c r="CB3" s="481"/>
      <c r="CC3" s="612"/>
      <c r="CE3" s="612"/>
      <c r="CF3" s="614"/>
      <c r="CG3" s="479"/>
      <c r="CH3" s="481"/>
      <c r="CI3" s="481"/>
      <c r="CJ3" s="612"/>
      <c r="CL3" s="612"/>
      <c r="CM3" s="614"/>
      <c r="CN3" s="479"/>
      <c r="CO3" s="481"/>
      <c r="CP3" s="481"/>
      <c r="CQ3" s="612"/>
      <c r="CS3" s="612"/>
      <c r="CT3" s="614"/>
      <c r="CU3" s="479"/>
      <c r="CV3" s="481"/>
      <c r="CW3" s="481"/>
      <c r="CX3" s="612"/>
      <c r="CZ3" s="612"/>
      <c r="DA3" s="614"/>
      <c r="DB3" s="479"/>
      <c r="DC3" s="481"/>
      <c r="DD3" s="481"/>
      <c r="DE3" s="612"/>
      <c r="DG3" s="612"/>
      <c r="DH3" s="614"/>
      <c r="DI3" s="479"/>
      <c r="DJ3" s="481"/>
      <c r="DK3" s="481"/>
      <c r="DL3" s="612"/>
      <c r="DN3" s="612"/>
      <c r="DO3" s="614"/>
      <c r="DP3" s="479"/>
      <c r="DQ3" s="612"/>
      <c r="DR3" s="614"/>
      <c r="DS3" s="614"/>
      <c r="DU3" s="612"/>
      <c r="DV3" s="614"/>
      <c r="DW3" s="479"/>
      <c r="DX3" s="481"/>
      <c r="DY3" s="481"/>
      <c r="DZ3" s="612"/>
      <c r="EB3" s="612"/>
      <c r="EC3" s="614"/>
      <c r="ED3" s="479"/>
      <c r="EE3" s="481"/>
      <c r="EF3" s="481"/>
      <c r="EG3" s="612"/>
      <c r="EI3" s="612"/>
      <c r="EJ3" s="614"/>
      <c r="EK3" s="479"/>
      <c r="EL3" s="481"/>
      <c r="EM3" s="481"/>
      <c r="EN3" s="612"/>
      <c r="EP3" s="612"/>
      <c r="EQ3" s="614"/>
      <c r="ER3" s="479"/>
      <c r="ES3" s="481"/>
      <c r="ET3" s="481"/>
      <c r="EU3" s="612"/>
      <c r="EV3" s="614"/>
      <c r="EW3" s="614"/>
      <c r="EX3" s="614"/>
      <c r="EY3" s="479"/>
      <c r="EZ3" s="481"/>
      <c r="FA3" s="481"/>
      <c r="FB3" s="612"/>
      <c r="FD3" s="612"/>
      <c r="FE3" s="614"/>
      <c r="FF3" s="479"/>
      <c r="FG3" s="481"/>
      <c r="FH3" s="481"/>
      <c r="FI3" s="612"/>
      <c r="FK3" s="612"/>
      <c r="FL3" s="614"/>
      <c r="FM3" s="479"/>
      <c r="FN3" s="481"/>
      <c r="FO3" s="481"/>
      <c r="FP3" s="612"/>
      <c r="FR3" s="612"/>
      <c r="FS3" s="614"/>
      <c r="FT3" s="479"/>
      <c r="FU3" s="481"/>
      <c r="FV3" s="481"/>
      <c r="FW3" s="612"/>
      <c r="FY3" s="612"/>
      <c r="FZ3" s="614"/>
      <c r="GA3" s="614"/>
      <c r="GB3" s="479"/>
      <c r="GC3" s="481"/>
      <c r="GD3" s="612"/>
      <c r="GF3" s="612"/>
      <c r="GG3" s="614"/>
      <c r="GH3" s="479"/>
      <c r="GI3" s="481"/>
      <c r="GJ3" s="481"/>
      <c r="GK3" s="612"/>
      <c r="GM3" s="612"/>
      <c r="GN3" s="614"/>
      <c r="GO3" s="479"/>
      <c r="GP3" s="481"/>
      <c r="GQ3" s="481"/>
      <c r="GR3" s="612"/>
      <c r="GT3" s="612"/>
      <c r="GU3" s="614"/>
      <c r="GV3" s="479"/>
      <c r="GW3" s="481"/>
      <c r="GX3" s="481"/>
      <c r="GY3" s="612"/>
      <c r="HA3" s="612"/>
      <c r="HB3" s="614"/>
      <c r="HC3" s="479"/>
      <c r="HD3" s="481"/>
      <c r="HE3" s="612"/>
      <c r="HF3" s="614"/>
      <c r="HH3" s="612"/>
      <c r="HI3" s="614"/>
      <c r="HJ3" s="479"/>
      <c r="HK3" s="481"/>
      <c r="HL3" s="481"/>
      <c r="HM3" s="612"/>
      <c r="HO3" s="612"/>
      <c r="HP3" s="614"/>
      <c r="HQ3" s="479"/>
      <c r="HR3" s="481"/>
      <c r="HS3" s="481"/>
      <c r="HT3" s="612"/>
      <c r="HV3" s="612"/>
      <c r="HW3" s="614"/>
      <c r="HX3" s="479"/>
      <c r="HY3" s="481"/>
      <c r="HZ3" s="481"/>
      <c r="IA3" s="612"/>
      <c r="IC3" s="612"/>
      <c r="ID3" s="614"/>
      <c r="IE3" s="479"/>
      <c r="IF3" s="481"/>
      <c r="IG3" s="481"/>
      <c r="IH3" s="612"/>
      <c r="II3" s="480"/>
      <c r="IJ3" s="614"/>
      <c r="IK3" s="614"/>
      <c r="IL3" s="479"/>
      <c r="IM3" s="481"/>
      <c r="IN3" s="481"/>
      <c r="IO3" s="612"/>
      <c r="IQ3" s="612"/>
      <c r="IR3" s="614"/>
      <c r="IS3" s="479"/>
      <c r="IT3" s="481"/>
      <c r="IU3" s="481"/>
      <c r="IV3" s="612"/>
      <c r="IX3" s="612"/>
      <c r="IY3" s="614"/>
      <c r="IZ3" s="479"/>
      <c r="JA3" s="481"/>
      <c r="JB3" s="481"/>
      <c r="JC3" s="612"/>
      <c r="JE3" s="612"/>
      <c r="JF3" s="614"/>
      <c r="JG3" s="479"/>
      <c r="JH3" s="481"/>
      <c r="JI3" s="481"/>
      <c r="JJ3" s="612"/>
      <c r="JL3" s="612"/>
      <c r="JM3" s="614"/>
      <c r="JN3" s="614"/>
      <c r="JO3" s="479"/>
      <c r="JP3" s="481"/>
      <c r="JQ3" s="612"/>
      <c r="JS3" s="612"/>
      <c r="JT3" s="614"/>
      <c r="JU3" s="479"/>
      <c r="JV3" s="481"/>
      <c r="JW3" s="481"/>
      <c r="JX3" s="612"/>
      <c r="JZ3" s="612"/>
      <c r="KA3" s="614"/>
      <c r="KB3" s="479"/>
      <c r="KC3" s="481"/>
      <c r="KD3" s="481"/>
      <c r="KE3" s="612"/>
      <c r="KG3" s="612"/>
      <c r="KH3" s="614"/>
      <c r="KI3" s="479"/>
      <c r="KJ3" s="481"/>
      <c r="KK3" s="481"/>
      <c r="KL3" s="612"/>
      <c r="KN3" s="612"/>
      <c r="KO3" s="614"/>
      <c r="KP3" s="479"/>
      <c r="KQ3" s="481"/>
      <c r="KR3" s="612"/>
      <c r="KS3" s="614"/>
      <c r="KT3" s="479"/>
      <c r="KU3" s="612"/>
      <c r="KV3" s="614"/>
      <c r="KW3" s="479"/>
      <c r="KX3" s="481"/>
      <c r="KY3" s="481"/>
      <c r="KZ3" s="612"/>
      <c r="LB3" s="612"/>
      <c r="LC3" s="614"/>
      <c r="LD3" s="479"/>
      <c r="LE3" s="481"/>
      <c r="LF3" s="481"/>
      <c r="LG3" s="612"/>
      <c r="LI3" s="612"/>
      <c r="LJ3" s="614"/>
      <c r="LK3" s="479"/>
      <c r="LL3" s="481"/>
      <c r="LM3" s="481"/>
      <c r="LN3" s="612"/>
      <c r="LP3" s="612"/>
      <c r="LQ3" s="614"/>
      <c r="LR3" s="479"/>
      <c r="LS3" s="481"/>
      <c r="LT3" s="481"/>
      <c r="LU3" s="612"/>
      <c r="LW3" s="612"/>
      <c r="LX3" s="614"/>
      <c r="LY3" s="479"/>
      <c r="LZ3" s="481"/>
      <c r="MA3" s="481"/>
      <c r="MB3" s="612"/>
      <c r="MD3" s="612"/>
      <c r="ME3" s="614"/>
      <c r="MF3" s="479"/>
      <c r="MG3" s="481"/>
      <c r="MH3" s="481"/>
      <c r="MI3" s="612"/>
      <c r="MK3" s="612"/>
      <c r="ML3" s="614"/>
      <c r="MM3" s="479"/>
      <c r="MN3" s="481"/>
      <c r="MO3" s="481"/>
      <c r="MP3" s="612"/>
      <c r="MR3" s="612"/>
      <c r="MS3" s="614"/>
      <c r="MT3" s="479"/>
      <c r="MU3" s="481"/>
      <c r="MV3" s="481"/>
      <c r="MW3" s="612"/>
      <c r="MY3" s="612"/>
      <c r="MZ3" s="614"/>
      <c r="NA3" s="479"/>
      <c r="NB3" s="612"/>
      <c r="NC3" s="480"/>
    </row>
    <row r="4" spans="1:367" ht="24" customHeight="1">
      <c r="A4" s="63"/>
      <c r="B4" s="1281" t="s">
        <v>4045</v>
      </c>
      <c r="C4" s="1282"/>
      <c r="D4" s="1283"/>
      <c r="E4" s="1288"/>
      <c r="F4" s="1287"/>
      <c r="G4" s="1286"/>
      <c r="H4" s="1286"/>
      <c r="I4" s="1311"/>
      <c r="J4" s="1286"/>
      <c r="K4" s="1298"/>
      <c r="L4" s="1286"/>
      <c r="M4" s="612"/>
      <c r="N4" s="1300"/>
      <c r="O4" s="1301"/>
      <c r="P4" s="1302"/>
      <c r="Q4" s="481"/>
      <c r="R4" s="612"/>
      <c r="T4" s="612"/>
      <c r="U4" s="614"/>
      <c r="V4" s="479"/>
      <c r="W4" s="481"/>
      <c r="X4" s="481"/>
      <c r="Y4" s="612"/>
      <c r="AA4" s="612"/>
      <c r="AB4" s="614"/>
      <c r="AC4" s="614"/>
      <c r="AD4" s="479"/>
      <c r="AE4" s="612"/>
      <c r="AF4" s="614"/>
      <c r="AG4" s="479"/>
      <c r="AH4" s="612"/>
      <c r="AI4" s="614"/>
      <c r="AJ4" s="479"/>
      <c r="AK4" s="481"/>
      <c r="AL4" s="481"/>
      <c r="AM4" s="612"/>
      <c r="AO4" s="612"/>
      <c r="AP4" s="614"/>
      <c r="AQ4" s="479"/>
      <c r="AR4" s="481"/>
      <c r="AS4" s="481"/>
      <c r="AT4" s="612"/>
      <c r="AV4" s="612"/>
      <c r="AW4" s="614"/>
      <c r="AX4" s="479"/>
      <c r="AY4" s="481"/>
      <c r="AZ4" s="481"/>
      <c r="BA4" s="612"/>
      <c r="BC4" s="612"/>
      <c r="BD4" s="614"/>
      <c r="BE4" s="479"/>
      <c r="BF4" s="481"/>
      <c r="BG4" s="481"/>
      <c r="BH4" s="612"/>
      <c r="BI4" s="479"/>
      <c r="BJ4" s="612"/>
      <c r="BK4" s="614"/>
      <c r="BL4" s="479"/>
      <c r="BM4" s="481"/>
      <c r="BN4" s="481"/>
      <c r="BO4" s="612"/>
      <c r="BQ4" s="612"/>
      <c r="BR4" s="614"/>
      <c r="BS4" s="479"/>
      <c r="BT4" s="481"/>
      <c r="BU4" s="481"/>
      <c r="BV4" s="612"/>
      <c r="BX4" s="612"/>
      <c r="BY4" s="614"/>
      <c r="BZ4" s="479"/>
      <c r="CA4" s="481"/>
      <c r="CB4" s="481"/>
      <c r="CC4" s="612"/>
      <c r="CE4" s="612"/>
      <c r="CF4" s="614"/>
      <c r="CG4" s="479"/>
      <c r="CH4" s="481"/>
      <c r="CI4" s="481"/>
      <c r="CJ4" s="612"/>
      <c r="CL4" s="612"/>
      <c r="CM4" s="614"/>
      <c r="CN4" s="479"/>
      <c r="CO4" s="481"/>
      <c r="CP4" s="481"/>
      <c r="CQ4" s="612"/>
      <c r="CS4" s="612"/>
      <c r="CT4" s="614"/>
      <c r="CU4" s="479"/>
      <c r="CV4" s="481"/>
      <c r="CW4" s="481"/>
      <c r="CX4" s="612"/>
      <c r="CZ4" s="612"/>
      <c r="DA4" s="614"/>
      <c r="DB4" s="479"/>
      <c r="DC4" s="481"/>
      <c r="DD4" s="481"/>
      <c r="DE4" s="612"/>
      <c r="DG4" s="612"/>
      <c r="DH4" s="614"/>
      <c r="DI4" s="479"/>
      <c r="DJ4" s="481"/>
      <c r="DK4" s="481"/>
      <c r="DL4" s="612"/>
      <c r="DN4" s="612"/>
      <c r="DO4" s="614"/>
      <c r="DP4" s="479"/>
      <c r="DQ4" s="612"/>
      <c r="DR4" s="614"/>
      <c r="DS4" s="614"/>
      <c r="DU4" s="612"/>
      <c r="DV4" s="614"/>
      <c r="DW4" s="479"/>
      <c r="DX4" s="481"/>
      <c r="DY4" s="481"/>
      <c r="DZ4" s="612"/>
      <c r="EB4" s="612"/>
      <c r="EC4" s="614"/>
      <c r="ED4" s="479"/>
      <c r="EE4" s="481"/>
      <c r="EF4" s="481"/>
      <c r="EG4" s="612"/>
      <c r="EI4" s="612"/>
      <c r="EJ4" s="614"/>
      <c r="EK4" s="479"/>
      <c r="EL4" s="481"/>
      <c r="EM4" s="481"/>
      <c r="EN4" s="612"/>
      <c r="EP4" s="612"/>
      <c r="EQ4" s="614"/>
      <c r="ER4" s="479"/>
      <c r="ES4" s="481"/>
      <c r="ET4" s="481"/>
      <c r="EU4" s="612"/>
      <c r="EV4" s="614"/>
      <c r="EW4" s="614"/>
      <c r="EX4" s="614"/>
      <c r="EY4" s="479"/>
      <c r="EZ4" s="481"/>
      <c r="FA4" s="481"/>
      <c r="FB4" s="612"/>
      <c r="FD4" s="612"/>
      <c r="FE4" s="614"/>
      <c r="FF4" s="479"/>
      <c r="FG4" s="481"/>
      <c r="FH4" s="481"/>
      <c r="FI4" s="612"/>
      <c r="FK4" s="612"/>
      <c r="FL4" s="614"/>
      <c r="FM4" s="479"/>
      <c r="FN4" s="481"/>
      <c r="FO4" s="481"/>
      <c r="FP4" s="612"/>
      <c r="FR4" s="612"/>
      <c r="FS4" s="614"/>
      <c r="FT4" s="479"/>
      <c r="FU4" s="481"/>
      <c r="FV4" s="481"/>
      <c r="FW4" s="612"/>
      <c r="FY4" s="612"/>
      <c r="FZ4" s="614"/>
      <c r="GA4" s="614"/>
      <c r="GB4" s="479"/>
      <c r="GC4" s="481"/>
      <c r="GD4" s="612"/>
      <c r="GF4" s="612"/>
      <c r="GG4" s="614"/>
      <c r="GH4" s="479"/>
      <c r="GI4" s="481"/>
      <c r="GJ4" s="481"/>
      <c r="GK4" s="612"/>
      <c r="GM4" s="612"/>
      <c r="GN4" s="614"/>
      <c r="GO4" s="479"/>
      <c r="GP4" s="481"/>
      <c r="GQ4" s="481"/>
      <c r="GR4" s="612"/>
      <c r="GT4" s="612"/>
      <c r="GU4" s="614"/>
      <c r="GV4" s="479"/>
      <c r="GW4" s="481"/>
      <c r="GX4" s="481"/>
      <c r="GY4" s="612"/>
      <c r="HA4" s="612"/>
      <c r="HB4" s="614"/>
      <c r="HC4" s="479"/>
      <c r="HD4" s="481"/>
      <c r="HE4" s="612"/>
      <c r="HF4" s="614"/>
      <c r="HH4" s="612"/>
      <c r="HI4" s="614"/>
      <c r="HJ4" s="479"/>
      <c r="HK4" s="481"/>
      <c r="HL4" s="481"/>
      <c r="HM4" s="612"/>
      <c r="HO4" s="612"/>
      <c r="HP4" s="614"/>
      <c r="HQ4" s="479"/>
      <c r="HR4" s="481"/>
      <c r="HS4" s="481"/>
      <c r="HT4" s="612"/>
      <c r="HV4" s="612"/>
      <c r="HW4" s="614"/>
      <c r="HX4" s="479"/>
      <c r="HY4" s="481"/>
      <c r="HZ4" s="481"/>
      <c r="IA4" s="612"/>
      <c r="IC4" s="612"/>
      <c r="ID4" s="614"/>
      <c r="IE4" s="479"/>
      <c r="IF4" s="481"/>
      <c r="IG4" s="481"/>
      <c r="IH4" s="612"/>
      <c r="II4" s="480"/>
      <c r="IJ4" s="614"/>
      <c r="IK4" s="614"/>
      <c r="IL4" s="479"/>
      <c r="IM4" s="481"/>
      <c r="IN4" s="481"/>
      <c r="IO4" s="612"/>
      <c r="IQ4" s="612"/>
      <c r="IR4" s="614"/>
      <c r="IS4" s="479"/>
      <c r="IT4" s="481"/>
      <c r="IU4" s="481"/>
      <c r="IV4" s="612"/>
      <c r="IX4" s="612"/>
      <c r="IY4" s="614"/>
      <c r="IZ4" s="479"/>
      <c r="JA4" s="481"/>
      <c r="JB4" s="481"/>
      <c r="JC4" s="612"/>
      <c r="JE4" s="612"/>
      <c r="JF4" s="614"/>
      <c r="JG4" s="479"/>
      <c r="JH4" s="481"/>
      <c r="JI4" s="481"/>
      <c r="JJ4" s="612"/>
      <c r="JL4" s="612"/>
      <c r="JM4" s="614"/>
      <c r="JN4" s="614"/>
      <c r="JO4" s="479"/>
      <c r="JP4" s="481"/>
      <c r="JQ4" s="612"/>
      <c r="JS4" s="612"/>
      <c r="JT4" s="614"/>
      <c r="JU4" s="479"/>
      <c r="JV4" s="481"/>
      <c r="JW4" s="481"/>
      <c r="JX4" s="612"/>
      <c r="JZ4" s="612"/>
      <c r="KA4" s="614"/>
      <c r="KB4" s="479"/>
      <c r="KC4" s="481"/>
      <c r="KD4" s="481"/>
      <c r="KE4" s="612"/>
      <c r="KG4" s="612"/>
      <c r="KH4" s="614"/>
      <c r="KI4" s="479"/>
      <c r="KJ4" s="481"/>
      <c r="KK4" s="481"/>
      <c r="KL4" s="612"/>
      <c r="KN4" s="612"/>
      <c r="KO4" s="614"/>
      <c r="KP4" s="479"/>
      <c r="KQ4" s="481"/>
      <c r="KR4" s="612"/>
      <c r="KS4" s="614"/>
      <c r="KT4" s="479"/>
      <c r="KU4" s="612"/>
      <c r="KV4" s="614"/>
      <c r="KW4" s="479"/>
      <c r="KX4" s="481"/>
      <c r="KY4" s="481"/>
      <c r="KZ4" s="612"/>
      <c r="LB4" s="612"/>
      <c r="LC4" s="614"/>
      <c r="LD4" s="479"/>
      <c r="LE4" s="481"/>
      <c r="LF4" s="481"/>
      <c r="LG4" s="612"/>
      <c r="LI4" s="612"/>
      <c r="LJ4" s="614"/>
      <c r="LK4" s="479"/>
      <c r="LL4" s="481"/>
      <c r="LM4" s="481"/>
      <c r="LN4" s="612"/>
      <c r="LP4" s="612"/>
      <c r="LQ4" s="614"/>
      <c r="LR4" s="479"/>
      <c r="LS4" s="481"/>
      <c r="LT4" s="481"/>
      <c r="LU4" s="612"/>
      <c r="LW4" s="612"/>
      <c r="LX4" s="614"/>
      <c r="LY4" s="479"/>
      <c r="LZ4" s="481"/>
      <c r="MA4" s="481"/>
      <c r="MB4" s="612"/>
      <c r="MD4" s="612"/>
      <c r="ME4" s="614"/>
      <c r="MF4" s="479"/>
      <c r="MG4" s="481"/>
      <c r="MH4" s="481"/>
      <c r="MI4" s="612"/>
      <c r="MK4" s="612"/>
      <c r="ML4" s="614"/>
      <c r="MM4" s="479"/>
      <c r="MN4" s="481"/>
      <c r="MO4" s="481"/>
      <c r="MP4" s="612"/>
      <c r="MR4" s="612"/>
      <c r="MS4" s="614"/>
      <c r="MT4" s="479"/>
      <c r="MU4" s="481"/>
      <c r="MV4" s="481"/>
      <c r="MW4" s="612"/>
      <c r="MY4" s="612"/>
      <c r="MZ4" s="614"/>
      <c r="NA4" s="479"/>
      <c r="NB4" s="612"/>
      <c r="NC4" s="480"/>
    </row>
    <row r="5" spans="1:367">
      <c r="B5" s="1284"/>
      <c r="C5" s="1284"/>
      <c r="D5" s="1285"/>
      <c r="E5" s="1288"/>
      <c r="F5" s="1286"/>
      <c r="G5" s="1286"/>
      <c r="H5" s="1286"/>
      <c r="I5" s="1311"/>
      <c r="J5" s="1286"/>
      <c r="K5" s="1298"/>
      <c r="L5" s="1286"/>
      <c r="M5" s="612"/>
      <c r="N5" s="1300"/>
      <c r="O5" s="1301"/>
      <c r="P5" s="1302"/>
      <c r="Q5" s="481"/>
      <c r="R5" s="612"/>
      <c r="T5" s="612"/>
      <c r="U5" s="614"/>
      <c r="V5" s="479"/>
      <c r="W5" s="481"/>
      <c r="X5" s="481"/>
      <c r="Y5" s="612"/>
      <c r="AA5" s="612"/>
      <c r="AB5" s="614"/>
      <c r="AC5" s="614"/>
      <c r="AD5" s="479"/>
      <c r="AE5" s="612"/>
      <c r="AF5" s="614"/>
      <c r="AG5" s="479"/>
      <c r="AH5" s="612"/>
      <c r="AI5" s="614"/>
      <c r="AJ5" s="479"/>
      <c r="AK5" s="481"/>
      <c r="AL5" s="481"/>
      <c r="AM5" s="612"/>
      <c r="AO5" s="612"/>
      <c r="AP5" s="614"/>
      <c r="AQ5" s="479"/>
      <c r="AR5" s="481"/>
      <c r="AS5" s="481"/>
      <c r="AT5" s="612"/>
      <c r="AV5" s="612"/>
      <c r="AW5" s="614"/>
      <c r="AX5" s="479"/>
      <c r="AY5" s="481"/>
      <c r="AZ5" s="481"/>
      <c r="BA5" s="612"/>
      <c r="BC5" s="612"/>
      <c r="BD5" s="614"/>
      <c r="BE5" s="479"/>
      <c r="BF5" s="481"/>
      <c r="BG5" s="481"/>
      <c r="BH5" s="612"/>
      <c r="BI5" s="479"/>
      <c r="BJ5" s="612"/>
      <c r="BK5" s="614"/>
      <c r="BL5" s="479"/>
      <c r="BM5" s="481"/>
      <c r="BN5" s="481"/>
      <c r="BO5" s="612"/>
      <c r="BQ5" s="612"/>
      <c r="BR5" s="614"/>
      <c r="BS5" s="479"/>
      <c r="BT5" s="481"/>
      <c r="BU5" s="481"/>
      <c r="BV5" s="612"/>
      <c r="BX5" s="612"/>
      <c r="BY5" s="614"/>
      <c r="BZ5" s="479"/>
      <c r="CA5" s="481"/>
      <c r="CB5" s="481"/>
      <c r="CC5" s="612"/>
      <c r="CE5" s="612"/>
      <c r="CF5" s="614"/>
      <c r="CG5" s="479"/>
      <c r="CH5" s="481"/>
      <c r="CI5" s="481"/>
      <c r="CJ5" s="612"/>
      <c r="CL5" s="612"/>
      <c r="CM5" s="614"/>
      <c r="CN5" s="479"/>
      <c r="CO5" s="481"/>
      <c r="CP5" s="481"/>
      <c r="CQ5" s="612"/>
      <c r="CS5" s="612"/>
      <c r="CT5" s="614"/>
      <c r="CU5" s="479"/>
      <c r="CV5" s="481"/>
      <c r="CW5" s="481"/>
      <c r="CX5" s="612"/>
      <c r="CZ5" s="612"/>
      <c r="DA5" s="614"/>
      <c r="DB5" s="479"/>
      <c r="DC5" s="481"/>
      <c r="DD5" s="481"/>
      <c r="DE5" s="612"/>
      <c r="DG5" s="612"/>
      <c r="DH5" s="614"/>
      <c r="DI5" s="479"/>
      <c r="DJ5" s="481"/>
      <c r="DK5" s="481"/>
      <c r="DL5" s="612"/>
      <c r="DN5" s="612"/>
      <c r="DO5" s="614"/>
      <c r="DP5" s="479"/>
      <c r="DQ5" s="612"/>
      <c r="DR5" s="614"/>
      <c r="DS5" s="614"/>
      <c r="DU5" s="612"/>
      <c r="DV5" s="614"/>
      <c r="DW5" s="479"/>
      <c r="DX5" s="481"/>
      <c r="DY5" s="481"/>
      <c r="DZ5" s="612"/>
      <c r="EB5" s="612"/>
      <c r="EC5" s="614"/>
      <c r="ED5" s="479"/>
      <c r="EE5" s="481"/>
      <c r="EF5" s="481"/>
      <c r="EG5" s="612"/>
      <c r="EI5" s="612"/>
      <c r="EJ5" s="614"/>
      <c r="EK5" s="479"/>
      <c r="EL5" s="481"/>
      <c r="EM5" s="481"/>
      <c r="EN5" s="612"/>
      <c r="EP5" s="612"/>
      <c r="EQ5" s="614"/>
      <c r="ER5" s="479"/>
      <c r="ES5" s="481"/>
      <c r="ET5" s="481"/>
      <c r="EU5" s="612"/>
      <c r="EV5" s="614"/>
      <c r="EW5" s="614"/>
      <c r="EX5" s="614"/>
      <c r="EY5" s="479"/>
      <c r="EZ5" s="481"/>
      <c r="FA5" s="481"/>
      <c r="FB5" s="612"/>
      <c r="FD5" s="612"/>
      <c r="FE5" s="614"/>
      <c r="FF5" s="479"/>
      <c r="FG5" s="481"/>
      <c r="FH5" s="481"/>
      <c r="FI5" s="612"/>
      <c r="FK5" s="612"/>
      <c r="FL5" s="614"/>
      <c r="FM5" s="479"/>
      <c r="FN5" s="481"/>
      <c r="FO5" s="481"/>
      <c r="FP5" s="612"/>
      <c r="FR5" s="612"/>
      <c r="FS5" s="614"/>
      <c r="FT5" s="479"/>
      <c r="FU5" s="481"/>
      <c r="FV5" s="481"/>
      <c r="FW5" s="612"/>
      <c r="FY5" s="612"/>
      <c r="FZ5" s="614"/>
      <c r="GA5" s="614"/>
      <c r="GB5" s="479"/>
      <c r="GC5" s="481"/>
      <c r="GD5" s="612"/>
      <c r="GF5" s="612"/>
      <c r="GG5" s="614"/>
      <c r="GH5" s="479"/>
      <c r="GI5" s="481"/>
      <c r="GJ5" s="481"/>
      <c r="GK5" s="612"/>
      <c r="GM5" s="612"/>
      <c r="GN5" s="614"/>
      <c r="GO5" s="479"/>
      <c r="GP5" s="481"/>
      <c r="GQ5" s="481"/>
      <c r="GR5" s="612"/>
      <c r="GT5" s="612"/>
      <c r="GU5" s="614"/>
      <c r="GV5" s="479"/>
      <c r="GW5" s="481"/>
      <c r="GX5" s="481"/>
      <c r="GY5" s="612"/>
      <c r="HA5" s="612"/>
      <c r="HB5" s="614"/>
      <c r="HC5" s="479"/>
      <c r="HD5" s="481"/>
      <c r="HE5" s="612"/>
      <c r="HF5" s="614"/>
      <c r="HH5" s="612"/>
      <c r="HI5" s="614"/>
      <c r="HJ5" s="479"/>
      <c r="HK5" s="481"/>
      <c r="HL5" s="481"/>
      <c r="HM5" s="612"/>
      <c r="HO5" s="612"/>
      <c r="HP5" s="614"/>
      <c r="HQ5" s="479"/>
      <c r="HR5" s="481"/>
      <c r="HS5" s="481"/>
      <c r="HT5" s="612"/>
      <c r="HV5" s="612"/>
      <c r="HW5" s="614"/>
      <c r="HX5" s="479"/>
      <c r="HY5" s="481"/>
      <c r="HZ5" s="481"/>
      <c r="IA5" s="612"/>
      <c r="IC5" s="612"/>
      <c r="ID5" s="614"/>
      <c r="IE5" s="479"/>
      <c r="IF5" s="481"/>
      <c r="IG5" s="481"/>
      <c r="IH5" s="612"/>
      <c r="II5" s="480"/>
      <c r="IJ5" s="614"/>
      <c r="IK5" s="614"/>
      <c r="IL5" s="479"/>
      <c r="IM5" s="481"/>
      <c r="IN5" s="481"/>
      <c r="IO5" s="612"/>
      <c r="IQ5" s="612"/>
      <c r="IR5" s="614"/>
      <c r="IS5" s="479"/>
      <c r="IT5" s="481"/>
      <c r="IU5" s="481"/>
      <c r="IV5" s="612"/>
      <c r="IX5" s="612"/>
      <c r="IY5" s="614"/>
      <c r="IZ5" s="479"/>
      <c r="JA5" s="481"/>
      <c r="JB5" s="481"/>
      <c r="JC5" s="612"/>
      <c r="JE5" s="612"/>
      <c r="JF5" s="614"/>
      <c r="JG5" s="479"/>
      <c r="JH5" s="481"/>
      <c r="JI5" s="481"/>
      <c r="JJ5" s="612"/>
      <c r="JL5" s="612"/>
      <c r="JM5" s="614"/>
      <c r="JN5" s="614"/>
      <c r="JO5" s="479"/>
      <c r="JP5" s="481"/>
      <c r="JQ5" s="612"/>
      <c r="JS5" s="612"/>
      <c r="JT5" s="614"/>
      <c r="JU5" s="479"/>
      <c r="JV5" s="481"/>
      <c r="JW5" s="481"/>
      <c r="JX5" s="612"/>
      <c r="JZ5" s="612"/>
      <c r="KA5" s="614"/>
      <c r="KB5" s="479"/>
      <c r="KC5" s="481"/>
      <c r="KD5" s="481"/>
      <c r="KE5" s="612"/>
      <c r="KG5" s="612"/>
      <c r="KH5" s="614"/>
      <c r="KI5" s="479"/>
      <c r="KJ5" s="481"/>
      <c r="KK5" s="481"/>
      <c r="KL5" s="612"/>
      <c r="KN5" s="612"/>
      <c r="KO5" s="614"/>
      <c r="KP5" s="479"/>
      <c r="KQ5" s="481"/>
      <c r="KR5" s="612"/>
      <c r="KS5" s="614"/>
      <c r="KT5" s="479"/>
      <c r="KU5" s="612"/>
      <c r="KV5" s="614"/>
      <c r="KW5" s="479"/>
      <c r="KX5" s="481"/>
      <c r="KY5" s="481"/>
      <c r="KZ5" s="612"/>
      <c r="LB5" s="612"/>
      <c r="LC5" s="614"/>
      <c r="LD5" s="479"/>
      <c r="LE5" s="481"/>
      <c r="LF5" s="481"/>
      <c r="LG5" s="612"/>
      <c r="LI5" s="612"/>
      <c r="LJ5" s="614"/>
      <c r="LK5" s="479"/>
      <c r="LL5" s="481"/>
      <c r="LM5" s="481"/>
      <c r="LN5" s="612"/>
      <c r="LP5" s="612"/>
      <c r="LQ5" s="614"/>
      <c r="LR5" s="479"/>
      <c r="LS5" s="481"/>
      <c r="LT5" s="481"/>
      <c r="LU5" s="612"/>
      <c r="LW5" s="612"/>
      <c r="LX5" s="614"/>
      <c r="LY5" s="479"/>
      <c r="LZ5" s="481"/>
      <c r="MA5" s="481"/>
      <c r="MB5" s="612"/>
      <c r="MD5" s="612"/>
      <c r="ME5" s="614"/>
      <c r="MF5" s="479"/>
      <c r="MG5" s="481"/>
      <c r="MH5" s="481"/>
      <c r="MI5" s="612"/>
      <c r="MK5" s="612"/>
      <c r="ML5" s="614"/>
      <c r="MM5" s="479"/>
      <c r="MN5" s="481"/>
      <c r="MO5" s="481"/>
      <c r="MP5" s="612"/>
      <c r="MR5" s="612"/>
      <c r="MS5" s="614"/>
      <c r="MT5" s="479"/>
      <c r="MU5" s="481"/>
      <c r="MV5" s="481"/>
      <c r="MW5" s="612"/>
      <c r="MY5" s="612"/>
      <c r="MZ5" s="614"/>
      <c r="NA5" s="479"/>
      <c r="NB5" s="612"/>
      <c r="NC5" s="480"/>
    </row>
    <row r="6" spans="1:367">
      <c r="B6" s="1284"/>
      <c r="C6" s="1284"/>
      <c r="D6" s="1285"/>
      <c r="E6" s="1288"/>
      <c r="F6" s="1286"/>
      <c r="G6" s="1286"/>
      <c r="H6" s="1286"/>
      <c r="I6" s="1311"/>
      <c r="J6" s="1286"/>
      <c r="K6" s="1298"/>
      <c r="L6" s="1286"/>
      <c r="M6" s="612"/>
      <c r="N6" s="1300"/>
      <c r="O6" s="1301"/>
      <c r="P6" s="1302"/>
      <c r="Q6" s="481"/>
      <c r="R6" s="612"/>
      <c r="T6" s="612"/>
      <c r="U6" s="614"/>
      <c r="V6" s="479"/>
      <c r="W6" s="481"/>
      <c r="X6" s="481"/>
      <c r="Y6" s="612"/>
      <c r="AA6" s="612"/>
      <c r="AB6" s="614"/>
      <c r="AC6" s="614"/>
      <c r="AD6" s="479"/>
      <c r="AE6" s="612"/>
      <c r="AF6" s="614"/>
      <c r="AG6" s="479"/>
      <c r="AH6" s="612"/>
      <c r="AI6" s="614"/>
      <c r="AJ6" s="479"/>
      <c r="AK6" s="481"/>
      <c r="AL6" s="481"/>
      <c r="AM6" s="612"/>
      <c r="AO6" s="612"/>
      <c r="AP6" s="614"/>
      <c r="AQ6" s="479"/>
      <c r="AR6" s="481"/>
      <c r="AS6" s="481"/>
      <c r="AT6" s="612"/>
      <c r="AV6" s="612"/>
      <c r="AW6" s="614"/>
      <c r="AX6" s="479"/>
      <c r="AY6" s="481"/>
      <c r="AZ6" s="481"/>
      <c r="BA6" s="612"/>
      <c r="BC6" s="612"/>
      <c r="BD6" s="614"/>
      <c r="BE6" s="479"/>
      <c r="BF6" s="481"/>
      <c r="BG6" s="481"/>
      <c r="BH6" s="612"/>
      <c r="BI6" s="479"/>
      <c r="BJ6" s="612"/>
      <c r="BK6" s="614"/>
      <c r="BL6" s="479"/>
      <c r="BM6" s="481"/>
      <c r="BN6" s="481"/>
      <c r="BO6" s="612"/>
      <c r="BQ6" s="612"/>
      <c r="BR6" s="614"/>
      <c r="BS6" s="479"/>
      <c r="BT6" s="481"/>
      <c r="BU6" s="481"/>
      <c r="BV6" s="612"/>
      <c r="BX6" s="612"/>
      <c r="BY6" s="614"/>
      <c r="BZ6" s="479"/>
      <c r="CA6" s="481"/>
      <c r="CB6" s="481"/>
      <c r="CC6" s="612"/>
      <c r="CE6" s="612"/>
      <c r="CF6" s="614"/>
      <c r="CG6" s="479"/>
      <c r="CH6" s="481"/>
      <c r="CI6" s="481"/>
      <c r="CJ6" s="612"/>
      <c r="CL6" s="612"/>
      <c r="CM6" s="614"/>
      <c r="CN6" s="479"/>
      <c r="CO6" s="481"/>
      <c r="CP6" s="481"/>
      <c r="CQ6" s="612"/>
      <c r="CS6" s="612"/>
      <c r="CT6" s="614"/>
      <c r="CU6" s="479"/>
      <c r="CV6" s="481"/>
      <c r="CW6" s="481"/>
      <c r="CX6" s="612"/>
      <c r="CZ6" s="612"/>
      <c r="DA6" s="614"/>
      <c r="DB6" s="479"/>
      <c r="DC6" s="481"/>
      <c r="DD6" s="481"/>
      <c r="DE6" s="612"/>
      <c r="DG6" s="612"/>
      <c r="DH6" s="614"/>
      <c r="DI6" s="479"/>
      <c r="DJ6" s="481"/>
      <c r="DK6" s="481"/>
      <c r="DL6" s="612"/>
      <c r="DN6" s="612"/>
      <c r="DO6" s="614"/>
      <c r="DP6" s="479"/>
      <c r="DQ6" s="612"/>
      <c r="DR6" s="614"/>
      <c r="DS6" s="614"/>
      <c r="DU6" s="612"/>
      <c r="DV6" s="614"/>
      <c r="DW6" s="479"/>
      <c r="DX6" s="481"/>
      <c r="DY6" s="481"/>
      <c r="DZ6" s="612"/>
      <c r="EB6" s="612"/>
      <c r="EC6" s="614"/>
      <c r="ED6" s="479"/>
      <c r="EE6" s="481"/>
      <c r="EF6" s="481"/>
      <c r="EG6" s="612"/>
      <c r="EI6" s="612"/>
      <c r="EJ6" s="614"/>
      <c r="EK6" s="479"/>
      <c r="EL6" s="481"/>
      <c r="EM6" s="481"/>
      <c r="EN6" s="612"/>
      <c r="EP6" s="612"/>
      <c r="EQ6" s="614"/>
      <c r="ER6" s="479"/>
      <c r="ES6" s="481"/>
      <c r="ET6" s="481"/>
      <c r="EU6" s="612"/>
      <c r="EV6" s="614"/>
      <c r="EW6" s="614"/>
      <c r="EX6" s="614"/>
      <c r="EY6" s="479"/>
      <c r="EZ6" s="481"/>
      <c r="FA6" s="481"/>
      <c r="FB6" s="612"/>
      <c r="FD6" s="612"/>
      <c r="FE6" s="614"/>
      <c r="FF6" s="479"/>
      <c r="FG6" s="481"/>
      <c r="FH6" s="481"/>
      <c r="FI6" s="612"/>
      <c r="FK6" s="612"/>
      <c r="FL6" s="614"/>
      <c r="FM6" s="479"/>
      <c r="FN6" s="481"/>
      <c r="FO6" s="481"/>
      <c r="FP6" s="612"/>
      <c r="FR6" s="612"/>
      <c r="FS6" s="614"/>
      <c r="FT6" s="479"/>
      <c r="FU6" s="481"/>
      <c r="FV6" s="481"/>
      <c r="FW6" s="612"/>
      <c r="FY6" s="612"/>
      <c r="FZ6" s="614"/>
      <c r="GA6" s="614"/>
      <c r="GB6" s="479"/>
      <c r="GC6" s="481"/>
      <c r="GD6" s="612"/>
      <c r="GF6" s="612"/>
      <c r="GG6" s="614"/>
      <c r="GH6" s="479"/>
      <c r="GI6" s="481"/>
      <c r="GJ6" s="481"/>
      <c r="GK6" s="612"/>
      <c r="GM6" s="612"/>
      <c r="GN6" s="614"/>
      <c r="GO6" s="479"/>
      <c r="GP6" s="481"/>
      <c r="GQ6" s="481"/>
      <c r="GR6" s="612"/>
      <c r="GT6" s="612"/>
      <c r="GU6" s="614"/>
      <c r="GV6" s="479"/>
      <c r="GW6" s="481"/>
      <c r="GX6" s="481"/>
      <c r="GY6" s="612"/>
      <c r="HA6" s="612"/>
      <c r="HB6" s="614"/>
      <c r="HC6" s="479"/>
      <c r="HD6" s="481"/>
      <c r="HE6" s="612"/>
      <c r="HF6" s="614"/>
      <c r="HH6" s="612"/>
      <c r="HI6" s="614"/>
      <c r="HJ6" s="479"/>
      <c r="HK6" s="481"/>
      <c r="HL6" s="481"/>
      <c r="HM6" s="612"/>
      <c r="HO6" s="612"/>
      <c r="HP6" s="614"/>
      <c r="HQ6" s="479"/>
      <c r="HR6" s="481"/>
      <c r="HS6" s="481"/>
      <c r="HT6" s="612"/>
      <c r="HV6" s="612"/>
      <c r="HW6" s="614"/>
      <c r="HX6" s="479"/>
      <c r="HY6" s="481"/>
      <c r="HZ6" s="481"/>
      <c r="IA6" s="612"/>
      <c r="IC6" s="612"/>
      <c r="ID6" s="614"/>
      <c r="IE6" s="479"/>
      <c r="IF6" s="481"/>
      <c r="IG6" s="481"/>
      <c r="IH6" s="612"/>
      <c r="II6" s="480"/>
      <c r="IJ6" s="614"/>
      <c r="IK6" s="614"/>
      <c r="IL6" s="479"/>
      <c r="IM6" s="481"/>
      <c r="IN6" s="481"/>
      <c r="IO6" s="612"/>
      <c r="IQ6" s="612"/>
      <c r="IR6" s="614"/>
      <c r="IS6" s="479"/>
      <c r="IT6" s="481"/>
      <c r="IU6" s="481"/>
      <c r="IV6" s="612"/>
      <c r="IX6" s="612"/>
      <c r="IY6" s="614"/>
      <c r="IZ6" s="479"/>
      <c r="JA6" s="481"/>
      <c r="JB6" s="481"/>
      <c r="JC6" s="612"/>
      <c r="JE6" s="612"/>
      <c r="JF6" s="614"/>
      <c r="JG6" s="479"/>
      <c r="JH6" s="481"/>
      <c r="JI6" s="481"/>
      <c r="JJ6" s="612"/>
      <c r="JL6" s="612"/>
      <c r="JM6" s="614"/>
      <c r="JN6" s="614"/>
      <c r="JO6" s="479"/>
      <c r="JP6" s="481"/>
      <c r="JQ6" s="612"/>
      <c r="JS6" s="612"/>
      <c r="JT6" s="614"/>
      <c r="JU6" s="479"/>
      <c r="JV6" s="481"/>
      <c r="JW6" s="481"/>
      <c r="JX6" s="612"/>
      <c r="JZ6" s="612"/>
      <c r="KA6" s="614"/>
      <c r="KB6" s="479"/>
      <c r="KC6" s="481"/>
      <c r="KD6" s="481"/>
      <c r="KE6" s="612"/>
      <c r="KG6" s="612"/>
      <c r="KH6" s="614"/>
      <c r="KI6" s="479"/>
      <c r="KJ6" s="481"/>
      <c r="KK6" s="481"/>
      <c r="KL6" s="612"/>
      <c r="KN6" s="612"/>
      <c r="KO6" s="614"/>
      <c r="KP6" s="479"/>
      <c r="KQ6" s="481"/>
      <c r="KR6" s="612"/>
      <c r="KS6" s="614"/>
      <c r="KT6" s="479"/>
      <c r="KU6" s="612"/>
      <c r="KV6" s="614"/>
      <c r="KW6" s="479"/>
      <c r="KX6" s="481"/>
      <c r="KY6" s="481"/>
      <c r="KZ6" s="612"/>
      <c r="LB6" s="612"/>
      <c r="LC6" s="614"/>
      <c r="LD6" s="479"/>
      <c r="LE6" s="481"/>
      <c r="LF6" s="481"/>
      <c r="LG6" s="612"/>
      <c r="LI6" s="612"/>
      <c r="LJ6" s="614"/>
      <c r="LK6" s="479"/>
      <c r="LL6" s="481"/>
      <c r="LM6" s="481"/>
      <c r="LN6" s="612"/>
      <c r="LP6" s="612"/>
      <c r="LQ6" s="614"/>
      <c r="LR6" s="479"/>
      <c r="LS6" s="481"/>
      <c r="LT6" s="481"/>
      <c r="LU6" s="612"/>
      <c r="LW6" s="612"/>
      <c r="LX6" s="614"/>
      <c r="LY6" s="479"/>
      <c r="LZ6" s="481"/>
      <c r="MA6" s="481"/>
      <c r="MB6" s="612"/>
      <c r="MD6" s="612"/>
      <c r="ME6" s="614"/>
      <c r="MF6" s="479"/>
      <c r="MG6" s="481"/>
      <c r="MH6" s="481"/>
      <c r="MI6" s="612"/>
      <c r="MK6" s="612"/>
      <c r="ML6" s="614"/>
      <c r="MM6" s="479"/>
      <c r="MN6" s="481"/>
      <c r="MO6" s="481"/>
      <c r="MP6" s="612"/>
      <c r="MR6" s="612"/>
      <c r="MS6" s="614"/>
      <c r="MT6" s="479"/>
      <c r="MU6" s="481"/>
      <c r="MV6" s="481"/>
      <c r="MW6" s="612"/>
      <c r="MY6" s="612"/>
      <c r="MZ6" s="614"/>
      <c r="NA6" s="479"/>
      <c r="NB6" s="612"/>
      <c r="NC6" s="480"/>
    </row>
    <row r="7" spans="1:367">
      <c r="B7" s="1284"/>
      <c r="C7" s="1284"/>
      <c r="D7" s="1285"/>
      <c r="E7" s="1288"/>
      <c r="F7" s="1286"/>
      <c r="G7" s="1286"/>
      <c r="H7" s="1286"/>
      <c r="I7" s="1311"/>
      <c r="J7" s="1286"/>
      <c r="K7" s="1298"/>
      <c r="L7" s="1286"/>
      <c r="M7" s="612"/>
      <c r="N7" s="1300"/>
      <c r="O7" s="1301"/>
      <c r="P7" s="1302"/>
      <c r="Q7" s="481"/>
      <c r="R7" s="612"/>
      <c r="T7" s="612"/>
      <c r="U7" s="614"/>
      <c r="V7" s="479"/>
      <c r="W7" s="481"/>
      <c r="X7" s="481"/>
      <c r="Y7" s="612"/>
      <c r="AA7" s="612"/>
      <c r="AB7" s="614"/>
      <c r="AC7" s="614"/>
      <c r="AD7" s="479"/>
      <c r="AE7" s="612"/>
      <c r="AF7" s="614"/>
      <c r="AG7" s="479"/>
      <c r="AH7" s="612"/>
      <c r="AI7" s="614"/>
      <c r="AJ7" s="479"/>
      <c r="AK7" s="481"/>
      <c r="AL7" s="481"/>
      <c r="AM7" s="612"/>
      <c r="AO7" s="612"/>
      <c r="AP7" s="614"/>
      <c r="AQ7" s="479"/>
      <c r="AR7" s="481"/>
      <c r="AS7" s="481"/>
      <c r="AT7" s="612"/>
      <c r="AV7" s="612"/>
      <c r="AW7" s="614"/>
      <c r="AX7" s="479"/>
      <c r="AY7" s="481"/>
      <c r="AZ7" s="481"/>
      <c r="BA7" s="612"/>
      <c r="BC7" s="612"/>
      <c r="BD7" s="614"/>
      <c r="BE7" s="479"/>
      <c r="BF7" s="481"/>
      <c r="BG7" s="481"/>
      <c r="BH7" s="612"/>
      <c r="BI7" s="479"/>
      <c r="BJ7" s="612"/>
      <c r="BK7" s="614"/>
      <c r="BL7" s="479"/>
      <c r="BM7" s="481"/>
      <c r="BN7" s="481"/>
      <c r="BO7" s="612"/>
      <c r="BQ7" s="612"/>
      <c r="BR7" s="614"/>
      <c r="BS7" s="479"/>
      <c r="BT7" s="481"/>
      <c r="BU7" s="481"/>
      <c r="BV7" s="612"/>
      <c r="BX7" s="612"/>
      <c r="BY7" s="614"/>
      <c r="BZ7" s="479"/>
      <c r="CA7" s="481"/>
      <c r="CB7" s="481"/>
      <c r="CC7" s="612"/>
      <c r="CE7" s="612"/>
      <c r="CF7" s="614"/>
      <c r="CG7" s="479"/>
      <c r="CH7" s="481"/>
      <c r="CI7" s="481"/>
      <c r="CJ7" s="612"/>
      <c r="CL7" s="612"/>
      <c r="CM7" s="614"/>
      <c r="CN7" s="479"/>
      <c r="CO7" s="481"/>
      <c r="CP7" s="481"/>
      <c r="CQ7" s="612"/>
      <c r="CS7" s="612"/>
      <c r="CT7" s="614"/>
      <c r="CU7" s="479"/>
      <c r="CV7" s="481"/>
      <c r="CW7" s="481"/>
      <c r="CX7" s="612"/>
      <c r="CZ7" s="612"/>
      <c r="DA7" s="614"/>
      <c r="DB7" s="479"/>
      <c r="DC7" s="481"/>
      <c r="DD7" s="481"/>
      <c r="DE7" s="612"/>
      <c r="DG7" s="612"/>
      <c r="DH7" s="614"/>
      <c r="DI7" s="479"/>
      <c r="DJ7" s="481"/>
      <c r="DK7" s="481"/>
      <c r="DL7" s="612"/>
      <c r="DN7" s="612"/>
      <c r="DO7" s="614"/>
      <c r="DP7" s="479"/>
      <c r="DQ7" s="612"/>
      <c r="DR7" s="614"/>
      <c r="DS7" s="614"/>
      <c r="DU7" s="612"/>
      <c r="DV7" s="614"/>
      <c r="DW7" s="479"/>
      <c r="DX7" s="481"/>
      <c r="DY7" s="481"/>
      <c r="DZ7" s="612"/>
      <c r="EB7" s="612"/>
      <c r="EC7" s="614"/>
      <c r="ED7" s="479"/>
      <c r="EE7" s="481"/>
      <c r="EF7" s="481"/>
      <c r="EG7" s="612"/>
      <c r="EI7" s="612"/>
      <c r="EJ7" s="614"/>
      <c r="EK7" s="479"/>
      <c r="EL7" s="481"/>
      <c r="EM7" s="481"/>
      <c r="EN7" s="612"/>
      <c r="EP7" s="612"/>
      <c r="EQ7" s="614"/>
      <c r="ER7" s="479"/>
      <c r="ES7" s="481"/>
      <c r="ET7" s="481"/>
      <c r="EU7" s="612"/>
      <c r="EV7" s="614"/>
      <c r="EW7" s="614"/>
      <c r="EX7" s="614"/>
      <c r="EY7" s="479"/>
      <c r="EZ7" s="481"/>
      <c r="FA7" s="481"/>
      <c r="FB7" s="612"/>
      <c r="FD7" s="612"/>
      <c r="FE7" s="614"/>
      <c r="FF7" s="479"/>
      <c r="FG7" s="481"/>
      <c r="FH7" s="481"/>
      <c r="FI7" s="612"/>
      <c r="FK7" s="612"/>
      <c r="FL7" s="614"/>
      <c r="FM7" s="479"/>
      <c r="FN7" s="481"/>
      <c r="FO7" s="481"/>
      <c r="FP7" s="612"/>
      <c r="FR7" s="612"/>
      <c r="FS7" s="614"/>
      <c r="FT7" s="479"/>
      <c r="FU7" s="481"/>
      <c r="FV7" s="481"/>
      <c r="FW7" s="612"/>
      <c r="FY7" s="612"/>
      <c r="FZ7" s="614"/>
      <c r="GA7" s="614"/>
      <c r="GB7" s="479"/>
      <c r="GC7" s="481"/>
      <c r="GD7" s="612"/>
      <c r="GF7" s="612"/>
      <c r="GG7" s="614"/>
      <c r="GH7" s="479"/>
      <c r="GI7" s="481"/>
      <c r="GJ7" s="481"/>
      <c r="GK7" s="612"/>
      <c r="GM7" s="612"/>
      <c r="GN7" s="614"/>
      <c r="GO7" s="479"/>
      <c r="GP7" s="481"/>
      <c r="GQ7" s="481"/>
      <c r="GR7" s="612"/>
      <c r="GT7" s="612"/>
      <c r="GU7" s="614"/>
      <c r="GV7" s="479"/>
      <c r="GW7" s="481"/>
      <c r="GX7" s="481"/>
      <c r="GY7" s="612"/>
      <c r="HA7" s="612"/>
      <c r="HB7" s="614"/>
      <c r="HC7" s="479"/>
      <c r="HD7" s="481"/>
      <c r="HE7" s="612"/>
      <c r="HF7" s="614"/>
      <c r="HH7" s="612"/>
      <c r="HI7" s="614"/>
      <c r="HJ7" s="479"/>
      <c r="HK7" s="481"/>
      <c r="HL7" s="481"/>
      <c r="HM7" s="612"/>
      <c r="HO7" s="612"/>
      <c r="HP7" s="614"/>
      <c r="HQ7" s="479"/>
      <c r="HR7" s="481"/>
      <c r="HS7" s="481"/>
      <c r="HT7" s="612"/>
      <c r="HV7" s="612"/>
      <c r="HW7" s="614"/>
      <c r="HX7" s="479"/>
      <c r="HY7" s="481"/>
      <c r="HZ7" s="481"/>
      <c r="IA7" s="612"/>
      <c r="IC7" s="612"/>
      <c r="ID7" s="614"/>
      <c r="IE7" s="479"/>
      <c r="IF7" s="481"/>
      <c r="IG7" s="481"/>
      <c r="IH7" s="612"/>
      <c r="II7" s="480"/>
      <c r="IJ7" s="614"/>
      <c r="IK7" s="614"/>
      <c r="IL7" s="479"/>
      <c r="IM7" s="481"/>
      <c r="IN7" s="481"/>
      <c r="IO7" s="612"/>
      <c r="IQ7" s="612"/>
      <c r="IR7" s="614"/>
      <c r="IS7" s="479"/>
      <c r="IT7" s="481"/>
      <c r="IU7" s="481"/>
      <c r="IV7" s="612"/>
      <c r="IX7" s="612"/>
      <c r="IY7" s="614"/>
      <c r="IZ7" s="479"/>
      <c r="JA7" s="481"/>
      <c r="JB7" s="481"/>
      <c r="JC7" s="612"/>
      <c r="JE7" s="612"/>
      <c r="JF7" s="614"/>
      <c r="JG7" s="479"/>
      <c r="JH7" s="481"/>
      <c r="JI7" s="481"/>
      <c r="JJ7" s="612"/>
      <c r="JL7" s="612"/>
      <c r="JM7" s="614"/>
      <c r="JN7" s="614"/>
      <c r="JO7" s="479"/>
      <c r="JP7" s="481"/>
      <c r="JQ7" s="612"/>
      <c r="JS7" s="612"/>
      <c r="JT7" s="614"/>
      <c r="JU7" s="479"/>
      <c r="JV7" s="481"/>
      <c r="JW7" s="481"/>
      <c r="JX7" s="612"/>
      <c r="JZ7" s="612"/>
      <c r="KA7" s="614"/>
      <c r="KB7" s="479"/>
      <c r="KC7" s="481"/>
      <c r="KD7" s="481"/>
      <c r="KE7" s="612"/>
      <c r="KG7" s="612"/>
      <c r="KH7" s="614"/>
      <c r="KI7" s="479"/>
      <c r="KJ7" s="481"/>
      <c r="KK7" s="481"/>
      <c r="KL7" s="612"/>
      <c r="KN7" s="612"/>
      <c r="KO7" s="614"/>
      <c r="KP7" s="479"/>
      <c r="KQ7" s="481"/>
      <c r="KR7" s="612"/>
      <c r="KS7" s="614"/>
      <c r="KT7" s="479"/>
      <c r="KU7" s="612"/>
      <c r="KV7" s="614"/>
      <c r="KW7" s="479"/>
      <c r="KX7" s="481"/>
      <c r="KY7" s="481"/>
      <c r="KZ7" s="612"/>
      <c r="LB7" s="612"/>
      <c r="LC7" s="614"/>
      <c r="LD7" s="479"/>
      <c r="LE7" s="481"/>
      <c r="LF7" s="481"/>
      <c r="LG7" s="612"/>
      <c r="LI7" s="612"/>
      <c r="LJ7" s="614"/>
      <c r="LK7" s="479"/>
      <c r="LL7" s="481"/>
      <c r="LM7" s="481"/>
      <c r="LN7" s="612"/>
      <c r="LP7" s="612"/>
      <c r="LQ7" s="614"/>
      <c r="LR7" s="479"/>
      <c r="LS7" s="481"/>
      <c r="LT7" s="481"/>
      <c r="LU7" s="612"/>
      <c r="LW7" s="612"/>
      <c r="LX7" s="614"/>
      <c r="LY7" s="479"/>
      <c r="LZ7" s="481"/>
      <c r="MA7" s="481"/>
      <c r="MB7" s="612"/>
      <c r="MD7" s="612"/>
      <c r="ME7" s="614"/>
      <c r="MF7" s="479"/>
      <c r="MG7" s="481"/>
      <c r="MH7" s="481"/>
      <c r="MI7" s="612"/>
      <c r="MK7" s="612"/>
      <c r="ML7" s="614"/>
      <c r="MM7" s="479"/>
      <c r="MN7" s="481"/>
      <c r="MO7" s="481"/>
      <c r="MP7" s="612"/>
      <c r="MR7" s="612"/>
      <c r="MS7" s="614"/>
      <c r="MT7" s="479"/>
      <c r="MU7" s="481"/>
      <c r="MV7" s="481"/>
      <c r="MW7" s="612"/>
      <c r="MY7" s="612"/>
      <c r="MZ7" s="614"/>
      <c r="NA7" s="479"/>
      <c r="NB7" s="612"/>
      <c r="NC7" s="480"/>
    </row>
    <row r="8" spans="1:367">
      <c r="B8" s="1284"/>
      <c r="C8" s="1286"/>
      <c r="D8" s="1287"/>
      <c r="E8" s="1288"/>
      <c r="F8" s="1287"/>
      <c r="G8" s="1286"/>
      <c r="H8" s="1286"/>
      <c r="I8" s="1311"/>
      <c r="J8" s="1286"/>
      <c r="K8" s="1298"/>
      <c r="L8" s="1286"/>
      <c r="M8" s="612"/>
      <c r="N8" s="1300"/>
      <c r="O8" s="1301"/>
      <c r="P8" s="1303"/>
      <c r="R8" s="612"/>
      <c r="T8" s="612"/>
      <c r="U8" s="614"/>
      <c r="V8" s="479"/>
      <c r="W8" s="612"/>
      <c r="Y8" s="612"/>
      <c r="AA8" s="612"/>
      <c r="AB8" s="614"/>
      <c r="AC8" s="479"/>
      <c r="AD8" s="612"/>
      <c r="AE8" s="480"/>
      <c r="AF8" s="614"/>
      <c r="AG8" s="479"/>
      <c r="AH8" s="612"/>
      <c r="AI8" s="614"/>
      <c r="AJ8" s="479"/>
      <c r="AK8" s="612"/>
      <c r="AM8" s="612"/>
      <c r="AO8" s="612"/>
      <c r="AP8" s="614"/>
      <c r="AQ8" s="479"/>
      <c r="AR8" s="612"/>
      <c r="AT8" s="612"/>
      <c r="AV8" s="612"/>
      <c r="AW8" s="614"/>
      <c r="AX8" s="479"/>
      <c r="AY8" s="612"/>
      <c r="BA8" s="612"/>
      <c r="BC8" s="612"/>
      <c r="BD8" s="614"/>
      <c r="BE8" s="479"/>
      <c r="BF8" s="612"/>
      <c r="BH8" s="612"/>
      <c r="BI8" s="479"/>
      <c r="BJ8" s="612"/>
      <c r="BK8" s="614"/>
      <c r="BL8" s="479"/>
      <c r="BM8" s="612"/>
      <c r="BO8" s="612"/>
      <c r="BQ8" s="612"/>
      <c r="BR8" s="614"/>
      <c r="BS8" s="479"/>
      <c r="BT8" s="612"/>
      <c r="BV8" s="612"/>
      <c r="BX8" s="612"/>
      <c r="BY8" s="614"/>
      <c r="BZ8" s="479"/>
      <c r="CA8" s="612"/>
      <c r="CC8" s="612"/>
      <c r="CE8" s="612"/>
      <c r="CF8" s="614"/>
      <c r="CG8" s="479"/>
      <c r="CH8" s="612"/>
      <c r="CJ8" s="612"/>
      <c r="CL8" s="612"/>
      <c r="CM8" s="614"/>
      <c r="CN8" s="479"/>
      <c r="CO8" s="612"/>
      <c r="CQ8" s="612"/>
      <c r="CS8" s="612"/>
      <c r="CT8" s="614"/>
      <c r="CU8" s="479"/>
      <c r="CV8" s="612"/>
      <c r="CX8" s="612"/>
      <c r="CZ8" s="612"/>
      <c r="DA8" s="614"/>
      <c r="DB8" s="479"/>
      <c r="DC8" s="612"/>
      <c r="DE8" s="612"/>
      <c r="DG8" s="612"/>
      <c r="DH8" s="614"/>
      <c r="DI8" s="479"/>
      <c r="DJ8" s="612"/>
      <c r="DL8" s="612"/>
      <c r="DN8" s="612"/>
      <c r="DO8" s="614"/>
      <c r="DP8" s="479"/>
      <c r="DQ8" s="612"/>
      <c r="DR8" s="614"/>
      <c r="DS8" s="614"/>
      <c r="DU8" s="612"/>
      <c r="DV8" s="614"/>
      <c r="DW8" s="479"/>
      <c r="DX8" s="612"/>
      <c r="DZ8" s="612"/>
      <c r="EB8" s="612"/>
      <c r="EC8" s="614"/>
      <c r="ED8" s="479"/>
      <c r="EE8" s="612"/>
      <c r="EG8" s="612"/>
      <c r="EI8" s="612"/>
      <c r="EJ8" s="614"/>
      <c r="EK8" s="479"/>
      <c r="EL8" s="612"/>
      <c r="EN8" s="612"/>
      <c r="EP8" s="612"/>
      <c r="EQ8" s="614"/>
      <c r="ER8" s="479"/>
      <c r="ES8" s="612"/>
      <c r="EU8" s="612"/>
      <c r="EV8" s="480"/>
      <c r="EW8" s="614"/>
      <c r="EX8" s="614"/>
      <c r="EY8" s="479"/>
      <c r="EZ8" s="612"/>
      <c r="FB8" s="612"/>
      <c r="FD8" s="612"/>
      <c r="FE8" s="614"/>
      <c r="FF8" s="479"/>
      <c r="FG8" s="612"/>
      <c r="FI8" s="612"/>
      <c r="FK8" s="612"/>
      <c r="FL8" s="614"/>
      <c r="FM8" s="479"/>
      <c r="FN8" s="612"/>
      <c r="FP8" s="612"/>
      <c r="FR8" s="612"/>
      <c r="FS8" s="614"/>
      <c r="FT8" s="479"/>
      <c r="FU8" s="612"/>
      <c r="FW8" s="612"/>
      <c r="FY8" s="612"/>
      <c r="FZ8" s="614"/>
      <c r="GA8" s="614"/>
      <c r="GB8" s="614"/>
      <c r="GD8" s="612"/>
      <c r="GF8" s="612"/>
      <c r="GG8" s="614"/>
      <c r="GH8" s="479"/>
      <c r="GI8" s="612"/>
      <c r="GK8" s="612"/>
      <c r="GM8" s="612"/>
      <c r="GN8" s="614"/>
      <c r="GO8" s="479"/>
      <c r="GP8" s="612"/>
      <c r="GR8" s="612"/>
      <c r="GT8" s="612"/>
      <c r="GU8" s="614"/>
      <c r="GV8" s="479"/>
      <c r="GW8" s="612"/>
      <c r="GY8" s="612"/>
      <c r="HA8" s="612"/>
      <c r="HB8" s="614"/>
      <c r="HC8" s="479"/>
      <c r="HD8" s="612"/>
      <c r="HE8" s="480"/>
      <c r="HF8" s="614"/>
      <c r="HH8" s="612"/>
      <c r="HI8" s="614"/>
      <c r="HJ8" s="479"/>
      <c r="HK8" s="612"/>
      <c r="HM8" s="612"/>
      <c r="HO8" s="612"/>
      <c r="HP8" s="614"/>
      <c r="HQ8" s="479"/>
      <c r="HR8" s="612"/>
      <c r="HT8" s="612"/>
      <c r="HV8" s="612"/>
      <c r="HW8" s="614"/>
      <c r="HX8" s="479"/>
      <c r="HY8" s="612"/>
      <c r="IA8" s="612"/>
      <c r="IC8" s="612"/>
      <c r="ID8" s="614"/>
      <c r="IE8" s="479"/>
      <c r="IF8" s="612"/>
      <c r="IH8" s="612"/>
      <c r="IJ8" s="612"/>
      <c r="IK8" s="614"/>
      <c r="IL8" s="479"/>
      <c r="IM8" s="612"/>
      <c r="IO8" s="612"/>
      <c r="IQ8" s="612"/>
      <c r="IR8" s="614"/>
      <c r="IS8" s="479"/>
      <c r="IT8" s="612"/>
      <c r="IV8" s="612"/>
      <c r="IX8" s="612"/>
      <c r="IY8" s="614"/>
      <c r="IZ8" s="479"/>
      <c r="JA8" s="612"/>
      <c r="JC8" s="612"/>
      <c r="JE8" s="612"/>
      <c r="JF8" s="614"/>
      <c r="JG8" s="479"/>
      <c r="JH8" s="612"/>
      <c r="JJ8" s="612"/>
      <c r="JL8" s="612"/>
      <c r="JM8" s="614"/>
      <c r="JN8" s="614"/>
      <c r="JO8" s="614"/>
      <c r="JP8" s="479"/>
      <c r="JQ8" s="612"/>
      <c r="JS8" s="612"/>
      <c r="JT8" s="614"/>
      <c r="JU8" s="479"/>
      <c r="JV8" s="612"/>
      <c r="JX8" s="612"/>
      <c r="JZ8" s="612"/>
      <c r="KA8" s="614"/>
      <c r="KB8" s="479"/>
      <c r="KC8" s="612"/>
      <c r="KE8" s="612"/>
      <c r="KG8" s="612"/>
      <c r="KH8" s="614"/>
      <c r="KI8" s="479"/>
      <c r="KJ8" s="612"/>
      <c r="KL8" s="612"/>
      <c r="KN8" s="612"/>
      <c r="KO8" s="614"/>
      <c r="KP8" s="479"/>
      <c r="KQ8" s="612"/>
      <c r="KS8" s="612"/>
      <c r="KT8" s="479"/>
      <c r="KU8" s="612"/>
      <c r="KV8" s="614"/>
      <c r="KW8" s="479"/>
      <c r="KX8" s="612"/>
      <c r="KZ8" s="612"/>
      <c r="LB8" s="612"/>
      <c r="LC8" s="614"/>
      <c r="LD8" s="479"/>
      <c r="LE8" s="612"/>
      <c r="LG8" s="612"/>
      <c r="LI8" s="612"/>
      <c r="LJ8" s="614"/>
      <c r="LK8" s="479"/>
      <c r="LL8" s="612"/>
      <c r="LN8" s="612"/>
      <c r="LP8" s="612"/>
      <c r="LQ8" s="614"/>
      <c r="LR8" s="479"/>
      <c r="LS8" s="612"/>
      <c r="LU8" s="612"/>
      <c r="LW8" s="612"/>
      <c r="LX8" s="614"/>
      <c r="LY8" s="479"/>
      <c r="LZ8" s="612"/>
      <c r="MB8" s="612"/>
      <c r="MD8" s="612"/>
      <c r="ME8" s="614"/>
      <c r="MF8" s="479"/>
      <c r="MG8" s="612"/>
      <c r="MI8" s="612"/>
      <c r="MK8" s="612"/>
      <c r="ML8" s="614"/>
      <c r="MM8" s="479"/>
      <c r="MN8" s="612"/>
      <c r="MP8" s="612"/>
      <c r="MR8" s="612"/>
      <c r="MS8" s="614"/>
      <c r="MT8" s="479"/>
      <c r="MU8" s="612"/>
      <c r="MW8" s="612"/>
      <c r="MY8" s="612"/>
      <c r="MZ8" s="614"/>
      <c r="NA8" s="479"/>
      <c r="NB8" s="612"/>
      <c r="NC8" s="480"/>
    </row>
    <row r="9" spans="1:367">
      <c r="B9" s="1288"/>
      <c r="C9" s="1286"/>
      <c r="D9" s="1286"/>
      <c r="E9" s="1288"/>
      <c r="F9" s="1286"/>
      <c r="G9" s="1286"/>
      <c r="H9" s="1286"/>
      <c r="I9" s="1289"/>
      <c r="J9" s="1286"/>
      <c r="K9" s="1286"/>
      <c r="L9" s="1289"/>
      <c r="N9" s="1304"/>
      <c r="O9" s="1305"/>
      <c r="P9" s="1306"/>
    </row>
    <row r="10" spans="1:367">
      <c r="B10" s="1288"/>
      <c r="C10" s="1286"/>
      <c r="D10" s="1286"/>
      <c r="E10" s="1288"/>
      <c r="F10" s="1286"/>
      <c r="G10" s="1286"/>
      <c r="H10" s="1286"/>
      <c r="I10" s="1289"/>
      <c r="J10" s="1286"/>
      <c r="K10" s="1286"/>
      <c r="L10" s="1289"/>
      <c r="N10" s="1304"/>
      <c r="O10" s="1305"/>
      <c r="P10" s="1306"/>
    </row>
    <row r="11" spans="1:367">
      <c r="B11" s="1288"/>
      <c r="C11" s="1286"/>
      <c r="D11" s="1286"/>
      <c r="E11" s="1288"/>
      <c r="F11" s="1286"/>
      <c r="G11" s="1286"/>
      <c r="H11" s="1286"/>
      <c r="I11" s="1289"/>
      <c r="J11" s="1286"/>
      <c r="K11" s="1286"/>
      <c r="L11" s="1289"/>
      <c r="N11" s="1304"/>
      <c r="O11" s="1305"/>
      <c r="P11" s="1306"/>
    </row>
    <row r="12" spans="1:367">
      <c r="B12" s="1288"/>
      <c r="C12" s="1286"/>
      <c r="D12" s="1286"/>
      <c r="E12" s="1288"/>
      <c r="F12" s="1286"/>
      <c r="G12" s="1286"/>
      <c r="H12" s="1286"/>
      <c r="I12" s="1289"/>
      <c r="J12" s="1286"/>
      <c r="K12" s="1286"/>
      <c r="L12" s="1289"/>
      <c r="N12" s="1304"/>
      <c r="O12" s="1305"/>
      <c r="P12" s="1306"/>
    </row>
    <row r="13" spans="1:367">
      <c r="B13" s="1288"/>
      <c r="C13" s="1286"/>
      <c r="D13" s="1286"/>
      <c r="E13" s="1288"/>
      <c r="F13" s="1286"/>
      <c r="G13" s="1286"/>
      <c r="H13" s="1286"/>
      <c r="I13" s="1289"/>
      <c r="J13" s="1286"/>
      <c r="K13" s="1286"/>
      <c r="L13" s="1289"/>
      <c r="N13" s="1304"/>
      <c r="O13" s="1305"/>
      <c r="P13" s="1306"/>
    </row>
    <row r="14" spans="1:367">
      <c r="B14" s="1288"/>
      <c r="C14" s="1286"/>
      <c r="D14" s="1286"/>
      <c r="E14" s="1288"/>
      <c r="F14" s="1286"/>
      <c r="G14" s="1286"/>
      <c r="H14" s="1286"/>
      <c r="I14" s="1289"/>
      <c r="J14" s="1286"/>
      <c r="K14" s="1286"/>
      <c r="L14" s="1289"/>
      <c r="N14" s="1304"/>
      <c r="O14" s="1305"/>
      <c r="P14" s="1306"/>
    </row>
    <row r="15" spans="1:367">
      <c r="B15" s="1288"/>
      <c r="C15" s="1286"/>
      <c r="D15" s="1286"/>
      <c r="E15" s="1288"/>
      <c r="F15" s="1286"/>
      <c r="G15" s="1286"/>
      <c r="H15" s="1286"/>
      <c r="I15" s="1289"/>
      <c r="J15" s="1286"/>
      <c r="K15" s="1286"/>
      <c r="L15" s="1289"/>
      <c r="N15" s="1304"/>
      <c r="O15" s="1305"/>
      <c r="P15" s="1306"/>
    </row>
    <row r="16" spans="1:367">
      <c r="B16" s="1288"/>
      <c r="C16" s="1286"/>
      <c r="D16" s="1286"/>
      <c r="E16" s="1288"/>
      <c r="F16" s="1286"/>
      <c r="G16" s="1286"/>
      <c r="H16" s="1286"/>
      <c r="I16" s="1289"/>
      <c r="J16" s="1286"/>
      <c r="K16" s="1286"/>
      <c r="L16" s="1289"/>
      <c r="N16" s="1304"/>
      <c r="O16" s="1305"/>
      <c r="P16" s="1306"/>
    </row>
    <row r="17" spans="2:16">
      <c r="B17" s="1288"/>
      <c r="C17" s="1286"/>
      <c r="D17" s="1286"/>
      <c r="E17" s="1288"/>
      <c r="F17" s="1286"/>
      <c r="G17" s="1286"/>
      <c r="H17" s="1286"/>
      <c r="I17" s="1289"/>
      <c r="J17" s="1286"/>
      <c r="K17" s="1286"/>
      <c r="L17" s="1289"/>
      <c r="N17" s="1304"/>
      <c r="O17" s="1305"/>
      <c r="P17" s="1306"/>
    </row>
    <row r="18" spans="2:16">
      <c r="B18" s="1288"/>
      <c r="C18" s="1286"/>
      <c r="D18" s="1286"/>
      <c r="E18" s="1288"/>
      <c r="F18" s="1286"/>
      <c r="G18" s="1286"/>
      <c r="H18" s="1286"/>
      <c r="I18" s="1289"/>
      <c r="J18" s="1286"/>
      <c r="K18" s="1286"/>
      <c r="L18" s="1289"/>
      <c r="N18" s="1304"/>
      <c r="O18" s="1305"/>
      <c r="P18" s="1306"/>
    </row>
    <row r="19" spans="2:16">
      <c r="B19" s="1288"/>
      <c r="C19" s="1286"/>
      <c r="D19" s="1286"/>
      <c r="E19" s="1288"/>
      <c r="F19" s="1286"/>
      <c r="G19" s="1286"/>
      <c r="H19" s="1286"/>
      <c r="I19" s="1289"/>
      <c r="J19" s="1286"/>
      <c r="K19" s="1286"/>
      <c r="L19" s="1289"/>
      <c r="N19" s="1304"/>
      <c r="O19" s="1305"/>
      <c r="P19" s="1306"/>
    </row>
    <row r="20" spans="2:16">
      <c r="B20" s="1288"/>
      <c r="C20" s="1286"/>
      <c r="D20" s="1286"/>
      <c r="E20" s="1288"/>
      <c r="F20" s="1286"/>
      <c r="G20" s="1286"/>
      <c r="H20" s="1286"/>
      <c r="I20" s="1289"/>
      <c r="J20" s="1286"/>
      <c r="K20" s="1286"/>
      <c r="L20" s="1289"/>
      <c r="N20" s="1304"/>
      <c r="O20" s="1305"/>
      <c r="P20" s="1306"/>
    </row>
    <row r="21" spans="2:16">
      <c r="B21" s="1288"/>
      <c r="C21" s="1286"/>
      <c r="D21" s="1286"/>
      <c r="E21" s="1288"/>
      <c r="F21" s="1286"/>
      <c r="G21" s="1286"/>
      <c r="H21" s="1286"/>
      <c r="I21" s="1289"/>
      <c r="J21" s="1286"/>
      <c r="K21" s="1286"/>
      <c r="L21" s="1289"/>
      <c r="N21" s="1304"/>
      <c r="O21" s="1305"/>
      <c r="P21" s="1306"/>
    </row>
    <row r="22" spans="2:16">
      <c r="B22" s="1288"/>
      <c r="C22" s="1286"/>
      <c r="D22" s="1286"/>
      <c r="E22" s="1288"/>
      <c r="F22" s="1286"/>
      <c r="G22" s="1286"/>
      <c r="H22" s="1286"/>
      <c r="I22" s="1289"/>
      <c r="J22" s="1286"/>
      <c r="K22" s="1286"/>
      <c r="L22" s="1289"/>
      <c r="N22" s="1304"/>
      <c r="O22" s="1305"/>
      <c r="P22" s="1306"/>
    </row>
    <row r="23" spans="2:16">
      <c r="B23" s="1288"/>
      <c r="C23" s="1286"/>
      <c r="D23" s="1286"/>
      <c r="E23" s="1288"/>
      <c r="F23" s="1286"/>
      <c r="G23" s="1286"/>
      <c r="H23" s="1286"/>
      <c r="I23" s="1289"/>
      <c r="J23" s="1286"/>
      <c r="K23" s="1286"/>
      <c r="L23" s="1289"/>
      <c r="N23" s="1304"/>
      <c r="O23" s="1305"/>
      <c r="P23" s="1306"/>
    </row>
    <row r="24" spans="2:16">
      <c r="B24" s="1288"/>
      <c r="C24" s="1286"/>
      <c r="D24" s="1286"/>
      <c r="E24" s="1288"/>
      <c r="F24" s="1286"/>
      <c r="G24" s="1286"/>
      <c r="H24" s="1286"/>
      <c r="I24" s="1289"/>
      <c r="J24" s="1286"/>
      <c r="K24" s="1286"/>
      <c r="L24" s="1289"/>
      <c r="N24" s="1304"/>
      <c r="O24" s="1305"/>
      <c r="P24" s="1306"/>
    </row>
    <row r="25" spans="2:16">
      <c r="B25" s="1288"/>
      <c r="C25" s="1286"/>
      <c r="D25" s="1286"/>
      <c r="E25" s="1288"/>
      <c r="F25" s="1286"/>
      <c r="G25" s="1286"/>
      <c r="H25" s="1286"/>
      <c r="I25" s="1289"/>
      <c r="J25" s="1286"/>
      <c r="K25" s="1286"/>
      <c r="L25" s="1289"/>
      <c r="N25" s="1304"/>
      <c r="O25" s="1305"/>
      <c r="P25" s="1306"/>
    </row>
    <row r="26" spans="2:16">
      <c r="B26" s="1288"/>
      <c r="C26" s="1286"/>
      <c r="D26" s="1286"/>
      <c r="E26" s="1288"/>
      <c r="F26" s="1286"/>
      <c r="G26" s="1286"/>
      <c r="H26" s="1286"/>
      <c r="I26" s="1289"/>
      <c r="J26" s="1286"/>
      <c r="K26" s="1286"/>
      <c r="L26" s="1289"/>
      <c r="N26" s="1304"/>
      <c r="O26" s="1305"/>
      <c r="P26" s="1306"/>
    </row>
    <row r="27" spans="2:16">
      <c r="B27" s="1288"/>
      <c r="C27" s="1286"/>
      <c r="D27" s="1286"/>
      <c r="E27" s="1288"/>
      <c r="F27" s="1286"/>
      <c r="G27" s="1286"/>
      <c r="H27" s="1286"/>
      <c r="I27" s="1289"/>
      <c r="J27" s="1286"/>
      <c r="K27" s="1286"/>
      <c r="L27" s="1289"/>
      <c r="N27" s="1304"/>
      <c r="O27" s="1305"/>
      <c r="P27" s="1306"/>
    </row>
    <row r="28" spans="2:16" ht="24.6" thickBot="1">
      <c r="B28" s="1288"/>
      <c r="C28" s="1286"/>
      <c r="D28" s="1286"/>
      <c r="E28" s="1288"/>
      <c r="F28" s="1286"/>
      <c r="G28" s="1286"/>
      <c r="H28" s="1286"/>
      <c r="I28" s="1289"/>
      <c r="J28" s="1286"/>
      <c r="K28" s="1286"/>
      <c r="L28" s="1289"/>
      <c r="N28" s="1307"/>
      <c r="O28" s="1308"/>
      <c r="P28" s="1309"/>
    </row>
    <row r="29" spans="2:16">
      <c r="B29" s="1288"/>
      <c r="C29" s="1286"/>
      <c r="D29" s="1286"/>
      <c r="E29" s="1288"/>
      <c r="F29" s="1286"/>
      <c r="G29" s="1286"/>
      <c r="H29" s="1286"/>
      <c r="I29" s="1289"/>
      <c r="J29" s="1286"/>
      <c r="K29" s="1286"/>
      <c r="L29" s="1289"/>
    </row>
    <row r="30" spans="2:16" ht="24.6" thickBot="1">
      <c r="B30" s="1288"/>
      <c r="C30" s="1286"/>
      <c r="D30" s="1286"/>
      <c r="E30" s="1290"/>
      <c r="F30" s="1291"/>
      <c r="G30" s="1291"/>
      <c r="H30" s="1291"/>
      <c r="I30" s="1292"/>
      <c r="J30" s="1286"/>
      <c r="K30" s="1286"/>
      <c r="L30" s="1289"/>
    </row>
    <row r="31" spans="2:16">
      <c r="B31" s="1288"/>
      <c r="C31" s="1286"/>
      <c r="D31" s="1289"/>
      <c r="J31" s="1288"/>
      <c r="K31" s="1286"/>
      <c r="L31" s="1289"/>
    </row>
    <row r="32" spans="2:16">
      <c r="B32" s="1288"/>
      <c r="C32" s="1286"/>
      <c r="D32" s="1289"/>
      <c r="J32" s="1288"/>
      <c r="K32" s="1286"/>
      <c r="L32" s="1289"/>
    </row>
    <row r="33" spans="2:12">
      <c r="B33" s="1288"/>
      <c r="C33" s="1286"/>
      <c r="D33" s="1289"/>
      <c r="J33" s="1288"/>
      <c r="K33" s="1286"/>
      <c r="L33" s="1289"/>
    </row>
    <row r="34" spans="2:12">
      <c r="B34" s="1288"/>
      <c r="C34" s="1286"/>
      <c r="D34" s="1289"/>
      <c r="J34" s="1288"/>
      <c r="K34" s="1286"/>
      <c r="L34" s="1289"/>
    </row>
    <row r="35" spans="2:12">
      <c r="B35" s="1288"/>
      <c r="C35" s="1286"/>
      <c r="D35" s="1289"/>
      <c r="J35" s="1288"/>
      <c r="K35" s="1286"/>
      <c r="L35" s="1289"/>
    </row>
    <row r="36" spans="2:12">
      <c r="B36" s="1288"/>
      <c r="C36" s="1286"/>
      <c r="D36" s="1289"/>
      <c r="J36" s="1288"/>
      <c r="K36" s="1286"/>
      <c r="L36" s="1289"/>
    </row>
    <row r="37" spans="2:12">
      <c r="B37" s="1288"/>
      <c r="C37" s="1286"/>
      <c r="D37" s="1289"/>
      <c r="J37" s="1288"/>
      <c r="K37" s="1286"/>
      <c r="L37" s="1289"/>
    </row>
    <row r="38" spans="2:12">
      <c r="B38" s="1288"/>
      <c r="C38" s="1286"/>
      <c r="D38" s="1289"/>
      <c r="J38" s="1288"/>
      <c r="K38" s="1286"/>
      <c r="L38" s="1289"/>
    </row>
    <row r="39" spans="2:12">
      <c r="B39" s="1288"/>
      <c r="C39" s="1286"/>
      <c r="D39" s="1289"/>
      <c r="J39" s="1288"/>
      <c r="K39" s="1286"/>
      <c r="L39" s="1289"/>
    </row>
    <row r="40" spans="2:12">
      <c r="B40" s="1288"/>
      <c r="C40" s="1286"/>
      <c r="D40" s="1289"/>
      <c r="J40" s="1288"/>
      <c r="K40" s="1286"/>
      <c r="L40" s="1289"/>
    </row>
    <row r="41" spans="2:12">
      <c r="B41" s="1288"/>
      <c r="C41" s="1286"/>
      <c r="D41" s="1289"/>
      <c r="J41" s="1288"/>
      <c r="K41" s="1286"/>
      <c r="L41" s="1289"/>
    </row>
    <row r="42" spans="2:12">
      <c r="B42" s="1288"/>
      <c r="C42" s="1286"/>
      <c r="D42" s="1289"/>
      <c r="J42" s="1288"/>
      <c r="K42" s="1286"/>
      <c r="L42" s="1289"/>
    </row>
    <row r="43" spans="2:12">
      <c r="B43" s="1288"/>
      <c r="C43" s="1286"/>
      <c r="D43" s="1289"/>
      <c r="J43" s="1288"/>
      <c r="K43" s="1286"/>
      <c r="L43" s="1289"/>
    </row>
    <row r="44" spans="2:12">
      <c r="B44" s="1288"/>
      <c r="C44" s="1286"/>
      <c r="D44" s="1289"/>
      <c r="J44" s="1288"/>
      <c r="K44" s="1286"/>
      <c r="L44" s="1289"/>
    </row>
    <row r="45" spans="2:12">
      <c r="B45" s="1288"/>
      <c r="C45" s="1286"/>
      <c r="D45" s="1289"/>
      <c r="J45" s="1288"/>
      <c r="K45" s="1286"/>
      <c r="L45" s="1289"/>
    </row>
    <row r="46" spans="2:12">
      <c r="B46" s="1288"/>
      <c r="C46" s="1286"/>
      <c r="D46" s="1289"/>
      <c r="J46" s="1288"/>
      <c r="K46" s="1286"/>
      <c r="L46" s="1289"/>
    </row>
    <row r="47" spans="2:12">
      <c r="B47" s="1288"/>
      <c r="C47" s="1286"/>
      <c r="D47" s="1289"/>
      <c r="J47" s="1288"/>
      <c r="K47" s="1286"/>
      <c r="L47" s="1289"/>
    </row>
    <row r="48" spans="2:12">
      <c r="B48" s="1288"/>
      <c r="C48" s="1286"/>
      <c r="D48" s="1289"/>
      <c r="J48" s="1288"/>
      <c r="K48" s="1286"/>
      <c r="L48" s="1289"/>
    </row>
    <row r="49" spans="2:12">
      <c r="B49" s="1288"/>
      <c r="C49" s="1286"/>
      <c r="D49" s="1289"/>
      <c r="J49" s="1288"/>
      <c r="K49" s="1286"/>
      <c r="L49" s="1289"/>
    </row>
    <row r="50" spans="2:12">
      <c r="B50" s="1288"/>
      <c r="C50" s="1286"/>
      <c r="D50" s="1289"/>
      <c r="J50" s="1288"/>
      <c r="K50" s="1286"/>
      <c r="L50" s="1289"/>
    </row>
    <row r="51" spans="2:12">
      <c r="B51" s="1288"/>
      <c r="C51" s="1286"/>
      <c r="D51" s="1289"/>
      <c r="J51" s="1288"/>
      <c r="K51" s="1286"/>
      <c r="L51" s="1289"/>
    </row>
    <row r="52" spans="2:12">
      <c r="B52" s="1288"/>
      <c r="C52" s="1286"/>
      <c r="D52" s="1289"/>
      <c r="J52" s="1288"/>
      <c r="K52" s="1286"/>
      <c r="L52" s="1289"/>
    </row>
    <row r="53" spans="2:12">
      <c r="B53" s="1288"/>
      <c r="C53" s="1286"/>
      <c r="D53" s="1289"/>
      <c r="J53" s="1288"/>
      <c r="K53" s="1286"/>
      <c r="L53" s="1289"/>
    </row>
    <row r="54" spans="2:12">
      <c r="B54" s="1288"/>
      <c r="C54" s="1286"/>
      <c r="D54" s="1289"/>
      <c r="J54" s="1288"/>
      <c r="K54" s="1286"/>
      <c r="L54" s="1289"/>
    </row>
    <row r="55" spans="2:12">
      <c r="B55" s="1288"/>
      <c r="C55" s="1286"/>
      <c r="D55" s="1289"/>
      <c r="J55" s="1288"/>
      <c r="K55" s="1286"/>
      <c r="L55" s="1289"/>
    </row>
    <row r="56" spans="2:12">
      <c r="B56" s="1288"/>
      <c r="C56" s="1286"/>
      <c r="D56" s="1289"/>
      <c r="J56" s="1288"/>
      <c r="K56" s="1286"/>
      <c r="L56" s="1289"/>
    </row>
    <row r="57" spans="2:12">
      <c r="B57" s="1288"/>
      <c r="C57" s="1286"/>
      <c r="D57" s="1289"/>
      <c r="J57" s="1288"/>
      <c r="K57" s="1286"/>
      <c r="L57" s="1289"/>
    </row>
    <row r="58" spans="2:12">
      <c r="B58" s="1288"/>
      <c r="C58" s="1286"/>
      <c r="D58" s="1289"/>
      <c r="J58" s="1288"/>
      <c r="K58" s="1286"/>
      <c r="L58" s="1289"/>
    </row>
    <row r="59" spans="2:12">
      <c r="B59" s="1288"/>
      <c r="C59" s="1286"/>
      <c r="D59" s="1289"/>
      <c r="J59" s="1288"/>
      <c r="K59" s="1286"/>
      <c r="L59" s="1289"/>
    </row>
    <row r="60" spans="2:12">
      <c r="B60" s="1288"/>
      <c r="C60" s="1286"/>
      <c r="D60" s="1289"/>
      <c r="J60" s="1288"/>
      <c r="K60" s="1286"/>
      <c r="L60" s="1289"/>
    </row>
    <row r="61" spans="2:12">
      <c r="B61" s="1288"/>
      <c r="C61" s="1286"/>
      <c r="D61" s="1289"/>
      <c r="J61" s="1288"/>
      <c r="K61" s="1286"/>
      <c r="L61" s="1289"/>
    </row>
    <row r="62" spans="2:12">
      <c r="B62" s="1288"/>
      <c r="C62" s="1286"/>
      <c r="D62" s="1289"/>
      <c r="J62" s="1288"/>
      <c r="K62" s="1286"/>
      <c r="L62" s="1289"/>
    </row>
    <row r="63" spans="2:12">
      <c r="B63" s="1288"/>
      <c r="C63" s="1286"/>
      <c r="D63" s="1289"/>
      <c r="J63" s="1288"/>
      <c r="K63" s="1286"/>
      <c r="L63" s="1289"/>
    </row>
    <row r="64" spans="2:12">
      <c r="B64" s="1288"/>
      <c r="C64" s="1286"/>
      <c r="D64" s="1289"/>
      <c r="J64" s="1288"/>
      <c r="K64" s="1286"/>
      <c r="L64" s="1289"/>
    </row>
    <row r="65" spans="2:12">
      <c r="B65" s="1288"/>
      <c r="C65" s="1286"/>
      <c r="D65" s="1289"/>
      <c r="J65" s="1288"/>
      <c r="K65" s="1286"/>
      <c r="L65" s="1289"/>
    </row>
    <row r="66" spans="2:12">
      <c r="B66" s="1288"/>
      <c r="C66" s="1286"/>
      <c r="D66" s="1289"/>
      <c r="J66" s="1288"/>
      <c r="K66" s="1286"/>
      <c r="L66" s="1289"/>
    </row>
    <row r="67" spans="2:12">
      <c r="B67" s="1288"/>
      <c r="C67" s="1286"/>
      <c r="D67" s="1289"/>
      <c r="J67" s="1288"/>
      <c r="K67" s="1286"/>
      <c r="L67" s="1289"/>
    </row>
    <row r="68" spans="2:12">
      <c r="B68" s="1288"/>
      <c r="C68" s="1286"/>
      <c r="D68" s="1289"/>
      <c r="J68" s="1288"/>
      <c r="K68" s="1286"/>
      <c r="L68" s="1289"/>
    </row>
    <row r="69" spans="2:12">
      <c r="B69" s="1288"/>
      <c r="C69" s="1286"/>
      <c r="D69" s="1289"/>
      <c r="J69" s="1288"/>
      <c r="K69" s="1286"/>
      <c r="L69" s="1289"/>
    </row>
    <row r="70" spans="2:12">
      <c r="B70" s="1288"/>
      <c r="C70" s="1286"/>
      <c r="D70" s="1289"/>
      <c r="J70" s="1288"/>
      <c r="K70" s="1286"/>
      <c r="L70" s="1289"/>
    </row>
    <row r="71" spans="2:12">
      <c r="B71" s="1288"/>
      <c r="C71" s="1286"/>
      <c r="D71" s="1289"/>
      <c r="J71" s="1288"/>
      <c r="K71" s="1286"/>
      <c r="L71" s="1289"/>
    </row>
    <row r="72" spans="2:12">
      <c r="B72" s="1288"/>
      <c r="C72" s="1286"/>
      <c r="D72" s="1289"/>
      <c r="J72" s="1288"/>
      <c r="K72" s="1286"/>
      <c r="L72" s="1289"/>
    </row>
    <row r="73" spans="2:12">
      <c r="B73" s="1288"/>
      <c r="C73" s="1286"/>
      <c r="D73" s="1289"/>
      <c r="J73" s="1288"/>
      <c r="K73" s="1286"/>
      <c r="L73" s="1289"/>
    </row>
    <row r="74" spans="2:12">
      <c r="B74" s="1288"/>
      <c r="C74" s="1286"/>
      <c r="D74" s="1289"/>
      <c r="J74" s="1288"/>
      <c r="K74" s="1286"/>
      <c r="L74" s="1289"/>
    </row>
    <row r="75" spans="2:12">
      <c r="B75" s="1288"/>
      <c r="C75" s="1286"/>
      <c r="D75" s="1289"/>
      <c r="J75" s="1288"/>
      <c r="K75" s="1286"/>
      <c r="L75" s="1289"/>
    </row>
    <row r="76" spans="2:12">
      <c r="B76" s="1288"/>
      <c r="C76" s="1286"/>
      <c r="D76" s="1289"/>
      <c r="J76" s="1288"/>
      <c r="K76" s="1286"/>
      <c r="L76" s="1289"/>
    </row>
    <row r="77" spans="2:12">
      <c r="B77" s="1288"/>
      <c r="C77" s="1286"/>
      <c r="D77" s="1289"/>
      <c r="J77" s="1288"/>
      <c r="K77" s="1286"/>
      <c r="L77" s="1289"/>
    </row>
    <row r="78" spans="2:12">
      <c r="B78" s="1288"/>
      <c r="C78" s="1286"/>
      <c r="D78" s="1289"/>
      <c r="J78" s="1288"/>
      <c r="K78" s="1286"/>
      <c r="L78" s="1289"/>
    </row>
    <row r="79" spans="2:12">
      <c r="B79" s="1288"/>
      <c r="C79" s="1286"/>
      <c r="D79" s="1289"/>
      <c r="J79" s="1288"/>
      <c r="K79" s="1286"/>
      <c r="L79" s="1289"/>
    </row>
    <row r="80" spans="2:12">
      <c r="B80" s="1288"/>
      <c r="C80" s="1286"/>
      <c r="D80" s="1289"/>
      <c r="J80" s="1288"/>
      <c r="K80" s="1286"/>
      <c r="L80" s="1289"/>
    </row>
    <row r="81" spans="2:12">
      <c r="B81" s="1288"/>
      <c r="C81" s="1286"/>
      <c r="D81" s="1289"/>
      <c r="J81" s="1288"/>
      <c r="K81" s="1286"/>
      <c r="L81" s="1289"/>
    </row>
    <row r="82" spans="2:12">
      <c r="B82" s="1288"/>
      <c r="C82" s="1286"/>
      <c r="D82" s="1289"/>
      <c r="J82" s="1288"/>
      <c r="K82" s="1286"/>
      <c r="L82" s="1289"/>
    </row>
    <row r="83" spans="2:12">
      <c r="B83" s="1288"/>
      <c r="C83" s="1286"/>
      <c r="D83" s="1289"/>
      <c r="J83" s="1288"/>
      <c r="K83" s="1286"/>
      <c r="L83" s="1289"/>
    </row>
    <row r="84" spans="2:12">
      <c r="B84" s="1288"/>
      <c r="C84" s="1286"/>
      <c r="D84" s="1289"/>
      <c r="J84" s="1288"/>
      <c r="K84" s="1286"/>
      <c r="L84" s="1289"/>
    </row>
    <row r="85" spans="2:12">
      <c r="B85" s="1288"/>
      <c r="C85" s="1286"/>
      <c r="D85" s="1289"/>
      <c r="J85" s="1288"/>
      <c r="K85" s="1286"/>
      <c r="L85" s="1289"/>
    </row>
    <row r="86" spans="2:12">
      <c r="B86" s="1288"/>
      <c r="C86" s="1286"/>
      <c r="D86" s="1289"/>
      <c r="J86" s="1288"/>
      <c r="K86" s="1286"/>
      <c r="L86" s="1289"/>
    </row>
    <row r="87" spans="2:12">
      <c r="B87" s="1288"/>
      <c r="C87" s="1286"/>
      <c r="D87" s="1289"/>
      <c r="J87" s="1288"/>
      <c r="K87" s="1286"/>
      <c r="L87" s="1289"/>
    </row>
    <row r="88" spans="2:12">
      <c r="B88" s="1288"/>
      <c r="C88" s="1286"/>
      <c r="D88" s="1289"/>
      <c r="J88" s="1288"/>
      <c r="K88" s="1286"/>
      <c r="L88" s="1289"/>
    </row>
    <row r="89" spans="2:12">
      <c r="B89" s="1288"/>
      <c r="C89" s="1286"/>
      <c r="D89" s="1289"/>
      <c r="J89" s="1288"/>
      <c r="K89" s="1286"/>
      <c r="L89" s="1289"/>
    </row>
    <row r="90" spans="2:12">
      <c r="B90" s="1288"/>
      <c r="C90" s="1286"/>
      <c r="D90" s="1289"/>
      <c r="J90" s="1288"/>
      <c r="K90" s="1286"/>
      <c r="L90" s="1289"/>
    </row>
    <row r="91" spans="2:12">
      <c r="B91" s="1288"/>
      <c r="C91" s="1286"/>
      <c r="D91" s="1289"/>
      <c r="J91" s="1288"/>
      <c r="K91" s="1286"/>
      <c r="L91" s="1289"/>
    </row>
    <row r="92" spans="2:12">
      <c r="B92" s="1288"/>
      <c r="C92" s="1286"/>
      <c r="D92" s="1289"/>
      <c r="J92" s="1288"/>
      <c r="K92" s="1286"/>
      <c r="L92" s="1289"/>
    </row>
    <row r="93" spans="2:12">
      <c r="B93" s="1288"/>
      <c r="C93" s="1286"/>
      <c r="D93" s="1289"/>
      <c r="J93" s="1288"/>
      <c r="K93" s="1286"/>
      <c r="L93" s="1289"/>
    </row>
    <row r="94" spans="2:12">
      <c r="B94" s="1288"/>
      <c r="C94" s="1286"/>
      <c r="D94" s="1289"/>
      <c r="J94" s="1288"/>
      <c r="K94" s="1286"/>
      <c r="L94" s="1289"/>
    </row>
    <row r="95" spans="2:12">
      <c r="B95" s="1288"/>
      <c r="C95" s="1286"/>
      <c r="D95" s="1289"/>
      <c r="J95" s="1288"/>
      <c r="K95" s="1286"/>
      <c r="L95" s="1289"/>
    </row>
    <row r="96" spans="2:12">
      <c r="B96" s="1288"/>
      <c r="C96" s="1286"/>
      <c r="D96" s="1289"/>
      <c r="J96" s="1288"/>
      <c r="K96" s="1286"/>
      <c r="L96" s="1289"/>
    </row>
    <row r="97" spans="2:12">
      <c r="B97" s="1288"/>
      <c r="C97" s="1286"/>
      <c r="D97" s="1289"/>
      <c r="J97" s="1288"/>
      <c r="K97" s="1286"/>
      <c r="L97" s="1289"/>
    </row>
    <row r="98" spans="2:12">
      <c r="B98" s="1288"/>
      <c r="C98" s="1286"/>
      <c r="D98" s="1289"/>
      <c r="J98" s="1288"/>
      <c r="K98" s="1286"/>
      <c r="L98" s="1289"/>
    </row>
    <row r="99" spans="2:12">
      <c r="B99" s="1288"/>
      <c r="C99" s="1286"/>
      <c r="D99" s="1289"/>
      <c r="J99" s="1288"/>
      <c r="K99" s="1286"/>
      <c r="L99" s="1289"/>
    </row>
    <row r="100" spans="2:12">
      <c r="B100" s="1288"/>
      <c r="C100" s="1286"/>
      <c r="D100" s="1289"/>
      <c r="J100" s="1288"/>
      <c r="K100" s="1286"/>
      <c r="L100" s="1289"/>
    </row>
    <row r="101" spans="2:12">
      <c r="B101" s="1288"/>
      <c r="C101" s="1286"/>
      <c r="D101" s="1289"/>
      <c r="J101" s="1288"/>
      <c r="K101" s="1286"/>
      <c r="L101" s="1289"/>
    </row>
    <row r="102" spans="2:12">
      <c r="B102" s="1288"/>
      <c r="C102" s="1286"/>
      <c r="D102" s="1289"/>
      <c r="J102" s="1288"/>
      <c r="K102" s="1286"/>
      <c r="L102" s="1289"/>
    </row>
    <row r="103" spans="2:12">
      <c r="B103" s="1288"/>
      <c r="C103" s="1286"/>
      <c r="D103" s="1289"/>
      <c r="J103" s="1288"/>
      <c r="K103" s="1286"/>
      <c r="L103" s="1289"/>
    </row>
    <row r="104" spans="2:12">
      <c r="B104" s="1288"/>
      <c r="C104" s="1286"/>
      <c r="D104" s="1289"/>
      <c r="J104" s="1288"/>
      <c r="K104" s="1286"/>
      <c r="L104" s="1289"/>
    </row>
    <row r="105" spans="2:12">
      <c r="B105" s="1288"/>
      <c r="C105" s="1286"/>
      <c r="D105" s="1289"/>
      <c r="J105" s="1288"/>
      <c r="K105" s="1286"/>
      <c r="L105" s="1289"/>
    </row>
    <row r="106" spans="2:12">
      <c r="B106" s="1288"/>
      <c r="C106" s="1286"/>
      <c r="D106" s="1289"/>
      <c r="J106" s="1288"/>
      <c r="K106" s="1286"/>
      <c r="L106" s="1289"/>
    </row>
    <row r="107" spans="2:12">
      <c r="B107" s="1288"/>
      <c r="C107" s="1286"/>
      <c r="D107" s="1289"/>
      <c r="J107" s="1288"/>
      <c r="K107" s="1286"/>
      <c r="L107" s="1289"/>
    </row>
    <row r="108" spans="2:12">
      <c r="B108" s="1288"/>
      <c r="C108" s="1286"/>
      <c r="D108" s="1289"/>
      <c r="J108" s="1288"/>
      <c r="K108" s="1286"/>
      <c r="L108" s="1289"/>
    </row>
    <row r="109" spans="2:12">
      <c r="B109" s="1288"/>
      <c r="C109" s="1286"/>
      <c r="D109" s="1289"/>
      <c r="J109" s="1288"/>
      <c r="K109" s="1286"/>
      <c r="L109" s="1289"/>
    </row>
    <row r="110" spans="2:12">
      <c r="B110" s="1288"/>
      <c r="C110" s="1286"/>
      <c r="D110" s="1289"/>
      <c r="J110" s="1288"/>
      <c r="K110" s="1286"/>
      <c r="L110" s="1289"/>
    </row>
    <row r="111" spans="2:12">
      <c r="B111" s="1288"/>
      <c r="C111" s="1286"/>
      <c r="D111" s="1289"/>
      <c r="J111" s="1288"/>
      <c r="K111" s="1286"/>
      <c r="L111" s="1289"/>
    </row>
    <row r="112" spans="2:12">
      <c r="B112" s="1288"/>
      <c r="C112" s="1286"/>
      <c r="D112" s="1289"/>
      <c r="J112" s="1288"/>
      <c r="K112" s="1286"/>
      <c r="L112" s="1289"/>
    </row>
    <row r="113" spans="2:12">
      <c r="B113" s="1288"/>
      <c r="C113" s="1286"/>
      <c r="D113" s="1289"/>
      <c r="J113" s="1288"/>
      <c r="K113" s="1286"/>
      <c r="L113" s="1289"/>
    </row>
    <row r="114" spans="2:12">
      <c r="B114" s="1288"/>
      <c r="C114" s="1286"/>
      <c r="D114" s="1289"/>
      <c r="J114" s="1288"/>
      <c r="K114" s="1286"/>
      <c r="L114" s="1289"/>
    </row>
    <row r="115" spans="2:12">
      <c r="B115" s="1288"/>
      <c r="C115" s="1286"/>
      <c r="D115" s="1289"/>
      <c r="J115" s="1288"/>
      <c r="K115" s="1286"/>
      <c r="L115" s="1289"/>
    </row>
    <row r="116" spans="2:12">
      <c r="B116" s="1288"/>
      <c r="C116" s="1286"/>
      <c r="D116" s="1289"/>
      <c r="J116" s="1288"/>
      <c r="K116" s="1286"/>
      <c r="L116" s="1289"/>
    </row>
    <row r="117" spans="2:12">
      <c r="B117" s="1288"/>
      <c r="C117" s="1286"/>
      <c r="D117" s="1289"/>
      <c r="J117" s="1288"/>
      <c r="K117" s="1286"/>
      <c r="L117" s="1289"/>
    </row>
    <row r="118" spans="2:12">
      <c r="B118" s="1288"/>
      <c r="C118" s="1286"/>
      <c r="D118" s="1289"/>
      <c r="J118" s="1288"/>
      <c r="K118" s="1286"/>
      <c r="L118" s="1289"/>
    </row>
    <row r="119" spans="2:12">
      <c r="B119" s="1288"/>
      <c r="C119" s="1286"/>
      <c r="D119" s="1289"/>
      <c r="J119" s="1288"/>
      <c r="K119" s="1286"/>
      <c r="L119" s="1289"/>
    </row>
    <row r="120" spans="2:12">
      <c r="B120" s="1288"/>
      <c r="C120" s="1286"/>
      <c r="D120" s="1289"/>
      <c r="J120" s="1288"/>
      <c r="K120" s="1286"/>
      <c r="L120" s="1289"/>
    </row>
    <row r="121" spans="2:12">
      <c r="B121" s="1288"/>
      <c r="C121" s="1286"/>
      <c r="D121" s="1289"/>
      <c r="J121" s="1288"/>
      <c r="K121" s="1286"/>
      <c r="L121" s="1289"/>
    </row>
    <row r="122" spans="2:12">
      <c r="B122" s="1288"/>
      <c r="C122" s="1286"/>
      <c r="D122" s="1289"/>
      <c r="J122" s="1288"/>
      <c r="K122" s="1286"/>
      <c r="L122" s="1289"/>
    </row>
    <row r="123" spans="2:12">
      <c r="B123" s="1288"/>
      <c r="C123" s="1286"/>
      <c r="D123" s="1289"/>
      <c r="J123" s="1288"/>
      <c r="K123" s="1286"/>
      <c r="L123" s="1289"/>
    </row>
    <row r="124" spans="2:12">
      <c r="B124" s="1288"/>
      <c r="C124" s="1286"/>
      <c r="D124" s="1289"/>
      <c r="J124" s="1288"/>
      <c r="K124" s="1286"/>
      <c r="L124" s="1289"/>
    </row>
    <row r="125" spans="2:12">
      <c r="B125" s="1288"/>
      <c r="C125" s="1286"/>
      <c r="D125" s="1289"/>
      <c r="J125" s="1288"/>
      <c r="K125" s="1286"/>
      <c r="L125" s="1289"/>
    </row>
    <row r="126" spans="2:12">
      <c r="B126" s="1288"/>
      <c r="C126" s="1286"/>
      <c r="D126" s="1289"/>
      <c r="J126" s="1288"/>
      <c r="K126" s="1286"/>
      <c r="L126" s="1289"/>
    </row>
    <row r="127" spans="2:12">
      <c r="B127" s="1288"/>
      <c r="C127" s="1286"/>
      <c r="D127" s="1289"/>
      <c r="J127" s="1288"/>
      <c r="K127" s="1286"/>
      <c r="L127" s="1289"/>
    </row>
    <row r="128" spans="2:12">
      <c r="B128" s="1288"/>
      <c r="C128" s="1286"/>
      <c r="D128" s="1289"/>
      <c r="J128" s="1288"/>
      <c r="K128" s="1286"/>
      <c r="L128" s="1289"/>
    </row>
    <row r="129" spans="2:12">
      <c r="B129" s="1288"/>
      <c r="C129" s="1286"/>
      <c r="D129" s="1289"/>
      <c r="J129" s="1288"/>
      <c r="K129" s="1286"/>
      <c r="L129" s="1289"/>
    </row>
    <row r="130" spans="2:12">
      <c r="B130" s="1288"/>
      <c r="C130" s="1286"/>
      <c r="D130" s="1289"/>
      <c r="J130" s="1288"/>
      <c r="K130" s="1286"/>
      <c r="L130" s="1289"/>
    </row>
    <row r="131" spans="2:12">
      <c r="B131" s="1288"/>
      <c r="C131" s="1286"/>
      <c r="D131" s="1289"/>
      <c r="J131" s="1288"/>
      <c r="K131" s="1286"/>
      <c r="L131" s="1289"/>
    </row>
    <row r="132" spans="2:12">
      <c r="B132" s="1288"/>
      <c r="C132" s="1286"/>
      <c r="D132" s="1289"/>
      <c r="J132" s="1288"/>
      <c r="K132" s="1286"/>
      <c r="L132" s="1289"/>
    </row>
    <row r="133" spans="2:12">
      <c r="B133" s="1288"/>
      <c r="C133" s="1286"/>
      <c r="D133" s="1289"/>
      <c r="J133" s="1288"/>
      <c r="K133" s="1286"/>
      <c r="L133" s="1289"/>
    </row>
    <row r="134" spans="2:12">
      <c r="B134" s="1288"/>
      <c r="C134" s="1286"/>
      <c r="D134" s="1289"/>
      <c r="J134" s="1288"/>
      <c r="K134" s="1286"/>
      <c r="L134" s="1289"/>
    </row>
    <row r="135" spans="2:12">
      <c r="B135" s="1288"/>
      <c r="C135" s="1286"/>
      <c r="D135" s="1289"/>
      <c r="J135" s="1288"/>
      <c r="K135" s="1286"/>
      <c r="L135" s="1289"/>
    </row>
    <row r="136" spans="2:12">
      <c r="B136" s="1288"/>
      <c r="C136" s="1286"/>
      <c r="D136" s="1289"/>
      <c r="J136" s="1288"/>
      <c r="K136" s="1286"/>
      <c r="L136" s="1289"/>
    </row>
    <row r="137" spans="2:12">
      <c r="B137" s="1288"/>
      <c r="C137" s="1286"/>
      <c r="D137" s="1289"/>
      <c r="J137" s="1288"/>
      <c r="K137" s="1286"/>
      <c r="L137" s="1289"/>
    </row>
    <row r="138" spans="2:12">
      <c r="B138" s="1288"/>
      <c r="C138" s="1286"/>
      <c r="D138" s="1289"/>
      <c r="J138" s="1288"/>
      <c r="K138" s="1286"/>
      <c r="L138" s="1289"/>
    </row>
    <row r="139" spans="2:12">
      <c r="B139" s="1288"/>
      <c r="C139" s="1286"/>
      <c r="D139" s="1289"/>
      <c r="J139" s="1288"/>
      <c r="K139" s="1286"/>
      <c r="L139" s="1289"/>
    </row>
    <row r="140" spans="2:12">
      <c r="B140" s="1288"/>
      <c r="C140" s="1286"/>
      <c r="D140" s="1289"/>
      <c r="J140" s="1288"/>
      <c r="K140" s="1286"/>
      <c r="L140" s="1289"/>
    </row>
    <row r="141" spans="2:12">
      <c r="B141" s="1288"/>
      <c r="C141" s="1286"/>
      <c r="D141" s="1289"/>
      <c r="J141" s="1288"/>
      <c r="K141" s="1286"/>
      <c r="L141" s="1289"/>
    </row>
    <row r="142" spans="2:12">
      <c r="B142" s="1288"/>
      <c r="C142" s="1286"/>
      <c r="D142" s="1289"/>
      <c r="J142" s="1288"/>
      <c r="K142" s="1286"/>
      <c r="L142" s="1289"/>
    </row>
    <row r="143" spans="2:12">
      <c r="B143" s="1288"/>
      <c r="C143" s="1286"/>
      <c r="D143" s="1289"/>
      <c r="J143" s="1288"/>
      <c r="K143" s="1286"/>
      <c r="L143" s="1289"/>
    </row>
    <row r="144" spans="2:12">
      <c r="B144" s="1288"/>
      <c r="C144" s="1286"/>
      <c r="D144" s="1289"/>
      <c r="J144" s="1288"/>
      <c r="K144" s="1286"/>
      <c r="L144" s="1289"/>
    </row>
    <row r="145" spans="2:12">
      <c r="B145" s="1288"/>
      <c r="C145" s="1286"/>
      <c r="D145" s="1289"/>
      <c r="J145" s="1288"/>
      <c r="K145" s="1286"/>
      <c r="L145" s="1289"/>
    </row>
    <row r="146" spans="2:12">
      <c r="B146" s="1288"/>
      <c r="C146" s="1286"/>
      <c r="D146" s="1289"/>
      <c r="J146" s="1288"/>
      <c r="K146" s="1286"/>
      <c r="L146" s="1289"/>
    </row>
    <row r="147" spans="2:12">
      <c r="B147" s="1288"/>
      <c r="C147" s="1286"/>
      <c r="D147" s="1289"/>
      <c r="J147" s="1288"/>
      <c r="K147" s="1286"/>
      <c r="L147" s="1289"/>
    </row>
    <row r="148" spans="2:12">
      <c r="B148" s="1288"/>
      <c r="C148" s="1286"/>
      <c r="D148" s="1289"/>
      <c r="J148" s="1288"/>
      <c r="K148" s="1286"/>
      <c r="L148" s="1289"/>
    </row>
    <row r="149" spans="2:12">
      <c r="B149" s="1288"/>
      <c r="C149" s="1286"/>
      <c r="D149" s="1289"/>
      <c r="J149" s="1288"/>
      <c r="K149" s="1286"/>
      <c r="L149" s="1289"/>
    </row>
    <row r="150" spans="2:12">
      <c r="B150" s="1288"/>
      <c r="C150" s="1286"/>
      <c r="D150" s="1289"/>
      <c r="J150" s="1288"/>
      <c r="K150" s="1286"/>
      <c r="L150" s="1289"/>
    </row>
    <row r="151" spans="2:12">
      <c r="B151" s="1288"/>
      <c r="C151" s="1286"/>
      <c r="D151" s="1289"/>
      <c r="J151" s="1288"/>
      <c r="K151" s="1286"/>
      <c r="L151" s="1289"/>
    </row>
    <row r="152" spans="2:12">
      <c r="B152" s="1288"/>
      <c r="C152" s="1286"/>
      <c r="D152" s="1289"/>
    </row>
    <row r="153" spans="2:12" ht="24.6" thickBot="1">
      <c r="B153" s="1290"/>
      <c r="C153" s="1291"/>
      <c r="D153" s="1292"/>
    </row>
  </sheetData>
  <mergeCells count="7">
    <mergeCell ref="B4:D153"/>
    <mergeCell ref="J2:L2"/>
    <mergeCell ref="J3:L151"/>
    <mergeCell ref="N2:P28"/>
    <mergeCell ref="B1:I1"/>
    <mergeCell ref="E2:I30"/>
    <mergeCell ref="B2:D3"/>
  </mergeCells>
  <pageMargins left="0.7" right="0.7" top="0.75" bottom="0.75"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37" r:id="rId4" name="Button 21">
              <controlPr defaultSize="0" print="0" autoFill="0" autoPict="0" macro="[0]!GuestyGetReservations">
                <anchor moveWithCells="1" sizeWithCells="1">
                  <from>
                    <xdr:col>4</xdr:col>
                    <xdr:colOff>175260</xdr:colOff>
                    <xdr:row>1</xdr:row>
                    <xdr:rowOff>38100</xdr:rowOff>
                  </from>
                  <to>
                    <xdr:col>5</xdr:col>
                    <xdr:colOff>662940</xdr:colOff>
                    <xdr:row>1</xdr:row>
                    <xdr:rowOff>266700</xdr:rowOff>
                  </to>
                </anchor>
              </controlPr>
            </control>
          </mc:Choice>
        </mc:AlternateContent>
        <mc:AlternateContent xmlns:mc="http://schemas.openxmlformats.org/markup-compatibility/2006">
          <mc:Choice Requires="x14">
            <control shapeId="9238" r:id="rId5" name="Button 22">
              <controlPr defaultSize="0" print="0" autoFill="0" autoPict="0" macro="[0]!GuestyGetReviews">
                <anchor moveWithCells="1" sizeWithCells="1">
                  <from>
                    <xdr:col>5</xdr:col>
                    <xdr:colOff>769620</xdr:colOff>
                    <xdr:row>1</xdr:row>
                    <xdr:rowOff>45720</xdr:rowOff>
                  </from>
                  <to>
                    <xdr:col>6</xdr:col>
                    <xdr:colOff>518160</xdr:colOff>
                    <xdr:row>1</xdr:row>
                    <xdr:rowOff>266700</xdr:rowOff>
                  </to>
                </anchor>
              </controlPr>
            </control>
          </mc:Choice>
        </mc:AlternateContent>
        <mc:AlternateContent xmlns:mc="http://schemas.openxmlformats.org/markup-compatibility/2006">
          <mc:Choice Requires="x14">
            <control shapeId="9239" r:id="rId6" name="Button 23">
              <controlPr defaultSize="0" print="0" autoFill="0" autoPict="0" macro="[0]!GuestyPaiementsAirbnb">
                <anchor moveWithCells="1" sizeWithCells="1">
                  <from>
                    <xdr:col>6</xdr:col>
                    <xdr:colOff>617220</xdr:colOff>
                    <xdr:row>1</xdr:row>
                    <xdr:rowOff>45720</xdr:rowOff>
                  </from>
                  <to>
                    <xdr:col>7</xdr:col>
                    <xdr:colOff>358140</xdr:colOff>
                    <xdr:row>1</xdr:row>
                    <xdr:rowOff>266700</xdr:rowOff>
                  </to>
                </anchor>
              </controlPr>
            </control>
          </mc:Choice>
        </mc:AlternateContent>
        <mc:AlternateContent xmlns:mc="http://schemas.openxmlformats.org/markup-compatibility/2006">
          <mc:Choice Requires="x14">
            <control shapeId="9240" r:id="rId7" name="Button 24">
              <controlPr defaultSize="0" print="0" autoFill="0" autoPict="0" macro="[0]!GuestyGetReservations">
                <anchor moveWithCells="1" sizeWithCells="1">
                  <from>
                    <xdr:col>7</xdr:col>
                    <xdr:colOff>472440</xdr:colOff>
                    <xdr:row>1</xdr:row>
                    <xdr:rowOff>45720</xdr:rowOff>
                  </from>
                  <to>
                    <xdr:col>8</xdr:col>
                    <xdr:colOff>220980</xdr:colOff>
                    <xdr:row>1</xdr:row>
                    <xdr:rowOff>266700</xdr:rowOff>
                  </to>
                </anchor>
              </controlPr>
            </control>
          </mc:Choice>
        </mc:AlternateContent>
        <mc:AlternateContent xmlns:mc="http://schemas.openxmlformats.org/markup-compatibility/2006">
          <mc:Choice Requires="x14">
            <control shapeId="9241" r:id="rId8" name="Button 25">
              <controlPr defaultSize="0" print="0" autoFill="0" autoPict="0" macro="[0]!MajGuesty">
                <anchor moveWithCells="1" sizeWithCells="1">
                  <from>
                    <xdr:col>5</xdr:col>
                    <xdr:colOff>464820</xdr:colOff>
                    <xdr:row>2</xdr:row>
                    <xdr:rowOff>38100</xdr:rowOff>
                  </from>
                  <to>
                    <xdr:col>7</xdr:col>
                    <xdr:colOff>518160</xdr:colOff>
                    <xdr:row>2</xdr:row>
                    <xdr:rowOff>266700</xdr:rowOff>
                  </to>
                </anchor>
              </controlPr>
            </control>
          </mc:Choice>
        </mc:AlternateContent>
        <mc:AlternateContent xmlns:mc="http://schemas.openxmlformats.org/markup-compatibility/2006">
          <mc:Choice Requires="x14">
            <control shapeId="9242" r:id="rId9" name="Button 26">
              <controlPr defaultSize="0" print="0" autoFill="0" autoPict="0" macro="[0]!BookingGetInvoices">
                <anchor moveWithCells="1" sizeWithCells="1">
                  <from>
                    <xdr:col>4</xdr:col>
                    <xdr:colOff>175260</xdr:colOff>
                    <xdr:row>3</xdr:row>
                    <xdr:rowOff>68580</xdr:rowOff>
                  </from>
                  <to>
                    <xdr:col>5</xdr:col>
                    <xdr:colOff>975360</xdr:colOff>
                    <xdr:row>3</xdr:row>
                    <xdr:rowOff>289560</xdr:rowOff>
                  </to>
                </anchor>
              </controlPr>
            </control>
          </mc:Choice>
        </mc:AlternateContent>
        <mc:AlternateContent xmlns:mc="http://schemas.openxmlformats.org/markup-compatibility/2006">
          <mc:Choice Requires="x14">
            <control shapeId="9243" r:id="rId10" name="Button 27">
              <controlPr defaultSize="0" print="0" autoFill="0" autoPict="0" macro="[0]!BookingCalculCommissionMensuelle">
                <anchor moveWithCells="1" sizeWithCells="1">
                  <from>
                    <xdr:col>5</xdr:col>
                    <xdr:colOff>1135380</xdr:colOff>
                    <xdr:row>3</xdr:row>
                    <xdr:rowOff>91440</xdr:rowOff>
                  </from>
                  <to>
                    <xdr:col>7</xdr:col>
                    <xdr:colOff>30480</xdr:colOff>
                    <xdr:row>4</xdr:row>
                    <xdr:rowOff>7620</xdr:rowOff>
                  </to>
                </anchor>
              </controlPr>
            </control>
          </mc:Choice>
        </mc:AlternateContent>
        <mc:AlternateContent xmlns:mc="http://schemas.openxmlformats.org/markup-compatibility/2006">
          <mc:Choice Requires="x14">
            <control shapeId="9244" r:id="rId11" name="Button 28">
              <controlPr defaultSize="0" print="0" autoFill="0" autoPict="0" macro="[0]!airbnbGetStats">
                <anchor moveWithCells="1" sizeWithCells="1">
                  <from>
                    <xdr:col>7</xdr:col>
                    <xdr:colOff>175260</xdr:colOff>
                    <xdr:row>3</xdr:row>
                    <xdr:rowOff>99060</xdr:rowOff>
                  </from>
                  <to>
                    <xdr:col>8</xdr:col>
                    <xdr:colOff>220980</xdr:colOff>
                    <xdr:row>4</xdr:row>
                    <xdr:rowOff>15240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B9B4F-5501-4B13-B790-F3FBDBA51E6E}">
  <sheetPr codeName="Feuil19"/>
  <dimension ref="A1:I1980"/>
  <sheetViews>
    <sheetView showGridLines="0" zoomScale="77" zoomScaleNormal="77" workbookViewId="0">
      <selection activeCell="F5" sqref="F5"/>
    </sheetView>
  </sheetViews>
  <sheetFormatPr baseColWidth="10" defaultColWidth="10.78515625" defaultRowHeight="30"/>
  <cols>
    <col min="1" max="1" width="17.35546875" style="387" customWidth="1"/>
    <col min="2" max="2" width="10.78515625" style="381"/>
    <col min="3" max="3" width="13.0703125" style="381" customWidth="1"/>
    <col min="4" max="4" width="43.35546875" style="388" customWidth="1"/>
    <col min="5" max="5" width="12.28515625" style="382" customWidth="1"/>
    <col min="6" max="6" width="11.640625" style="389" bestFit="1" customWidth="1"/>
    <col min="7" max="16384" width="10.78515625" style="381"/>
  </cols>
  <sheetData>
    <row r="1" spans="1:9" ht="79.95" customHeight="1">
      <c r="A1" s="1318" t="s">
        <v>1203</v>
      </c>
      <c r="B1" s="1319"/>
      <c r="C1" s="1319"/>
      <c r="D1" s="1319"/>
      <c r="E1" s="1099">
        <f>+Notifs[[#Totals],[Channel]]</f>
        <v>1976</v>
      </c>
      <c r="F1" s="1100" t="s">
        <v>2934</v>
      </c>
    </row>
    <row r="2" spans="1:9" ht="24">
      <c r="A2" s="1101" t="s">
        <v>880</v>
      </c>
      <c r="B2" s="1102" t="s">
        <v>1186</v>
      </c>
      <c r="C2" s="1102" t="s">
        <v>1187</v>
      </c>
      <c r="D2" s="1103" t="s">
        <v>1053</v>
      </c>
      <c r="E2" s="382" t="s">
        <v>65</v>
      </c>
      <c r="F2" s="1109" t="s">
        <v>1312</v>
      </c>
    </row>
    <row r="3" spans="1:9" ht="72">
      <c r="A3" s="405" t="s">
        <v>4031</v>
      </c>
      <c r="B3" s="384" t="s">
        <v>23</v>
      </c>
      <c r="C3" s="384" t="s">
        <v>1255</v>
      </c>
      <c r="D3" s="385" t="s">
        <v>4032</v>
      </c>
      <c r="E3" s="390" t="s">
        <v>1239</v>
      </c>
      <c r="F3" s="396" t="s">
        <v>1313</v>
      </c>
      <c r="G3" s="1110"/>
      <c r="H3" s="1110"/>
      <c r="I3" s="1111"/>
    </row>
    <row r="4" spans="1:9" ht="72">
      <c r="A4" s="405" t="s">
        <v>4009</v>
      </c>
      <c r="B4" s="384" t="s">
        <v>23</v>
      </c>
      <c r="C4" s="384" t="s">
        <v>1255</v>
      </c>
      <c r="D4" s="385" t="s">
        <v>4008</v>
      </c>
      <c r="E4" s="390" t="s">
        <v>1239</v>
      </c>
      <c r="F4" s="396" t="s">
        <v>1313</v>
      </c>
    </row>
    <row r="5" spans="1:9" ht="72">
      <c r="A5" s="405" t="s">
        <v>4007</v>
      </c>
      <c r="B5" s="384" t="s">
        <v>23</v>
      </c>
      <c r="C5" s="384" t="s">
        <v>1255</v>
      </c>
      <c r="D5" s="385" t="s">
        <v>4008</v>
      </c>
      <c r="E5" s="390" t="s">
        <v>1239</v>
      </c>
      <c r="F5" s="396" t="s">
        <v>1313</v>
      </c>
    </row>
    <row r="6" spans="1:9" ht="72">
      <c r="A6" s="405" t="s">
        <v>4005</v>
      </c>
      <c r="B6" s="384" t="s">
        <v>23</v>
      </c>
      <c r="C6" s="384" t="s">
        <v>1277</v>
      </c>
      <c r="D6" s="385" t="s">
        <v>4006</v>
      </c>
      <c r="E6" s="390" t="s">
        <v>1239</v>
      </c>
      <c r="F6" s="396" t="s">
        <v>1313</v>
      </c>
    </row>
    <row r="7" spans="1:9" ht="72">
      <c r="A7" s="405" t="s">
        <v>3986</v>
      </c>
      <c r="B7" s="384" t="s">
        <v>23</v>
      </c>
      <c r="C7" s="384" t="s">
        <v>1255</v>
      </c>
      <c r="D7" s="385" t="s">
        <v>3987</v>
      </c>
      <c r="E7" s="390" t="s">
        <v>1239</v>
      </c>
      <c r="F7" s="396" t="s">
        <v>1313</v>
      </c>
    </row>
    <row r="8" spans="1:9" ht="72">
      <c r="A8" s="1112">
        <v>46267.46597222222</v>
      </c>
      <c r="B8" s="1113" t="s">
        <v>23</v>
      </c>
      <c r="C8" s="1113" t="s">
        <v>1255</v>
      </c>
      <c r="D8" s="1114" t="s">
        <v>3960</v>
      </c>
      <c r="E8" s="1115" t="s">
        <v>1239</v>
      </c>
      <c r="F8" s="1116" t="s">
        <v>1313</v>
      </c>
    </row>
    <row r="9" spans="1:9" ht="72">
      <c r="A9" s="1112">
        <v>46267.46597222222</v>
      </c>
      <c r="B9" s="1113" t="s">
        <v>23</v>
      </c>
      <c r="C9" s="1113" t="s">
        <v>1255</v>
      </c>
      <c r="D9" s="1114" t="s">
        <v>3959</v>
      </c>
      <c r="E9" s="1115" t="s">
        <v>1239</v>
      </c>
      <c r="F9" s="1116" t="s">
        <v>1313</v>
      </c>
    </row>
    <row r="10" spans="1:9" ht="72">
      <c r="A10" s="1112" t="s">
        <v>3916</v>
      </c>
      <c r="B10" s="1113" t="s">
        <v>23</v>
      </c>
      <c r="C10" s="1113" t="s">
        <v>1255</v>
      </c>
      <c r="D10" s="1114" t="s">
        <v>3917</v>
      </c>
      <c r="E10" s="1115" t="s">
        <v>1239</v>
      </c>
      <c r="F10" s="1116" t="s">
        <v>1313</v>
      </c>
    </row>
    <row r="11" spans="1:9" ht="72">
      <c r="A11" s="1112" t="s">
        <v>3726</v>
      </c>
      <c r="B11" s="1113" t="s">
        <v>23</v>
      </c>
      <c r="C11" s="1113" t="s">
        <v>1255</v>
      </c>
      <c r="D11" s="1114" t="s">
        <v>3728</v>
      </c>
      <c r="E11" s="1115" t="s">
        <v>1239</v>
      </c>
      <c r="F11" s="1116" t="s">
        <v>1313</v>
      </c>
    </row>
    <row r="12" spans="1:9" ht="72">
      <c r="A12" s="1112" t="s">
        <v>3726</v>
      </c>
      <c r="B12" s="1113" t="s">
        <v>23</v>
      </c>
      <c r="C12" s="1113" t="s">
        <v>1255</v>
      </c>
      <c r="D12" s="1114" t="s">
        <v>3727</v>
      </c>
      <c r="E12" s="1115" t="s">
        <v>1239</v>
      </c>
      <c r="F12" s="1116" t="s">
        <v>1313</v>
      </c>
    </row>
    <row r="13" spans="1:9" ht="72">
      <c r="A13" s="1112">
        <v>46174.384027777778</v>
      </c>
      <c r="B13" s="1113" t="s">
        <v>23</v>
      </c>
      <c r="C13" s="1113" t="s">
        <v>1277</v>
      </c>
      <c r="D13" s="1114" t="s">
        <v>3718</v>
      </c>
      <c r="E13" s="1115" t="s">
        <v>1239</v>
      </c>
      <c r="F13" s="1116" t="s">
        <v>1313</v>
      </c>
    </row>
    <row r="14" spans="1:9" ht="72">
      <c r="A14" s="1112">
        <v>46174.384027777778</v>
      </c>
      <c r="B14" s="1113" t="s">
        <v>23</v>
      </c>
      <c r="C14" s="1113" t="s">
        <v>1255</v>
      </c>
      <c r="D14" s="1114" t="s">
        <v>3717</v>
      </c>
      <c r="E14" s="1115" t="s">
        <v>1239</v>
      </c>
      <c r="F14" s="1116" t="s">
        <v>1313</v>
      </c>
    </row>
    <row r="15" spans="1:9" ht="72">
      <c r="A15" s="1112">
        <v>46174.384027777778</v>
      </c>
      <c r="B15" s="1113" t="s">
        <v>23</v>
      </c>
      <c r="C15" s="1113" t="s">
        <v>1255</v>
      </c>
      <c r="D15" s="1114" t="s">
        <v>3716</v>
      </c>
      <c r="E15" s="1115" t="s">
        <v>1239</v>
      </c>
      <c r="F15" s="1116" t="s">
        <v>1313</v>
      </c>
    </row>
    <row r="16" spans="1:9" ht="72">
      <c r="A16" s="1104" t="s">
        <v>3697</v>
      </c>
      <c r="B16" s="1105" t="s">
        <v>23</v>
      </c>
      <c r="C16" s="1105" t="s">
        <v>1255</v>
      </c>
      <c r="D16" s="1106" t="s">
        <v>3698</v>
      </c>
      <c r="E16" s="1107" t="s">
        <v>1239</v>
      </c>
      <c r="F16" s="1108" t="s">
        <v>1313</v>
      </c>
    </row>
    <row r="17" spans="1:6" ht="72">
      <c r="A17" s="405" t="s">
        <v>3695</v>
      </c>
      <c r="B17" s="384" t="s">
        <v>23</v>
      </c>
      <c r="C17" s="384" t="s">
        <v>1255</v>
      </c>
      <c r="D17" s="385" t="s">
        <v>3696</v>
      </c>
      <c r="E17" s="390" t="s">
        <v>1239</v>
      </c>
      <c r="F17" s="396" t="s">
        <v>1313</v>
      </c>
    </row>
    <row r="18" spans="1:6" ht="72">
      <c r="A18" s="405">
        <v>45912.441666666666</v>
      </c>
      <c r="B18" s="384" t="s">
        <v>23</v>
      </c>
      <c r="C18" s="384" t="s">
        <v>1255</v>
      </c>
      <c r="D18" s="385" t="s">
        <v>3694</v>
      </c>
      <c r="E18" s="390" t="s">
        <v>1239</v>
      </c>
      <c r="F18" s="396" t="s">
        <v>1313</v>
      </c>
    </row>
    <row r="19" spans="1:6" ht="72">
      <c r="A19" s="405" t="s">
        <v>3668</v>
      </c>
      <c r="B19" s="384" t="s">
        <v>23</v>
      </c>
      <c r="C19" s="384" t="s">
        <v>1255</v>
      </c>
      <c r="D19" s="385" t="s">
        <v>3669</v>
      </c>
      <c r="E19" s="390" t="s">
        <v>1239</v>
      </c>
      <c r="F19" s="396" t="s">
        <v>1313</v>
      </c>
    </row>
    <row r="20" spans="1:6" ht="72">
      <c r="A20" s="405">
        <v>45849.40902777778</v>
      </c>
      <c r="B20" s="384" t="s">
        <v>23</v>
      </c>
      <c r="C20" s="384" t="s">
        <v>1255</v>
      </c>
      <c r="D20" s="385" t="s">
        <v>3646</v>
      </c>
      <c r="E20" s="390" t="s">
        <v>1239</v>
      </c>
      <c r="F20" s="396" t="s">
        <v>1313</v>
      </c>
    </row>
    <row r="21" spans="1:6" ht="72">
      <c r="A21" s="405">
        <v>45758.365277777775</v>
      </c>
      <c r="B21" s="384" t="s">
        <v>23</v>
      </c>
      <c r="C21" s="384" t="s">
        <v>1255</v>
      </c>
      <c r="D21" s="385" t="s">
        <v>3645</v>
      </c>
      <c r="E21" s="390" t="s">
        <v>1239</v>
      </c>
      <c r="F21" s="396" t="s">
        <v>1313</v>
      </c>
    </row>
    <row r="22" spans="1:6" ht="72">
      <c r="A22" s="405">
        <v>45758.365277777775</v>
      </c>
      <c r="B22" s="384" t="s">
        <v>23</v>
      </c>
      <c r="C22" s="384" t="s">
        <v>1255</v>
      </c>
      <c r="D22" s="385" t="s">
        <v>3644</v>
      </c>
      <c r="E22" s="390" t="s">
        <v>1239</v>
      </c>
      <c r="F22" s="396" t="s">
        <v>1313</v>
      </c>
    </row>
    <row r="23" spans="1:6" ht="72">
      <c r="A23" s="405" t="s">
        <v>3637</v>
      </c>
      <c r="B23" s="384" t="s">
        <v>23</v>
      </c>
      <c r="C23" s="384" t="s">
        <v>1255</v>
      </c>
      <c r="D23" s="385" t="s">
        <v>3638</v>
      </c>
      <c r="E23" s="390" t="s">
        <v>1239</v>
      </c>
      <c r="F23" s="396" t="s">
        <v>1313</v>
      </c>
    </row>
    <row r="24" spans="1:6" ht="72">
      <c r="A24" s="405" t="s">
        <v>3631</v>
      </c>
      <c r="B24" s="384" t="s">
        <v>23</v>
      </c>
      <c r="C24" s="384" t="s">
        <v>1255</v>
      </c>
      <c r="D24" s="385" t="s">
        <v>3632</v>
      </c>
      <c r="E24" s="390" t="s">
        <v>1239</v>
      </c>
      <c r="F24" s="396" t="s">
        <v>1313</v>
      </c>
    </row>
    <row r="25" spans="1:6" ht="72">
      <c r="A25" s="405" t="s">
        <v>3628</v>
      </c>
      <c r="B25" s="384" t="s">
        <v>23</v>
      </c>
      <c r="C25" s="384" t="s">
        <v>1255</v>
      </c>
      <c r="D25" s="385" t="s">
        <v>3630</v>
      </c>
      <c r="E25" s="390" t="s">
        <v>1239</v>
      </c>
      <c r="F25" s="396" t="s">
        <v>1313</v>
      </c>
    </row>
    <row r="26" spans="1:6" ht="72">
      <c r="A26" s="405" t="s">
        <v>3628</v>
      </c>
      <c r="B26" s="384" t="s">
        <v>23</v>
      </c>
      <c r="C26" s="384" t="s">
        <v>1255</v>
      </c>
      <c r="D26" s="385" t="s">
        <v>3629</v>
      </c>
      <c r="E26" s="390" t="s">
        <v>1239</v>
      </c>
      <c r="F26" s="396" t="s">
        <v>1313</v>
      </c>
    </row>
    <row r="27" spans="1:6" ht="72">
      <c r="A27" s="405">
        <v>45879.340277777781</v>
      </c>
      <c r="B27" s="384" t="s">
        <v>23</v>
      </c>
      <c r="C27" s="384" t="s">
        <v>1255</v>
      </c>
      <c r="D27" s="385" t="s">
        <v>3624</v>
      </c>
      <c r="E27" s="390" t="s">
        <v>1239</v>
      </c>
      <c r="F27" s="396" t="s">
        <v>1313</v>
      </c>
    </row>
    <row r="28" spans="1:6" ht="72">
      <c r="A28" s="405">
        <v>45818.497916666667</v>
      </c>
      <c r="B28" s="384" t="s">
        <v>23</v>
      </c>
      <c r="C28" s="384" t="s">
        <v>1255</v>
      </c>
      <c r="D28" s="385" t="s">
        <v>3569</v>
      </c>
      <c r="E28" s="390" t="s">
        <v>1239</v>
      </c>
      <c r="F28" s="396" t="s">
        <v>1313</v>
      </c>
    </row>
    <row r="29" spans="1:6" ht="72">
      <c r="A29" s="405">
        <v>45787.795138888891</v>
      </c>
      <c r="B29" s="384" t="s">
        <v>1076</v>
      </c>
      <c r="C29" s="384" t="s">
        <v>1277</v>
      </c>
      <c r="D29" s="385" t="s">
        <v>3615</v>
      </c>
      <c r="E29" s="390" t="s">
        <v>1239</v>
      </c>
      <c r="F29" s="396" t="s">
        <v>1313</v>
      </c>
    </row>
    <row r="30" spans="1:6" ht="72">
      <c r="A30" s="405">
        <v>45787.795138888891</v>
      </c>
      <c r="B30" s="384" t="s">
        <v>1076</v>
      </c>
      <c r="C30" s="384" t="s">
        <v>1277</v>
      </c>
      <c r="D30" s="385" t="s">
        <v>3614</v>
      </c>
      <c r="E30" s="390" t="s">
        <v>1239</v>
      </c>
      <c r="F30" s="396" t="s">
        <v>1313</v>
      </c>
    </row>
    <row r="31" spans="1:6" ht="72">
      <c r="A31" s="405">
        <v>45787.795138888891</v>
      </c>
      <c r="B31" s="384" t="s">
        <v>1076</v>
      </c>
      <c r="C31" s="384" t="s">
        <v>1277</v>
      </c>
      <c r="D31" s="385" t="s">
        <v>3613</v>
      </c>
      <c r="E31" s="390" t="s">
        <v>1239</v>
      </c>
      <c r="F31" s="396" t="s">
        <v>1313</v>
      </c>
    </row>
    <row r="32" spans="1:6" ht="72">
      <c r="A32" s="405">
        <v>45787.795138888891</v>
      </c>
      <c r="B32" s="384" t="s">
        <v>1076</v>
      </c>
      <c r="C32" s="384" t="s">
        <v>1277</v>
      </c>
      <c r="D32" s="385" t="s">
        <v>3612</v>
      </c>
      <c r="E32" s="390" t="s">
        <v>1239</v>
      </c>
      <c r="F32" s="396" t="s">
        <v>1313</v>
      </c>
    </row>
    <row r="33" spans="1:6" ht="72">
      <c r="A33" s="405">
        <v>45787.795138888891</v>
      </c>
      <c r="B33" s="384" t="s">
        <v>1076</v>
      </c>
      <c r="C33" s="384" t="s">
        <v>1277</v>
      </c>
      <c r="D33" s="385" t="s">
        <v>3611</v>
      </c>
      <c r="E33" s="390" t="s">
        <v>1239</v>
      </c>
      <c r="F33" s="396" t="s">
        <v>1313</v>
      </c>
    </row>
    <row r="34" spans="1:6" ht="72">
      <c r="A34" s="405">
        <v>45787.795138888891</v>
      </c>
      <c r="B34" s="384" t="s">
        <v>1076</v>
      </c>
      <c r="C34" s="384" t="s">
        <v>1277</v>
      </c>
      <c r="D34" s="385" t="s">
        <v>3610</v>
      </c>
      <c r="E34" s="390" t="s">
        <v>1239</v>
      </c>
      <c r="F34" s="396" t="s">
        <v>1313</v>
      </c>
    </row>
    <row r="35" spans="1:6" ht="72">
      <c r="A35" s="405">
        <v>45787.795138888891</v>
      </c>
      <c r="B35" s="384" t="s">
        <v>1076</v>
      </c>
      <c r="C35" s="384" t="s">
        <v>1277</v>
      </c>
      <c r="D35" s="385" t="s">
        <v>3609</v>
      </c>
      <c r="E35" s="390" t="s">
        <v>1239</v>
      </c>
      <c r="F35" s="396" t="s">
        <v>1313</v>
      </c>
    </row>
    <row r="36" spans="1:6" ht="72">
      <c r="A36" s="405">
        <v>45787.795138888891</v>
      </c>
      <c r="B36" s="384" t="s">
        <v>1076</v>
      </c>
      <c r="C36" s="384" t="s">
        <v>1277</v>
      </c>
      <c r="D36" s="385" t="s">
        <v>3608</v>
      </c>
      <c r="E36" s="390" t="s">
        <v>1239</v>
      </c>
      <c r="F36" s="396" t="s">
        <v>1313</v>
      </c>
    </row>
    <row r="37" spans="1:6" ht="72">
      <c r="A37" s="405">
        <v>45787.795138888891</v>
      </c>
      <c r="B37" s="384" t="s">
        <v>1076</v>
      </c>
      <c r="C37" s="384" t="s">
        <v>1277</v>
      </c>
      <c r="D37" s="385" t="s">
        <v>3607</v>
      </c>
      <c r="E37" s="390" t="s">
        <v>1239</v>
      </c>
      <c r="F37" s="396" t="s">
        <v>1313</v>
      </c>
    </row>
    <row r="38" spans="1:6" ht="72">
      <c r="A38" s="405">
        <v>45787.795138888891</v>
      </c>
      <c r="B38" s="384" t="s">
        <v>1076</v>
      </c>
      <c r="C38" s="384" t="s">
        <v>1277</v>
      </c>
      <c r="D38" s="385" t="s">
        <v>3606</v>
      </c>
      <c r="E38" s="390" t="s">
        <v>1239</v>
      </c>
      <c r="F38" s="396" t="s">
        <v>1313</v>
      </c>
    </row>
    <row r="39" spans="1:6" ht="72">
      <c r="A39" s="405">
        <v>45787.795138888891</v>
      </c>
      <c r="B39" s="384" t="s">
        <v>1076</v>
      </c>
      <c r="C39" s="384" t="s">
        <v>1277</v>
      </c>
      <c r="D39" s="385" t="s">
        <v>3605</v>
      </c>
      <c r="E39" s="390" t="s">
        <v>1239</v>
      </c>
      <c r="F39" s="396" t="s">
        <v>1313</v>
      </c>
    </row>
    <row r="40" spans="1:6" ht="72">
      <c r="A40" s="405">
        <v>45787.795138888891</v>
      </c>
      <c r="B40" s="384" t="s">
        <v>1076</v>
      </c>
      <c r="C40" s="384" t="s">
        <v>1277</v>
      </c>
      <c r="D40" s="385" t="s">
        <v>3604</v>
      </c>
      <c r="E40" s="390" t="s">
        <v>1239</v>
      </c>
      <c r="F40" s="396" t="s">
        <v>1313</v>
      </c>
    </row>
    <row r="41" spans="1:6" ht="72">
      <c r="A41" s="405">
        <v>45787.795138888891</v>
      </c>
      <c r="B41" s="384" t="s">
        <v>1076</v>
      </c>
      <c r="C41" s="384" t="s">
        <v>1277</v>
      </c>
      <c r="D41" s="385" t="s">
        <v>3603</v>
      </c>
      <c r="E41" s="390" t="s">
        <v>1239</v>
      </c>
      <c r="F41" s="396" t="s">
        <v>1313</v>
      </c>
    </row>
    <row r="42" spans="1:6" ht="72">
      <c r="A42" s="405" t="s">
        <v>3591</v>
      </c>
      <c r="B42" s="384" t="s">
        <v>23</v>
      </c>
      <c r="C42" s="384" t="s">
        <v>1255</v>
      </c>
      <c r="D42" s="385" t="s">
        <v>3583</v>
      </c>
      <c r="E42" s="390" t="s">
        <v>1239</v>
      </c>
      <c r="F42" s="396" t="s">
        <v>1313</v>
      </c>
    </row>
    <row r="43" spans="1:6" ht="72">
      <c r="A43" s="405" t="s">
        <v>3590</v>
      </c>
      <c r="B43" s="384" t="s">
        <v>23</v>
      </c>
      <c r="C43" s="384" t="s">
        <v>1255</v>
      </c>
      <c r="D43" s="385" t="s">
        <v>3583</v>
      </c>
      <c r="E43" s="390" t="s">
        <v>1239</v>
      </c>
      <c r="F43" s="396" t="s">
        <v>1313</v>
      </c>
    </row>
    <row r="44" spans="1:6" ht="72">
      <c r="A44" s="405" t="s">
        <v>3589</v>
      </c>
      <c r="B44" s="384" t="s">
        <v>23</v>
      </c>
      <c r="C44" s="384" t="s">
        <v>1277</v>
      </c>
      <c r="D44" s="385" t="s">
        <v>3588</v>
      </c>
      <c r="E44" s="390" t="s">
        <v>1239</v>
      </c>
      <c r="F44" s="396" t="s">
        <v>1313</v>
      </c>
    </row>
    <row r="45" spans="1:6" ht="72">
      <c r="A45" s="405" t="s">
        <v>3589</v>
      </c>
      <c r="B45" s="384" t="s">
        <v>23</v>
      </c>
      <c r="C45" s="384" t="s">
        <v>1277</v>
      </c>
      <c r="D45" s="385" t="s">
        <v>3588</v>
      </c>
      <c r="E45" s="390" t="s">
        <v>1239</v>
      </c>
      <c r="F45" s="396" t="s">
        <v>1313</v>
      </c>
    </row>
    <row r="46" spans="1:6" ht="72">
      <c r="A46" s="405" t="s">
        <v>3587</v>
      </c>
      <c r="B46" s="384" t="s">
        <v>23</v>
      </c>
      <c r="C46" s="384" t="s">
        <v>1277</v>
      </c>
      <c r="D46" s="385" t="s">
        <v>3588</v>
      </c>
      <c r="E46" s="390" t="s">
        <v>1239</v>
      </c>
      <c r="F46" s="396" t="s">
        <v>1313</v>
      </c>
    </row>
    <row r="47" spans="1:6" ht="72">
      <c r="A47" s="405" t="s">
        <v>3585</v>
      </c>
      <c r="B47" s="384" t="s">
        <v>23</v>
      </c>
      <c r="C47" s="384" t="s">
        <v>1277</v>
      </c>
      <c r="D47" s="385" t="s">
        <v>3586</v>
      </c>
      <c r="E47" s="390" t="s">
        <v>1239</v>
      </c>
      <c r="F47" s="396" t="s">
        <v>1313</v>
      </c>
    </row>
    <row r="48" spans="1:6" ht="48">
      <c r="A48" s="405" t="s">
        <v>3584</v>
      </c>
      <c r="B48" s="384" t="s">
        <v>23</v>
      </c>
      <c r="C48" s="384" t="s">
        <v>1277</v>
      </c>
      <c r="D48" s="385" t="s">
        <v>3582</v>
      </c>
      <c r="E48" s="390" t="s">
        <v>1239</v>
      </c>
      <c r="F48" s="396" t="s">
        <v>1313</v>
      </c>
    </row>
    <row r="49" spans="1:6" ht="72">
      <c r="A49" s="405" t="s">
        <v>3581</v>
      </c>
      <c r="B49" s="384" t="s">
        <v>23</v>
      </c>
      <c r="C49" s="384" t="s">
        <v>1255</v>
      </c>
      <c r="D49" s="385" t="s">
        <v>3583</v>
      </c>
      <c r="E49" s="390" t="s">
        <v>1239</v>
      </c>
      <c r="F49" s="396" t="s">
        <v>1313</v>
      </c>
    </row>
    <row r="50" spans="1:6" ht="48">
      <c r="A50" s="405" t="s">
        <v>3581</v>
      </c>
      <c r="B50" s="384" t="s">
        <v>23</v>
      </c>
      <c r="C50" s="384" t="s">
        <v>1277</v>
      </c>
      <c r="D50" s="385" t="s">
        <v>3582</v>
      </c>
      <c r="E50" s="390" t="s">
        <v>1239</v>
      </c>
      <c r="F50" s="396" t="s">
        <v>1313</v>
      </c>
    </row>
    <row r="51" spans="1:6" ht="72">
      <c r="A51" s="405">
        <v>46000.537499999999</v>
      </c>
      <c r="B51" s="384" t="s">
        <v>23</v>
      </c>
      <c r="C51" s="384" t="s">
        <v>1255</v>
      </c>
      <c r="D51" s="385" t="s">
        <v>3569</v>
      </c>
      <c r="E51" s="390" t="s">
        <v>1239</v>
      </c>
      <c r="F51" s="396" t="s">
        <v>1313</v>
      </c>
    </row>
    <row r="52" spans="1:6" ht="72">
      <c r="A52" s="405">
        <v>45970.5</v>
      </c>
      <c r="B52" s="384" t="s">
        <v>23</v>
      </c>
      <c r="C52" s="384" t="s">
        <v>1255</v>
      </c>
      <c r="D52" s="385" t="s">
        <v>3555</v>
      </c>
      <c r="E52" s="390" t="s">
        <v>1239</v>
      </c>
      <c r="F52" s="396" t="s">
        <v>1313</v>
      </c>
    </row>
    <row r="53" spans="1:6" ht="72">
      <c r="A53" s="405">
        <v>45970.499305555553</v>
      </c>
      <c r="B53" s="384" t="s">
        <v>23</v>
      </c>
      <c r="C53" s="384" t="s">
        <v>1255</v>
      </c>
      <c r="D53" s="385" t="s">
        <v>3555</v>
      </c>
      <c r="E53" s="390" t="s">
        <v>1239</v>
      </c>
      <c r="F53" s="396" t="s">
        <v>1313</v>
      </c>
    </row>
    <row r="54" spans="1:6" ht="48">
      <c r="A54" s="405">
        <v>45970.496527777781</v>
      </c>
      <c r="B54" s="384" t="s">
        <v>23</v>
      </c>
      <c r="C54" s="384" t="s">
        <v>1277</v>
      </c>
      <c r="D54" s="385" t="s">
        <v>3554</v>
      </c>
      <c r="E54" s="390" t="s">
        <v>1239</v>
      </c>
      <c r="F54" s="396" t="s">
        <v>1313</v>
      </c>
    </row>
    <row r="55" spans="1:6" ht="48">
      <c r="A55" s="405">
        <v>45970.496527777781</v>
      </c>
      <c r="B55" s="384" t="s">
        <v>23</v>
      </c>
      <c r="C55" s="384" t="s">
        <v>1277</v>
      </c>
      <c r="D55" s="385" t="s">
        <v>3553</v>
      </c>
      <c r="E55" s="390" t="s">
        <v>1239</v>
      </c>
      <c r="F55" s="396" t="s">
        <v>1313</v>
      </c>
    </row>
    <row r="56" spans="1:6" ht="48">
      <c r="A56" s="405">
        <v>45970.496527777781</v>
      </c>
      <c r="B56" s="384" t="s">
        <v>23</v>
      </c>
      <c r="C56" s="384" t="s">
        <v>1277</v>
      </c>
      <c r="D56" s="385" t="s">
        <v>3552</v>
      </c>
      <c r="E56" s="390" t="s">
        <v>1239</v>
      </c>
      <c r="F56" s="396" t="s">
        <v>1313</v>
      </c>
    </row>
    <row r="57" spans="1:6" ht="48">
      <c r="A57" s="405">
        <v>45970.496527777781</v>
      </c>
      <c r="B57" s="384" t="s">
        <v>23</v>
      </c>
      <c r="C57" s="384" t="s">
        <v>1277</v>
      </c>
      <c r="D57" s="385" t="s">
        <v>3551</v>
      </c>
      <c r="E57" s="390" t="s">
        <v>1239</v>
      </c>
      <c r="F57" s="396" t="s">
        <v>1313</v>
      </c>
    </row>
    <row r="58" spans="1:6" ht="48">
      <c r="A58" s="405">
        <v>45970.496527777781</v>
      </c>
      <c r="B58" s="384" t="s">
        <v>23</v>
      </c>
      <c r="C58" s="384" t="s">
        <v>1277</v>
      </c>
      <c r="D58" s="385" t="s">
        <v>3550</v>
      </c>
      <c r="E58" s="390" t="s">
        <v>1239</v>
      </c>
      <c r="F58" s="396" t="s">
        <v>1313</v>
      </c>
    </row>
    <row r="59" spans="1:6" ht="48">
      <c r="A59" s="405">
        <v>45970.496527777781</v>
      </c>
      <c r="B59" s="384" t="s">
        <v>23</v>
      </c>
      <c r="C59" s="384" t="s">
        <v>1277</v>
      </c>
      <c r="D59" s="385" t="s">
        <v>3549</v>
      </c>
      <c r="E59" s="390" t="s">
        <v>1239</v>
      </c>
      <c r="F59" s="396" t="s">
        <v>1313</v>
      </c>
    </row>
    <row r="60" spans="1:6" ht="48">
      <c r="A60" s="405">
        <v>45970.496527777781</v>
      </c>
      <c r="B60" s="384" t="s">
        <v>23</v>
      </c>
      <c r="C60" s="384" t="s">
        <v>1277</v>
      </c>
      <c r="D60" s="385" t="s">
        <v>3548</v>
      </c>
      <c r="E60" s="390" t="s">
        <v>1239</v>
      </c>
      <c r="F60" s="396" t="s">
        <v>1313</v>
      </c>
    </row>
    <row r="61" spans="1:6" ht="48">
      <c r="A61" s="405">
        <v>45970.496527777781</v>
      </c>
      <c r="B61" s="384" t="s">
        <v>23</v>
      </c>
      <c r="C61" s="384" t="s">
        <v>1277</v>
      </c>
      <c r="D61" s="385" t="s">
        <v>3547</v>
      </c>
      <c r="E61" s="390" t="s">
        <v>1239</v>
      </c>
      <c r="F61" s="396" t="s">
        <v>1313</v>
      </c>
    </row>
    <row r="62" spans="1:6" ht="48">
      <c r="A62" s="405">
        <v>45970.496527777781</v>
      </c>
      <c r="B62" s="384" t="s">
        <v>23</v>
      </c>
      <c r="C62" s="384" t="s">
        <v>1277</v>
      </c>
      <c r="D62" s="385" t="s">
        <v>3546</v>
      </c>
      <c r="E62" s="390" t="s">
        <v>1239</v>
      </c>
      <c r="F62" s="396" t="s">
        <v>1313</v>
      </c>
    </row>
    <row r="63" spans="1:6" ht="48">
      <c r="A63" s="405">
        <v>45970.496527777781</v>
      </c>
      <c r="B63" s="384" t="s">
        <v>23</v>
      </c>
      <c r="C63" s="384" t="s">
        <v>1277</v>
      </c>
      <c r="D63" s="385" t="s">
        <v>3545</v>
      </c>
      <c r="E63" s="390" t="s">
        <v>1239</v>
      </c>
      <c r="F63" s="396" t="s">
        <v>1313</v>
      </c>
    </row>
    <row r="64" spans="1:6" ht="48">
      <c r="A64" s="405">
        <v>45970.496527777781</v>
      </c>
      <c r="B64" s="384" t="s">
        <v>23</v>
      </c>
      <c r="C64" s="384" t="s">
        <v>1277</v>
      </c>
      <c r="D64" s="385" t="s">
        <v>3544</v>
      </c>
      <c r="E64" s="390" t="s">
        <v>1239</v>
      </c>
      <c r="F64" s="396" t="s">
        <v>1313</v>
      </c>
    </row>
    <row r="65" spans="1:6" ht="48">
      <c r="A65" s="405">
        <v>45970.496527777781</v>
      </c>
      <c r="B65" s="384" t="s">
        <v>23</v>
      </c>
      <c r="C65" s="384" t="s">
        <v>1277</v>
      </c>
      <c r="D65" s="385" t="s">
        <v>3543</v>
      </c>
      <c r="E65" s="390" t="s">
        <v>1239</v>
      </c>
      <c r="F65" s="396" t="s">
        <v>1313</v>
      </c>
    </row>
    <row r="66" spans="1:6" ht="48">
      <c r="A66" s="405">
        <v>45970.496527777781</v>
      </c>
      <c r="B66" s="384" t="s">
        <v>23</v>
      </c>
      <c r="C66" s="384" t="s">
        <v>1277</v>
      </c>
      <c r="D66" s="385" t="s">
        <v>3542</v>
      </c>
      <c r="E66" s="390" t="s">
        <v>1239</v>
      </c>
      <c r="F66" s="396" t="s">
        <v>1313</v>
      </c>
    </row>
    <row r="67" spans="1:6" ht="48">
      <c r="A67" s="405">
        <v>45970.496527777781</v>
      </c>
      <c r="B67" s="384" t="s">
        <v>23</v>
      </c>
      <c r="C67" s="384" t="s">
        <v>1277</v>
      </c>
      <c r="D67" s="385" t="s">
        <v>3541</v>
      </c>
      <c r="E67" s="390" t="s">
        <v>1239</v>
      </c>
      <c r="F67" s="396" t="s">
        <v>1313</v>
      </c>
    </row>
    <row r="68" spans="1:6" ht="48">
      <c r="A68" s="405">
        <v>45970.496527777781</v>
      </c>
      <c r="B68" s="384" t="s">
        <v>23</v>
      </c>
      <c r="C68" s="384" t="s">
        <v>1277</v>
      </c>
      <c r="D68" s="385" t="s">
        <v>3554</v>
      </c>
      <c r="E68" s="390" t="s">
        <v>1239</v>
      </c>
      <c r="F68" s="396" t="s">
        <v>1313</v>
      </c>
    </row>
    <row r="69" spans="1:6" ht="48">
      <c r="A69" s="405">
        <v>45970.496527777781</v>
      </c>
      <c r="B69" s="384" t="s">
        <v>23</v>
      </c>
      <c r="C69" s="384" t="s">
        <v>1277</v>
      </c>
      <c r="D69" s="385" t="s">
        <v>3553</v>
      </c>
      <c r="E69" s="390" t="s">
        <v>1239</v>
      </c>
      <c r="F69" s="396" t="s">
        <v>1313</v>
      </c>
    </row>
    <row r="70" spans="1:6" ht="48">
      <c r="A70" s="405">
        <v>45970.496527777781</v>
      </c>
      <c r="B70" s="384" t="s">
        <v>23</v>
      </c>
      <c r="C70" s="384" t="s">
        <v>1277</v>
      </c>
      <c r="D70" s="385" t="s">
        <v>3552</v>
      </c>
      <c r="E70" s="390" t="s">
        <v>1239</v>
      </c>
      <c r="F70" s="396" t="s">
        <v>1313</v>
      </c>
    </row>
    <row r="71" spans="1:6" ht="48">
      <c r="A71" s="405">
        <v>45970.496527777781</v>
      </c>
      <c r="B71" s="384" t="s">
        <v>23</v>
      </c>
      <c r="C71" s="384" t="s">
        <v>1277</v>
      </c>
      <c r="D71" s="385" t="s">
        <v>3551</v>
      </c>
      <c r="E71" s="390" t="s">
        <v>1239</v>
      </c>
      <c r="F71" s="396" t="s">
        <v>1313</v>
      </c>
    </row>
    <row r="72" spans="1:6" ht="48">
      <c r="A72" s="405">
        <v>45970.496527777781</v>
      </c>
      <c r="B72" s="384" t="s">
        <v>23</v>
      </c>
      <c r="C72" s="384" t="s">
        <v>1277</v>
      </c>
      <c r="D72" s="385" t="s">
        <v>3550</v>
      </c>
      <c r="E72" s="390" t="s">
        <v>1239</v>
      </c>
      <c r="F72" s="396" t="s">
        <v>1313</v>
      </c>
    </row>
    <row r="73" spans="1:6" ht="48">
      <c r="A73" s="405">
        <v>45970.496527777781</v>
      </c>
      <c r="B73" s="384" t="s">
        <v>23</v>
      </c>
      <c r="C73" s="384" t="s">
        <v>1277</v>
      </c>
      <c r="D73" s="385" t="s">
        <v>3549</v>
      </c>
      <c r="E73" s="390" t="s">
        <v>1239</v>
      </c>
      <c r="F73" s="396" t="s">
        <v>1313</v>
      </c>
    </row>
    <row r="74" spans="1:6" ht="48">
      <c r="A74" s="405">
        <v>45970.496527777781</v>
      </c>
      <c r="B74" s="384" t="s">
        <v>23</v>
      </c>
      <c r="C74" s="384" t="s">
        <v>1277</v>
      </c>
      <c r="D74" s="385" t="s">
        <v>3548</v>
      </c>
      <c r="E74" s="390" t="s">
        <v>1239</v>
      </c>
      <c r="F74" s="396" t="s">
        <v>1313</v>
      </c>
    </row>
    <row r="75" spans="1:6" ht="48">
      <c r="A75" s="405">
        <v>45970.496527777781</v>
      </c>
      <c r="B75" s="384" t="s">
        <v>23</v>
      </c>
      <c r="C75" s="384" t="s">
        <v>1277</v>
      </c>
      <c r="D75" s="385" t="s">
        <v>3547</v>
      </c>
      <c r="E75" s="390" t="s">
        <v>1239</v>
      </c>
      <c r="F75" s="396" t="s">
        <v>1313</v>
      </c>
    </row>
    <row r="76" spans="1:6" ht="48">
      <c r="A76" s="405">
        <v>45970.496527777781</v>
      </c>
      <c r="B76" s="384" t="s">
        <v>23</v>
      </c>
      <c r="C76" s="384" t="s">
        <v>1277</v>
      </c>
      <c r="D76" s="385" t="s">
        <v>3546</v>
      </c>
      <c r="E76" s="390" t="s">
        <v>1239</v>
      </c>
      <c r="F76" s="396" t="s">
        <v>1313</v>
      </c>
    </row>
    <row r="77" spans="1:6" ht="48">
      <c r="A77" s="405">
        <v>45970.496527777781</v>
      </c>
      <c r="B77" s="384" t="s">
        <v>23</v>
      </c>
      <c r="C77" s="384" t="s">
        <v>1277</v>
      </c>
      <c r="D77" s="385" t="s">
        <v>3545</v>
      </c>
      <c r="E77" s="390" t="s">
        <v>1239</v>
      </c>
      <c r="F77" s="396" t="s">
        <v>1313</v>
      </c>
    </row>
    <row r="78" spans="1:6" ht="48">
      <c r="A78" s="405">
        <v>45970.496527777781</v>
      </c>
      <c r="B78" s="384" t="s">
        <v>23</v>
      </c>
      <c r="C78" s="384" t="s">
        <v>1277</v>
      </c>
      <c r="D78" s="385" t="s">
        <v>3544</v>
      </c>
      <c r="E78" s="390" t="s">
        <v>1239</v>
      </c>
      <c r="F78" s="396" t="s">
        <v>1313</v>
      </c>
    </row>
    <row r="79" spans="1:6" ht="48">
      <c r="A79" s="405">
        <v>45970.496527777781</v>
      </c>
      <c r="B79" s="384" t="s">
        <v>23</v>
      </c>
      <c r="C79" s="384" t="s">
        <v>1277</v>
      </c>
      <c r="D79" s="385" t="s">
        <v>3543</v>
      </c>
      <c r="E79" s="390" t="s">
        <v>1239</v>
      </c>
      <c r="F79" s="396" t="s">
        <v>1313</v>
      </c>
    </row>
    <row r="80" spans="1:6" ht="48">
      <c r="A80" s="405">
        <v>45970.496527777781</v>
      </c>
      <c r="B80" s="384" t="s">
        <v>23</v>
      </c>
      <c r="C80" s="384" t="s">
        <v>1277</v>
      </c>
      <c r="D80" s="385" t="s">
        <v>3542</v>
      </c>
      <c r="E80" s="390" t="s">
        <v>1239</v>
      </c>
      <c r="F80" s="396" t="s">
        <v>1313</v>
      </c>
    </row>
    <row r="81" spans="1:6" ht="48">
      <c r="A81" s="405">
        <v>45970.496527777781</v>
      </c>
      <c r="B81" s="384" t="s">
        <v>23</v>
      </c>
      <c r="C81" s="384" t="s">
        <v>1277</v>
      </c>
      <c r="D81" s="385" t="s">
        <v>3541</v>
      </c>
      <c r="E81" s="390" t="s">
        <v>1239</v>
      </c>
      <c r="F81" s="396" t="s">
        <v>1313</v>
      </c>
    </row>
    <row r="82" spans="1:6" ht="72">
      <c r="A82" s="405">
        <v>45970.470833333333</v>
      </c>
      <c r="B82" s="384" t="s">
        <v>23</v>
      </c>
      <c r="C82" s="384" t="s">
        <v>1277</v>
      </c>
      <c r="D82" s="385" t="s">
        <v>3540</v>
      </c>
      <c r="E82" s="390" t="s">
        <v>1239</v>
      </c>
      <c r="F82" s="396" t="s">
        <v>1313</v>
      </c>
    </row>
    <row r="83" spans="1:6" ht="72">
      <c r="A83" s="405">
        <v>45970.470833333333</v>
      </c>
      <c r="B83" s="384" t="s">
        <v>23</v>
      </c>
      <c r="C83" s="384" t="s">
        <v>1277</v>
      </c>
      <c r="D83" s="385" t="s">
        <v>3539</v>
      </c>
      <c r="E83" s="390" t="s">
        <v>1239</v>
      </c>
      <c r="F83" s="396" t="s">
        <v>1313</v>
      </c>
    </row>
    <row r="84" spans="1:6" ht="72">
      <c r="A84" s="405">
        <v>45970.470833333333</v>
      </c>
      <c r="B84" s="384" t="s">
        <v>23</v>
      </c>
      <c r="C84" s="384" t="s">
        <v>1277</v>
      </c>
      <c r="D84" s="385" t="s">
        <v>3538</v>
      </c>
      <c r="E84" s="390" t="s">
        <v>1239</v>
      </c>
      <c r="F84" s="396" t="s">
        <v>1313</v>
      </c>
    </row>
    <row r="85" spans="1:6" ht="72">
      <c r="A85" s="405">
        <v>45970.470833333333</v>
      </c>
      <c r="B85" s="384" t="s">
        <v>23</v>
      </c>
      <c r="C85" s="384" t="s">
        <v>1277</v>
      </c>
      <c r="D85" s="385" t="s">
        <v>3537</v>
      </c>
      <c r="E85" s="390" t="s">
        <v>1239</v>
      </c>
      <c r="F85" s="396" t="s">
        <v>1313</v>
      </c>
    </row>
    <row r="86" spans="1:6" ht="72">
      <c r="A86" s="405">
        <v>45970.470833333333</v>
      </c>
      <c r="B86" s="384" t="s">
        <v>23</v>
      </c>
      <c r="C86" s="384" t="s">
        <v>1277</v>
      </c>
      <c r="D86" s="385" t="s">
        <v>3536</v>
      </c>
      <c r="E86" s="390" t="s">
        <v>1239</v>
      </c>
      <c r="F86" s="396" t="s">
        <v>1313</v>
      </c>
    </row>
    <row r="87" spans="1:6" ht="72">
      <c r="A87" s="405">
        <v>45970.470833333333</v>
      </c>
      <c r="B87" s="384" t="s">
        <v>23</v>
      </c>
      <c r="C87" s="384" t="s">
        <v>1277</v>
      </c>
      <c r="D87" s="385" t="s">
        <v>3535</v>
      </c>
      <c r="E87" s="390" t="s">
        <v>1239</v>
      </c>
      <c r="F87" s="396" t="s">
        <v>1313</v>
      </c>
    </row>
    <row r="88" spans="1:6" ht="72">
      <c r="A88" s="405">
        <v>45970.470833333333</v>
      </c>
      <c r="B88" s="384" t="s">
        <v>23</v>
      </c>
      <c r="C88" s="384" t="s">
        <v>1277</v>
      </c>
      <c r="D88" s="385" t="s">
        <v>3534</v>
      </c>
      <c r="E88" s="390" t="s">
        <v>1239</v>
      </c>
      <c r="F88" s="396" t="s">
        <v>1313</v>
      </c>
    </row>
    <row r="89" spans="1:6" ht="72">
      <c r="A89" s="405">
        <v>45970.470833333333</v>
      </c>
      <c r="B89" s="384" t="s">
        <v>23</v>
      </c>
      <c r="C89" s="384" t="s">
        <v>1277</v>
      </c>
      <c r="D89" s="385" t="s">
        <v>3533</v>
      </c>
      <c r="E89" s="390" t="s">
        <v>1239</v>
      </c>
      <c r="F89" s="396" t="s">
        <v>1313</v>
      </c>
    </row>
    <row r="90" spans="1:6" ht="72">
      <c r="A90" s="405">
        <v>45970.470833333333</v>
      </c>
      <c r="B90" s="384" t="s">
        <v>23</v>
      </c>
      <c r="C90" s="384" t="s">
        <v>1277</v>
      </c>
      <c r="D90" s="385" t="s">
        <v>3532</v>
      </c>
      <c r="E90" s="390" t="s">
        <v>1239</v>
      </c>
      <c r="F90" s="396" t="s">
        <v>1313</v>
      </c>
    </row>
    <row r="91" spans="1:6" ht="72">
      <c r="A91" s="405">
        <v>45970.470833333333</v>
      </c>
      <c r="B91" s="384" t="s">
        <v>23</v>
      </c>
      <c r="C91" s="384" t="s">
        <v>1277</v>
      </c>
      <c r="D91" s="385" t="s">
        <v>3531</v>
      </c>
      <c r="E91" s="390" t="s">
        <v>1239</v>
      </c>
      <c r="F91" s="396" t="s">
        <v>1313</v>
      </c>
    </row>
    <row r="92" spans="1:6" ht="72">
      <c r="A92" s="405">
        <v>45909.390972222223</v>
      </c>
      <c r="B92" s="384" t="s">
        <v>88</v>
      </c>
      <c r="C92" s="384" t="s">
        <v>1277</v>
      </c>
      <c r="D92" s="385" t="s">
        <v>3450</v>
      </c>
      <c r="E92" s="390" t="s">
        <v>1239</v>
      </c>
      <c r="F92" s="396" t="s">
        <v>1313</v>
      </c>
    </row>
    <row r="93" spans="1:6" ht="72">
      <c r="A93" s="405">
        <v>45909.390972222223</v>
      </c>
      <c r="B93" s="384" t="s">
        <v>88</v>
      </c>
      <c r="C93" s="384" t="s">
        <v>1277</v>
      </c>
      <c r="D93" s="385" t="s">
        <v>2895</v>
      </c>
      <c r="E93" s="390" t="s">
        <v>1239</v>
      </c>
      <c r="F93" s="396" t="s">
        <v>1313</v>
      </c>
    </row>
    <row r="94" spans="1:6" ht="72">
      <c r="A94" s="405">
        <v>45909.293055555558</v>
      </c>
      <c r="B94" s="384" t="s">
        <v>88</v>
      </c>
      <c r="C94" s="384" t="s">
        <v>1255</v>
      </c>
      <c r="D94" s="385" t="s">
        <v>3150</v>
      </c>
      <c r="E94" s="390" t="s">
        <v>1239</v>
      </c>
      <c r="F94" s="396" t="s">
        <v>1313</v>
      </c>
    </row>
    <row r="95" spans="1:6" ht="72">
      <c r="A95" s="405">
        <v>45909.293055555558</v>
      </c>
      <c r="B95" s="384" t="s">
        <v>88</v>
      </c>
      <c r="C95" s="384" t="s">
        <v>1255</v>
      </c>
      <c r="D95" s="385" t="s">
        <v>3186</v>
      </c>
      <c r="E95" s="390" t="s">
        <v>1239</v>
      </c>
      <c r="F95" s="396" t="s">
        <v>1313</v>
      </c>
    </row>
    <row r="96" spans="1:6" ht="72">
      <c r="A96" s="405">
        <v>45909.293055555558</v>
      </c>
      <c r="B96" s="384" t="s">
        <v>88</v>
      </c>
      <c r="C96" s="384" t="s">
        <v>1255</v>
      </c>
      <c r="D96" s="385" t="s">
        <v>3194</v>
      </c>
      <c r="E96" s="390" t="s">
        <v>1239</v>
      </c>
      <c r="F96" s="396" t="s">
        <v>1313</v>
      </c>
    </row>
    <row r="97" spans="1:6" ht="72">
      <c r="A97" s="405">
        <v>45909.293055555558</v>
      </c>
      <c r="B97" s="384" t="s">
        <v>88</v>
      </c>
      <c r="C97" s="384" t="s">
        <v>1255</v>
      </c>
      <c r="D97" s="385" t="s">
        <v>3210</v>
      </c>
      <c r="E97" s="390" t="s">
        <v>1239</v>
      </c>
      <c r="F97" s="396" t="s">
        <v>1313</v>
      </c>
    </row>
    <row r="98" spans="1:6" ht="72">
      <c r="A98" s="405">
        <v>45909.293055555558</v>
      </c>
      <c r="B98" s="384" t="s">
        <v>88</v>
      </c>
      <c r="C98" s="384" t="s">
        <v>1255</v>
      </c>
      <c r="D98" s="385" t="s">
        <v>3218</v>
      </c>
      <c r="E98" s="390" t="s">
        <v>1239</v>
      </c>
      <c r="F98" s="396" t="s">
        <v>1313</v>
      </c>
    </row>
    <row r="99" spans="1:6" ht="72">
      <c r="A99" s="405">
        <v>45909.293055555558</v>
      </c>
      <c r="B99" s="384" t="s">
        <v>88</v>
      </c>
      <c r="C99" s="384" t="s">
        <v>1255</v>
      </c>
      <c r="D99" s="385" t="s">
        <v>3237</v>
      </c>
      <c r="E99" s="390" t="s">
        <v>1239</v>
      </c>
      <c r="F99" s="396" t="s">
        <v>1313</v>
      </c>
    </row>
    <row r="100" spans="1:6" ht="72">
      <c r="A100" s="405">
        <v>45909.293055555558</v>
      </c>
      <c r="B100" s="384" t="s">
        <v>88</v>
      </c>
      <c r="C100" s="384" t="s">
        <v>1255</v>
      </c>
      <c r="D100" s="385" t="s">
        <v>3236</v>
      </c>
      <c r="E100" s="390" t="s">
        <v>1239</v>
      </c>
      <c r="F100" s="396" t="s">
        <v>1313</v>
      </c>
    </row>
    <row r="101" spans="1:6" ht="72">
      <c r="A101" s="405">
        <v>45909.293055555558</v>
      </c>
      <c r="B101" s="384" t="s">
        <v>88</v>
      </c>
      <c r="C101" s="384" t="s">
        <v>1255</v>
      </c>
      <c r="D101" s="385" t="s">
        <v>3241</v>
      </c>
      <c r="E101" s="390" t="s">
        <v>1239</v>
      </c>
      <c r="F101" s="396" t="s">
        <v>1313</v>
      </c>
    </row>
    <row r="102" spans="1:6" ht="72">
      <c r="A102" s="405">
        <v>45909.291666666664</v>
      </c>
      <c r="B102" s="384" t="s">
        <v>88</v>
      </c>
      <c r="C102" s="384" t="s">
        <v>1277</v>
      </c>
      <c r="D102" s="385" t="s">
        <v>3433</v>
      </c>
      <c r="E102" s="390" t="s">
        <v>1239</v>
      </c>
      <c r="F102" s="396" t="s">
        <v>1313</v>
      </c>
    </row>
    <row r="103" spans="1:6" ht="72">
      <c r="A103" s="405">
        <v>45909.291666666664</v>
      </c>
      <c r="B103" s="384" t="s">
        <v>88</v>
      </c>
      <c r="C103" s="384" t="s">
        <v>1277</v>
      </c>
      <c r="D103" s="385" t="s">
        <v>3432</v>
      </c>
      <c r="E103" s="390" t="s">
        <v>1239</v>
      </c>
      <c r="F103" s="396" t="s">
        <v>1313</v>
      </c>
    </row>
    <row r="104" spans="1:6" ht="72">
      <c r="A104" s="405">
        <v>45909.291666666664</v>
      </c>
      <c r="B104" s="384" t="s">
        <v>88</v>
      </c>
      <c r="C104" s="384" t="s">
        <v>1277</v>
      </c>
      <c r="D104" s="385" t="s">
        <v>3040</v>
      </c>
      <c r="E104" s="390" t="s">
        <v>1239</v>
      </c>
      <c r="F104" s="396" t="s">
        <v>1313</v>
      </c>
    </row>
    <row r="105" spans="1:6" ht="72">
      <c r="A105" s="405">
        <v>45909.291666666664</v>
      </c>
      <c r="B105" s="384" t="s">
        <v>88</v>
      </c>
      <c r="C105" s="384" t="s">
        <v>1277</v>
      </c>
      <c r="D105" s="385" t="s">
        <v>2907</v>
      </c>
      <c r="E105" s="390" t="s">
        <v>1239</v>
      </c>
      <c r="F105" s="396" t="s">
        <v>1313</v>
      </c>
    </row>
    <row r="106" spans="1:6" ht="72">
      <c r="A106" s="405">
        <v>45909.291666666664</v>
      </c>
      <c r="B106" s="384" t="s">
        <v>88</v>
      </c>
      <c r="C106" s="384" t="s">
        <v>1277</v>
      </c>
      <c r="D106" s="385" t="s">
        <v>2833</v>
      </c>
      <c r="E106" s="390" t="s">
        <v>1239</v>
      </c>
      <c r="F106" s="396" t="s">
        <v>1313</v>
      </c>
    </row>
    <row r="107" spans="1:6" ht="72">
      <c r="A107" s="405">
        <v>45909.291666666664</v>
      </c>
      <c r="B107" s="384" t="s">
        <v>88</v>
      </c>
      <c r="C107" s="384" t="s">
        <v>1277</v>
      </c>
      <c r="D107" s="385" t="s">
        <v>3058</v>
      </c>
      <c r="E107" s="390" t="s">
        <v>1239</v>
      </c>
      <c r="F107" s="396" t="s">
        <v>1313</v>
      </c>
    </row>
    <row r="108" spans="1:6" ht="72">
      <c r="A108" s="405">
        <v>45909.291666666664</v>
      </c>
      <c r="B108" s="384" t="s">
        <v>88</v>
      </c>
      <c r="C108" s="384" t="s">
        <v>1277</v>
      </c>
      <c r="D108" s="385" t="s">
        <v>2378</v>
      </c>
      <c r="E108" s="390" t="s">
        <v>1239</v>
      </c>
      <c r="F108" s="396" t="s">
        <v>1313</v>
      </c>
    </row>
    <row r="109" spans="1:6" ht="72">
      <c r="A109" s="405">
        <v>45909.291666666664</v>
      </c>
      <c r="B109" s="384" t="s">
        <v>88</v>
      </c>
      <c r="C109" s="384" t="s">
        <v>1277</v>
      </c>
      <c r="D109" s="385" t="s">
        <v>2906</v>
      </c>
      <c r="E109" s="390" t="s">
        <v>1239</v>
      </c>
      <c r="F109" s="396" t="s">
        <v>1313</v>
      </c>
    </row>
    <row r="110" spans="1:6" ht="72">
      <c r="A110" s="405">
        <v>45909.291666666664</v>
      </c>
      <c r="B110" s="384" t="s">
        <v>88</v>
      </c>
      <c r="C110" s="384" t="s">
        <v>1277</v>
      </c>
      <c r="D110" s="385" t="s">
        <v>2777</v>
      </c>
      <c r="E110" s="390" t="s">
        <v>1239</v>
      </c>
      <c r="F110" s="396" t="s">
        <v>1313</v>
      </c>
    </row>
    <row r="111" spans="1:6" ht="72">
      <c r="A111" s="405">
        <v>45909.291666666664</v>
      </c>
      <c r="B111" s="384" t="s">
        <v>88</v>
      </c>
      <c r="C111" s="384" t="s">
        <v>1277</v>
      </c>
      <c r="D111" s="385" t="s">
        <v>3180</v>
      </c>
      <c r="E111" s="390" t="s">
        <v>1239</v>
      </c>
      <c r="F111" s="396" t="s">
        <v>1313</v>
      </c>
    </row>
    <row r="112" spans="1:6" ht="72">
      <c r="A112" s="405">
        <v>45909.291666666664</v>
      </c>
      <c r="B112" s="384" t="s">
        <v>88</v>
      </c>
      <c r="C112" s="384" t="s">
        <v>1277</v>
      </c>
      <c r="D112" s="385" t="s">
        <v>2338</v>
      </c>
      <c r="E112" s="390" t="s">
        <v>1239</v>
      </c>
      <c r="F112" s="396" t="s">
        <v>1313</v>
      </c>
    </row>
    <row r="113" spans="1:6" ht="72">
      <c r="A113" s="405">
        <v>45909.291666666664</v>
      </c>
      <c r="B113" s="384" t="s">
        <v>88</v>
      </c>
      <c r="C113" s="384" t="s">
        <v>1277</v>
      </c>
      <c r="D113" s="385" t="s">
        <v>3128</v>
      </c>
      <c r="E113" s="390" t="s">
        <v>1239</v>
      </c>
      <c r="F113" s="396" t="s">
        <v>1313</v>
      </c>
    </row>
    <row r="114" spans="1:6" ht="72">
      <c r="A114" s="405">
        <v>45909.291666666664</v>
      </c>
      <c r="B114" s="384" t="s">
        <v>88</v>
      </c>
      <c r="C114" s="384" t="s">
        <v>1277</v>
      </c>
      <c r="D114" s="385" t="s">
        <v>2761</v>
      </c>
      <c r="E114" s="390" t="s">
        <v>1239</v>
      </c>
      <c r="F114" s="396" t="s">
        <v>1313</v>
      </c>
    </row>
    <row r="115" spans="1:6" ht="72">
      <c r="A115" s="405">
        <v>45909.291666666664</v>
      </c>
      <c r="B115" s="384" t="s">
        <v>88</v>
      </c>
      <c r="C115" s="384" t="s">
        <v>1277</v>
      </c>
      <c r="D115" s="385" t="s">
        <v>2877</v>
      </c>
      <c r="E115" s="390" t="s">
        <v>1239</v>
      </c>
      <c r="F115" s="396" t="s">
        <v>1313</v>
      </c>
    </row>
    <row r="116" spans="1:6" ht="72">
      <c r="A116" s="405">
        <v>45909.291666666664</v>
      </c>
      <c r="B116" s="384" t="s">
        <v>88</v>
      </c>
      <c r="C116" s="384" t="s">
        <v>1277</v>
      </c>
      <c r="D116" s="385" t="s">
        <v>3431</v>
      </c>
      <c r="E116" s="390" t="s">
        <v>1239</v>
      </c>
      <c r="F116" s="396" t="s">
        <v>1313</v>
      </c>
    </row>
    <row r="117" spans="1:6" ht="72">
      <c r="A117" s="405">
        <v>45909.291666666664</v>
      </c>
      <c r="B117" s="384" t="s">
        <v>88</v>
      </c>
      <c r="C117" s="384" t="s">
        <v>1277</v>
      </c>
      <c r="D117" s="385" t="s">
        <v>3430</v>
      </c>
      <c r="E117" s="390" t="s">
        <v>1239</v>
      </c>
      <c r="F117" s="396" t="s">
        <v>1313</v>
      </c>
    </row>
    <row r="118" spans="1:6" ht="72">
      <c r="A118" s="405">
        <v>45909.291666666664</v>
      </c>
      <c r="B118" s="384" t="s">
        <v>88</v>
      </c>
      <c r="C118" s="384" t="s">
        <v>1277</v>
      </c>
      <c r="D118" s="385" t="s">
        <v>3288</v>
      </c>
      <c r="E118" s="390" t="s">
        <v>1239</v>
      </c>
      <c r="F118" s="396" t="s">
        <v>1313</v>
      </c>
    </row>
    <row r="119" spans="1:6" ht="72">
      <c r="A119" s="405">
        <v>45817.595833333333</v>
      </c>
      <c r="B119" s="384" t="s">
        <v>1076</v>
      </c>
      <c r="C119" s="384" t="s">
        <v>1277</v>
      </c>
      <c r="D119" s="385" t="s">
        <v>3426</v>
      </c>
      <c r="E119" s="390" t="s">
        <v>1239</v>
      </c>
      <c r="F119" s="396" t="s">
        <v>1313</v>
      </c>
    </row>
    <row r="120" spans="1:6" ht="48">
      <c r="A120" s="405">
        <v>45786.409722222219</v>
      </c>
      <c r="B120" s="384" t="s">
        <v>88</v>
      </c>
      <c r="C120" s="384" t="s">
        <v>1238</v>
      </c>
      <c r="D120" s="385" t="s">
        <v>3423</v>
      </c>
      <c r="E120" s="390" t="s">
        <v>1239</v>
      </c>
      <c r="F120" s="396" t="s">
        <v>1313</v>
      </c>
    </row>
    <row r="121" spans="1:6" ht="72">
      <c r="A121" s="405">
        <v>45756.828472222223</v>
      </c>
      <c r="B121" s="384" t="s">
        <v>88</v>
      </c>
      <c r="C121" s="384" t="s">
        <v>1277</v>
      </c>
      <c r="D121" s="385" t="s">
        <v>3421</v>
      </c>
      <c r="E121" s="390" t="s">
        <v>1239</v>
      </c>
      <c r="F121" s="396" t="s">
        <v>1313</v>
      </c>
    </row>
    <row r="122" spans="1:6" ht="48">
      <c r="A122" s="405">
        <v>45756.387499999997</v>
      </c>
      <c r="B122" s="384" t="s">
        <v>23</v>
      </c>
      <c r="C122" s="384" t="s">
        <v>1277</v>
      </c>
      <c r="D122" s="385" t="s">
        <v>3417</v>
      </c>
      <c r="E122" s="390" t="s">
        <v>1239</v>
      </c>
      <c r="F122" s="396" t="s">
        <v>1313</v>
      </c>
    </row>
    <row r="123" spans="1:6" ht="48">
      <c r="A123" s="405">
        <v>45756.293749999997</v>
      </c>
      <c r="B123" s="384" t="s">
        <v>23</v>
      </c>
      <c r="C123" s="384" t="s">
        <v>1277</v>
      </c>
      <c r="D123" s="385" t="s">
        <v>2290</v>
      </c>
      <c r="E123" s="390" t="s">
        <v>1239</v>
      </c>
      <c r="F123" s="396" t="s">
        <v>1313</v>
      </c>
    </row>
    <row r="124" spans="1:6" ht="48">
      <c r="A124" s="405">
        <v>45756.293749999997</v>
      </c>
      <c r="B124" s="384" t="s">
        <v>23</v>
      </c>
      <c r="C124" s="384" t="s">
        <v>1277</v>
      </c>
      <c r="D124" s="385" t="s">
        <v>3203</v>
      </c>
      <c r="E124" s="390" t="s">
        <v>1239</v>
      </c>
      <c r="F124" s="396" t="s">
        <v>1313</v>
      </c>
    </row>
    <row r="125" spans="1:6" ht="48">
      <c r="A125" s="405">
        <v>45756.293749999997</v>
      </c>
      <c r="B125" s="384" t="s">
        <v>23</v>
      </c>
      <c r="C125" s="384" t="s">
        <v>1277</v>
      </c>
      <c r="D125" s="385" t="s">
        <v>3416</v>
      </c>
      <c r="E125" s="390" t="s">
        <v>1239</v>
      </c>
      <c r="F125" s="396" t="s">
        <v>1313</v>
      </c>
    </row>
    <row r="126" spans="1:6" ht="48">
      <c r="A126" s="405">
        <v>45756.293749999997</v>
      </c>
      <c r="B126" s="384" t="s">
        <v>23</v>
      </c>
      <c r="C126" s="384" t="s">
        <v>1277</v>
      </c>
      <c r="D126" s="385" t="s">
        <v>3307</v>
      </c>
      <c r="E126" s="390" t="s">
        <v>1239</v>
      </c>
      <c r="F126" s="396" t="s">
        <v>1313</v>
      </c>
    </row>
    <row r="127" spans="1:6" ht="48">
      <c r="A127" s="405">
        <v>45756.293749999997</v>
      </c>
      <c r="B127" s="384" t="s">
        <v>23</v>
      </c>
      <c r="C127" s="384" t="s">
        <v>1277</v>
      </c>
      <c r="D127" s="385" t="s">
        <v>3415</v>
      </c>
      <c r="E127" s="390" t="s">
        <v>1239</v>
      </c>
      <c r="F127" s="396" t="s">
        <v>1313</v>
      </c>
    </row>
    <row r="128" spans="1:6" ht="72">
      <c r="A128" s="405">
        <v>45756.291666666664</v>
      </c>
      <c r="B128" s="384" t="s">
        <v>88</v>
      </c>
      <c r="C128" s="384" t="s">
        <v>1277</v>
      </c>
      <c r="D128" s="385" t="s">
        <v>3414</v>
      </c>
      <c r="E128" s="390" t="s">
        <v>1239</v>
      </c>
      <c r="F128" s="396" t="s">
        <v>1313</v>
      </c>
    </row>
    <row r="129" spans="1:6" ht="72">
      <c r="A129" s="405">
        <v>45697.293055555558</v>
      </c>
      <c r="B129" s="384" t="s">
        <v>88</v>
      </c>
      <c r="C129" s="384" t="s">
        <v>1255</v>
      </c>
      <c r="D129" s="385" t="s">
        <v>3411</v>
      </c>
      <c r="E129" s="390" t="s">
        <v>1239</v>
      </c>
      <c r="F129" s="396" t="s">
        <v>1313</v>
      </c>
    </row>
    <row r="130" spans="1:6" ht="48">
      <c r="A130" s="405">
        <v>45666.665972222225</v>
      </c>
      <c r="B130" s="384" t="s">
        <v>23</v>
      </c>
      <c r="C130" s="384" t="s">
        <v>1277</v>
      </c>
      <c r="D130" s="385" t="s">
        <v>3391</v>
      </c>
      <c r="E130" s="390" t="s">
        <v>1239</v>
      </c>
      <c r="F130" s="396" t="s">
        <v>1313</v>
      </c>
    </row>
    <row r="131" spans="1:6" ht="48">
      <c r="A131" s="405">
        <v>45666.455555555556</v>
      </c>
      <c r="B131" s="384" t="s">
        <v>23</v>
      </c>
      <c r="C131" s="384" t="s">
        <v>1277</v>
      </c>
      <c r="D131" s="385" t="s">
        <v>3389</v>
      </c>
      <c r="E131" s="390" t="s">
        <v>1239</v>
      </c>
      <c r="F131" s="396" t="s">
        <v>1313</v>
      </c>
    </row>
    <row r="132" spans="1:6" ht="48">
      <c r="A132" s="405">
        <v>45666.455555555556</v>
      </c>
      <c r="B132" s="384" t="s">
        <v>23</v>
      </c>
      <c r="C132" s="384" t="s">
        <v>1277</v>
      </c>
      <c r="D132" s="385" t="s">
        <v>3388</v>
      </c>
      <c r="E132" s="390" t="s">
        <v>1239</v>
      </c>
      <c r="F132" s="396" t="s">
        <v>1313</v>
      </c>
    </row>
    <row r="133" spans="1:6" ht="72">
      <c r="A133" s="405">
        <v>45666.45208333333</v>
      </c>
      <c r="B133" s="384" t="s">
        <v>1076</v>
      </c>
      <c r="C133" s="384" t="s">
        <v>1277</v>
      </c>
      <c r="D133" s="385" t="s">
        <v>3387</v>
      </c>
      <c r="E133" s="390" t="s">
        <v>1239</v>
      </c>
      <c r="F133" s="396" t="s">
        <v>1313</v>
      </c>
    </row>
    <row r="134" spans="1:6" ht="72">
      <c r="A134" s="405">
        <v>45666.45208333333</v>
      </c>
      <c r="B134" s="384" t="s">
        <v>1076</v>
      </c>
      <c r="C134" s="384" t="s">
        <v>1277</v>
      </c>
      <c r="D134" s="385" t="s">
        <v>3386</v>
      </c>
      <c r="E134" s="390" t="s">
        <v>1239</v>
      </c>
      <c r="F134" s="396" t="s">
        <v>1313</v>
      </c>
    </row>
    <row r="135" spans="1:6" ht="72">
      <c r="A135" s="405">
        <v>45666.37777777778</v>
      </c>
      <c r="B135" s="384" t="s">
        <v>88</v>
      </c>
      <c r="C135" s="384" t="s">
        <v>1255</v>
      </c>
      <c r="D135" s="385" t="s">
        <v>3381</v>
      </c>
      <c r="E135" s="390" t="s">
        <v>1239</v>
      </c>
      <c r="F135" s="396" t="s">
        <v>1313</v>
      </c>
    </row>
    <row r="136" spans="1:6" ht="72">
      <c r="A136" s="405">
        <v>45666.37777777778</v>
      </c>
      <c r="B136" s="384" t="s">
        <v>88</v>
      </c>
      <c r="C136" s="384" t="s">
        <v>1255</v>
      </c>
      <c r="D136" s="385" t="s">
        <v>3380</v>
      </c>
      <c r="E136" s="390" t="s">
        <v>1239</v>
      </c>
      <c r="F136" s="396" t="s">
        <v>1313</v>
      </c>
    </row>
    <row r="137" spans="1:6" ht="48">
      <c r="A137" s="405">
        <v>45666.376388888886</v>
      </c>
      <c r="B137" s="384" t="s">
        <v>88</v>
      </c>
      <c r="C137" s="384" t="s">
        <v>1238</v>
      </c>
      <c r="D137" s="385" t="s">
        <v>3379</v>
      </c>
      <c r="E137" s="390" t="s">
        <v>1239</v>
      </c>
      <c r="F137" s="396" t="s">
        <v>1313</v>
      </c>
    </row>
    <row r="138" spans="1:6">
      <c r="A138" s="405">
        <v>45666.376388888886</v>
      </c>
      <c r="B138" s="384" t="s">
        <v>88</v>
      </c>
      <c r="C138" s="384" t="s">
        <v>1277</v>
      </c>
      <c r="D138" s="385" t="s">
        <v>3378</v>
      </c>
      <c r="E138" s="390" t="s">
        <v>1239</v>
      </c>
      <c r="F138" s="396" t="s">
        <v>1313</v>
      </c>
    </row>
    <row r="139" spans="1:6" ht="72">
      <c r="A139" s="405" t="s">
        <v>3365</v>
      </c>
      <c r="B139" s="384" t="s">
        <v>88</v>
      </c>
      <c r="C139" s="384" t="s">
        <v>1255</v>
      </c>
      <c r="D139" s="385" t="s">
        <v>3366</v>
      </c>
      <c r="E139" s="390" t="s">
        <v>1239</v>
      </c>
      <c r="F139" s="396" t="s">
        <v>1313</v>
      </c>
    </row>
    <row r="140" spans="1:6" ht="72">
      <c r="A140" s="405" t="s">
        <v>3364</v>
      </c>
      <c r="B140" s="384" t="s">
        <v>1076</v>
      </c>
      <c r="C140" s="384" t="s">
        <v>1277</v>
      </c>
      <c r="D140" s="385" t="s">
        <v>3358</v>
      </c>
      <c r="E140" s="390" t="s">
        <v>1239</v>
      </c>
      <c r="F140" s="396" t="s">
        <v>1313</v>
      </c>
    </row>
    <row r="141" spans="1:6" ht="72">
      <c r="A141" s="405" t="s">
        <v>3362</v>
      </c>
      <c r="B141" s="384" t="s">
        <v>88</v>
      </c>
      <c r="C141" s="384" t="s">
        <v>1255</v>
      </c>
      <c r="D141" s="385" t="s">
        <v>3363</v>
      </c>
      <c r="E141" s="390" t="s">
        <v>1239</v>
      </c>
      <c r="F141" s="396" t="s">
        <v>1313</v>
      </c>
    </row>
    <row r="142" spans="1:6" ht="48">
      <c r="A142" s="405" t="s">
        <v>3361</v>
      </c>
      <c r="B142" s="384" t="s">
        <v>23</v>
      </c>
      <c r="C142" s="384" t="s">
        <v>1238</v>
      </c>
      <c r="D142" s="385" t="s">
        <v>1623</v>
      </c>
      <c r="E142" s="390" t="s">
        <v>1239</v>
      </c>
      <c r="F142" s="396" t="s">
        <v>1313</v>
      </c>
    </row>
    <row r="143" spans="1:6" ht="96">
      <c r="A143" s="405" t="s">
        <v>3359</v>
      </c>
      <c r="B143" s="384" t="s">
        <v>23</v>
      </c>
      <c r="C143" s="384" t="s">
        <v>1255</v>
      </c>
      <c r="D143" s="385" t="s">
        <v>3360</v>
      </c>
      <c r="E143" s="390" t="s">
        <v>1239</v>
      </c>
      <c r="F143" s="396" t="s">
        <v>1313</v>
      </c>
    </row>
    <row r="144" spans="1:6" ht="72">
      <c r="A144" s="405" t="s">
        <v>3357</v>
      </c>
      <c r="B144" s="384" t="s">
        <v>1076</v>
      </c>
      <c r="C144" s="384" t="s">
        <v>1277</v>
      </c>
      <c r="D144" s="385" t="s">
        <v>3358</v>
      </c>
      <c r="E144" s="390" t="s">
        <v>1239</v>
      </c>
      <c r="F144" s="396" t="s">
        <v>1313</v>
      </c>
    </row>
    <row r="145" spans="1:6" ht="72">
      <c r="A145" s="405" t="s">
        <v>3355</v>
      </c>
      <c r="B145" s="384" t="s">
        <v>88</v>
      </c>
      <c r="C145" s="384" t="s">
        <v>1277</v>
      </c>
      <c r="D145" s="385" t="s">
        <v>3356</v>
      </c>
      <c r="E145" s="390" t="s">
        <v>1239</v>
      </c>
      <c r="F145" s="396" t="s">
        <v>1313</v>
      </c>
    </row>
    <row r="146" spans="1:6" ht="48">
      <c r="A146" s="405" t="s">
        <v>3352</v>
      </c>
      <c r="B146" s="384" t="s">
        <v>23</v>
      </c>
      <c r="C146" s="384" t="s">
        <v>1277</v>
      </c>
      <c r="D146" s="385" t="s">
        <v>3353</v>
      </c>
      <c r="E146" s="390" t="s">
        <v>1239</v>
      </c>
      <c r="F146" s="396" t="s">
        <v>1313</v>
      </c>
    </row>
    <row r="147" spans="1:6" ht="48">
      <c r="A147" s="405" t="s">
        <v>3347</v>
      </c>
      <c r="B147" s="384" t="s">
        <v>23</v>
      </c>
      <c r="C147" s="384" t="s">
        <v>1238</v>
      </c>
      <c r="D147" s="385" t="s">
        <v>1623</v>
      </c>
      <c r="E147" s="390" t="s">
        <v>1239</v>
      </c>
      <c r="F147" s="396" t="s">
        <v>1313</v>
      </c>
    </row>
    <row r="148" spans="1:6" ht="72">
      <c r="A148" s="405" t="s">
        <v>3344</v>
      </c>
      <c r="B148" s="384" t="s">
        <v>23</v>
      </c>
      <c r="C148" s="384" t="s">
        <v>1277</v>
      </c>
      <c r="D148" s="385" t="s">
        <v>3346</v>
      </c>
      <c r="E148" s="390" t="s">
        <v>1239</v>
      </c>
      <c r="F148" s="396" t="s">
        <v>1313</v>
      </c>
    </row>
    <row r="149" spans="1:6" ht="48">
      <c r="A149" s="405" t="s">
        <v>3344</v>
      </c>
      <c r="B149" s="384" t="s">
        <v>23</v>
      </c>
      <c r="C149" s="384" t="s">
        <v>1277</v>
      </c>
      <c r="D149" s="385" t="s">
        <v>3345</v>
      </c>
      <c r="E149" s="390" t="s">
        <v>1239</v>
      </c>
      <c r="F149" s="396" t="s">
        <v>1313</v>
      </c>
    </row>
    <row r="150" spans="1:6" ht="72">
      <c r="A150" s="405" t="s">
        <v>3342</v>
      </c>
      <c r="B150" s="384" t="s">
        <v>88</v>
      </c>
      <c r="C150" s="384" t="s">
        <v>1255</v>
      </c>
      <c r="D150" s="385" t="s">
        <v>3343</v>
      </c>
      <c r="E150" s="390" t="s">
        <v>1239</v>
      </c>
      <c r="F150" s="396" t="s">
        <v>1313</v>
      </c>
    </row>
    <row r="151" spans="1:6" ht="72">
      <c r="A151" s="405" t="s">
        <v>3340</v>
      </c>
      <c r="B151" s="384" t="s">
        <v>1076</v>
      </c>
      <c r="C151" s="384" t="s">
        <v>1277</v>
      </c>
      <c r="D151" s="385" t="s">
        <v>3341</v>
      </c>
      <c r="E151" s="390" t="s">
        <v>1239</v>
      </c>
      <c r="F151" s="396" t="s">
        <v>1313</v>
      </c>
    </row>
    <row r="152" spans="1:6" ht="48">
      <c r="A152" s="405" t="s">
        <v>3328</v>
      </c>
      <c r="B152" s="384" t="s">
        <v>88</v>
      </c>
      <c r="C152" s="384" t="s">
        <v>1238</v>
      </c>
      <c r="D152" s="385" t="s">
        <v>3330</v>
      </c>
      <c r="E152" s="390" t="s">
        <v>1239</v>
      </c>
      <c r="F152" s="396" t="s">
        <v>1313</v>
      </c>
    </row>
    <row r="153" spans="1:6" ht="72">
      <c r="A153" s="405" t="s">
        <v>3328</v>
      </c>
      <c r="B153" s="384" t="s">
        <v>88</v>
      </c>
      <c r="C153" s="384" t="s">
        <v>1277</v>
      </c>
      <c r="D153" s="385" t="s">
        <v>3329</v>
      </c>
      <c r="E153" s="390" t="s">
        <v>1239</v>
      </c>
      <c r="F153" s="396" t="s">
        <v>1313</v>
      </c>
    </row>
    <row r="154" spans="1:6" ht="48">
      <c r="A154" s="405" t="s">
        <v>3321</v>
      </c>
      <c r="B154" s="384" t="s">
        <v>23</v>
      </c>
      <c r="C154" s="384" t="s">
        <v>1277</v>
      </c>
      <c r="D154" s="385" t="s">
        <v>3322</v>
      </c>
      <c r="E154" s="390" t="s">
        <v>1239</v>
      </c>
      <c r="F154" s="396" t="s">
        <v>1313</v>
      </c>
    </row>
    <row r="155" spans="1:6" ht="48">
      <c r="A155" s="405" t="s">
        <v>3317</v>
      </c>
      <c r="B155" s="384" t="s">
        <v>88</v>
      </c>
      <c r="C155" s="384" t="s">
        <v>1238</v>
      </c>
      <c r="D155" s="385" t="s">
        <v>3318</v>
      </c>
      <c r="E155" s="390" t="s">
        <v>1239</v>
      </c>
      <c r="F155" s="396" t="s">
        <v>1313</v>
      </c>
    </row>
    <row r="156" spans="1:6" ht="72">
      <c r="A156" s="405" t="s">
        <v>3315</v>
      </c>
      <c r="B156" s="384" t="s">
        <v>88</v>
      </c>
      <c r="C156" s="384" t="s">
        <v>1255</v>
      </c>
      <c r="D156" s="385" t="s">
        <v>3316</v>
      </c>
      <c r="E156" s="390" t="s">
        <v>1239</v>
      </c>
      <c r="F156" s="396" t="s">
        <v>1313</v>
      </c>
    </row>
    <row r="157" spans="1:6" ht="72">
      <c r="A157" s="405" t="s">
        <v>3312</v>
      </c>
      <c r="B157" s="384" t="s">
        <v>88</v>
      </c>
      <c r="C157" s="384" t="s">
        <v>1277</v>
      </c>
      <c r="D157" s="385" t="s">
        <v>3313</v>
      </c>
      <c r="E157" s="390" t="s">
        <v>1239</v>
      </c>
      <c r="F157" s="396" t="s">
        <v>1313</v>
      </c>
    </row>
    <row r="158" spans="1:6" ht="48">
      <c r="A158" s="405" t="s">
        <v>3306</v>
      </c>
      <c r="B158" s="384" t="s">
        <v>23</v>
      </c>
      <c r="C158" s="384" t="s">
        <v>1277</v>
      </c>
      <c r="D158" s="385" t="s">
        <v>3307</v>
      </c>
      <c r="E158" s="390" t="s">
        <v>1239</v>
      </c>
      <c r="F158" s="396" t="s">
        <v>1313</v>
      </c>
    </row>
    <row r="159" spans="1:6" ht="72">
      <c r="A159" s="405" t="s">
        <v>3304</v>
      </c>
      <c r="B159" s="384" t="s">
        <v>88</v>
      </c>
      <c r="C159" s="384" t="s">
        <v>1255</v>
      </c>
      <c r="D159" s="385" t="s">
        <v>3305</v>
      </c>
      <c r="E159" s="390" t="s">
        <v>1239</v>
      </c>
      <c r="F159" s="396" t="s">
        <v>1313</v>
      </c>
    </row>
    <row r="160" spans="1:6" ht="48">
      <c r="A160" s="405" t="s">
        <v>3303</v>
      </c>
      <c r="B160" s="384" t="s">
        <v>23</v>
      </c>
      <c r="C160" s="384" t="s">
        <v>1238</v>
      </c>
      <c r="D160" s="385" t="s">
        <v>2393</v>
      </c>
      <c r="E160" s="390" t="s">
        <v>1239</v>
      </c>
      <c r="F160" s="396" t="s">
        <v>1313</v>
      </c>
    </row>
    <row r="161" spans="1:6" ht="48">
      <c r="A161" s="405" t="s">
        <v>3303</v>
      </c>
      <c r="B161" s="384" t="s">
        <v>23</v>
      </c>
      <c r="C161" s="384" t="s">
        <v>1238</v>
      </c>
      <c r="D161" s="385" t="s">
        <v>2986</v>
      </c>
      <c r="E161" s="390" t="s">
        <v>1239</v>
      </c>
      <c r="F161" s="396" t="s">
        <v>1313</v>
      </c>
    </row>
    <row r="162" spans="1:6" ht="72">
      <c r="A162" s="405" t="s">
        <v>3301</v>
      </c>
      <c r="B162" s="384" t="s">
        <v>88</v>
      </c>
      <c r="C162" s="384" t="s">
        <v>1255</v>
      </c>
      <c r="D162" s="385" t="s">
        <v>3302</v>
      </c>
      <c r="E162" s="390" t="s">
        <v>1239</v>
      </c>
      <c r="F162" s="396" t="s">
        <v>1313</v>
      </c>
    </row>
    <row r="163" spans="1:6" ht="96">
      <c r="A163" s="405" t="s">
        <v>3298</v>
      </c>
      <c r="B163" s="384" t="s">
        <v>23</v>
      </c>
      <c r="C163" s="384" t="s">
        <v>1255</v>
      </c>
      <c r="D163" s="385" t="s">
        <v>3300</v>
      </c>
      <c r="E163" s="390" t="s">
        <v>1239</v>
      </c>
      <c r="F163" s="396" t="s">
        <v>1313</v>
      </c>
    </row>
    <row r="164" spans="1:6" ht="72">
      <c r="A164" s="405" t="s">
        <v>3298</v>
      </c>
      <c r="B164" s="384" t="s">
        <v>23</v>
      </c>
      <c r="C164" s="384" t="s">
        <v>1255</v>
      </c>
      <c r="D164" s="385" t="s">
        <v>3299</v>
      </c>
      <c r="E164" s="390" t="s">
        <v>1239</v>
      </c>
      <c r="F164" s="396" t="s">
        <v>1313</v>
      </c>
    </row>
    <row r="165" spans="1:6" ht="96">
      <c r="A165" s="405">
        <v>45969.293749999997</v>
      </c>
      <c r="B165" s="384" t="s">
        <v>23</v>
      </c>
      <c r="C165" s="384" t="s">
        <v>1255</v>
      </c>
      <c r="D165" s="385" t="s">
        <v>3297</v>
      </c>
      <c r="E165" s="390" t="s">
        <v>1239</v>
      </c>
      <c r="F165" s="396" t="s">
        <v>1313</v>
      </c>
    </row>
    <row r="166" spans="1:6" ht="72">
      <c r="A166" s="405">
        <v>45969.292361111111</v>
      </c>
      <c r="B166" s="384" t="s">
        <v>88</v>
      </c>
      <c r="C166" s="384" t="s">
        <v>1255</v>
      </c>
      <c r="D166" s="385" t="s">
        <v>3296</v>
      </c>
      <c r="E166" s="390" t="s">
        <v>1239</v>
      </c>
      <c r="F166" s="396" t="s">
        <v>1313</v>
      </c>
    </row>
    <row r="167" spans="1:6" ht="72">
      <c r="A167" s="405">
        <v>45938.293055555558</v>
      </c>
      <c r="B167" s="384" t="s">
        <v>23</v>
      </c>
      <c r="C167" s="384" t="s">
        <v>1277</v>
      </c>
      <c r="D167" s="385" t="s">
        <v>3295</v>
      </c>
      <c r="E167" s="390" t="s">
        <v>1239</v>
      </c>
      <c r="F167" s="396" t="s">
        <v>1313</v>
      </c>
    </row>
    <row r="168" spans="1:6" ht="48">
      <c r="A168" s="405">
        <v>45938.293055555558</v>
      </c>
      <c r="B168" s="384" t="s">
        <v>23</v>
      </c>
      <c r="C168" s="384" t="s">
        <v>1277</v>
      </c>
      <c r="D168" s="385" t="s">
        <v>3294</v>
      </c>
      <c r="E168" s="390" t="s">
        <v>1239</v>
      </c>
      <c r="F168" s="396" t="s">
        <v>1313</v>
      </c>
    </row>
    <row r="169" spans="1:6" ht="72">
      <c r="A169" s="405">
        <v>45908.902083333334</v>
      </c>
      <c r="B169" s="384" t="s">
        <v>88</v>
      </c>
      <c r="C169" s="384" t="s">
        <v>1277</v>
      </c>
      <c r="D169" s="385" t="s">
        <v>3293</v>
      </c>
      <c r="E169" s="390" t="s">
        <v>1239</v>
      </c>
      <c r="F169" s="396" t="s">
        <v>1313</v>
      </c>
    </row>
    <row r="170" spans="1:6" ht="72">
      <c r="A170" s="405">
        <v>45908.648611111108</v>
      </c>
      <c r="B170" s="384" t="s">
        <v>88</v>
      </c>
      <c r="C170" s="384" t="s">
        <v>1277</v>
      </c>
      <c r="D170" s="385" t="s">
        <v>3293</v>
      </c>
      <c r="E170" s="390" t="s">
        <v>1239</v>
      </c>
      <c r="F170" s="396" t="s">
        <v>1313</v>
      </c>
    </row>
    <row r="171" spans="1:6" ht="72">
      <c r="A171" s="405">
        <v>45908.646527777775</v>
      </c>
      <c r="B171" s="384" t="s">
        <v>88</v>
      </c>
      <c r="C171" s="384" t="s">
        <v>1277</v>
      </c>
      <c r="D171" s="385" t="s">
        <v>3293</v>
      </c>
      <c r="E171" s="390" t="s">
        <v>1239</v>
      </c>
      <c r="F171" s="396" t="s">
        <v>1313</v>
      </c>
    </row>
    <row r="172" spans="1:6" ht="72">
      <c r="A172" s="405">
        <v>45908.643750000003</v>
      </c>
      <c r="B172" s="384" t="s">
        <v>88</v>
      </c>
      <c r="C172" s="384" t="s">
        <v>1277</v>
      </c>
      <c r="D172" s="385" t="s">
        <v>3293</v>
      </c>
      <c r="E172" s="390" t="s">
        <v>1239</v>
      </c>
      <c r="F172" s="396" t="s">
        <v>1313</v>
      </c>
    </row>
    <row r="173" spans="1:6" ht="72">
      <c r="A173" s="405">
        <v>45908.640972222223</v>
      </c>
      <c r="B173" s="384" t="s">
        <v>1076</v>
      </c>
      <c r="C173" s="384" t="s">
        <v>1277</v>
      </c>
      <c r="D173" s="385" t="s">
        <v>3292</v>
      </c>
      <c r="E173" s="390" t="s">
        <v>1239</v>
      </c>
      <c r="F173" s="396" t="s">
        <v>1313</v>
      </c>
    </row>
    <row r="174" spans="1:6" ht="72">
      <c r="A174" s="405">
        <v>45908.63958333333</v>
      </c>
      <c r="B174" s="384" t="s">
        <v>1076</v>
      </c>
      <c r="C174" s="384" t="s">
        <v>1277</v>
      </c>
      <c r="D174" s="385" t="s">
        <v>3292</v>
      </c>
      <c r="E174" s="390" t="s">
        <v>1239</v>
      </c>
      <c r="F174" s="396" t="s">
        <v>1313</v>
      </c>
    </row>
    <row r="175" spans="1:6" ht="72">
      <c r="A175" s="405">
        <v>45908.388194444444</v>
      </c>
      <c r="B175" s="384" t="s">
        <v>88</v>
      </c>
      <c r="C175" s="384" t="s">
        <v>1277</v>
      </c>
      <c r="D175" s="385" t="s">
        <v>3289</v>
      </c>
      <c r="E175" s="390" t="s">
        <v>1239</v>
      </c>
      <c r="F175" s="396" t="s">
        <v>1313</v>
      </c>
    </row>
    <row r="176" spans="1:6" ht="72">
      <c r="A176" s="405">
        <v>45908.388194444444</v>
      </c>
      <c r="B176" s="384" t="s">
        <v>88</v>
      </c>
      <c r="C176" s="384" t="s">
        <v>1277</v>
      </c>
      <c r="D176" s="385" t="s">
        <v>3288</v>
      </c>
      <c r="E176" s="390" t="s">
        <v>1239</v>
      </c>
      <c r="F176" s="396" t="s">
        <v>1313</v>
      </c>
    </row>
    <row r="177" spans="1:6" ht="48">
      <c r="A177" s="405">
        <v>45877.40625</v>
      </c>
      <c r="B177" s="384" t="s">
        <v>23</v>
      </c>
      <c r="C177" s="384" t="s">
        <v>1238</v>
      </c>
      <c r="D177" s="385" t="s">
        <v>2681</v>
      </c>
      <c r="E177" s="390" t="s">
        <v>1239</v>
      </c>
      <c r="F177" s="396" t="s">
        <v>1313</v>
      </c>
    </row>
    <row r="178" spans="1:6" ht="96">
      <c r="A178" s="405">
        <v>45877.40625</v>
      </c>
      <c r="B178" s="384" t="s">
        <v>23</v>
      </c>
      <c r="C178" s="384" t="s">
        <v>1255</v>
      </c>
      <c r="D178" s="385" t="s">
        <v>3278</v>
      </c>
      <c r="E178" s="390" t="s">
        <v>1239</v>
      </c>
      <c r="F178" s="396" t="s">
        <v>1313</v>
      </c>
    </row>
    <row r="179" spans="1:6" ht="48">
      <c r="A179" s="405">
        <v>45846.654861111114</v>
      </c>
      <c r="B179" s="384" t="s">
        <v>23</v>
      </c>
      <c r="C179" s="384" t="s">
        <v>1277</v>
      </c>
      <c r="D179" s="385" t="s">
        <v>3277</v>
      </c>
      <c r="E179" s="390" t="s">
        <v>1239</v>
      </c>
      <c r="F179" s="396" t="s">
        <v>1313</v>
      </c>
    </row>
    <row r="180" spans="1:6" ht="72">
      <c r="A180" s="405">
        <v>45846.292361111111</v>
      </c>
      <c r="B180" s="384" t="s">
        <v>88</v>
      </c>
      <c r="C180" s="384" t="s">
        <v>1255</v>
      </c>
      <c r="D180" s="385" t="s">
        <v>3274</v>
      </c>
      <c r="E180" s="390" t="s">
        <v>1239</v>
      </c>
      <c r="F180" s="396" t="s">
        <v>1313</v>
      </c>
    </row>
    <row r="181" spans="1:6" ht="72">
      <c r="A181" s="405">
        <v>45816.648611111108</v>
      </c>
      <c r="B181" s="384" t="s">
        <v>23</v>
      </c>
      <c r="C181" s="384" t="s">
        <v>1277</v>
      </c>
      <c r="D181" s="385" t="s">
        <v>3273</v>
      </c>
      <c r="E181" s="390" t="s">
        <v>1239</v>
      </c>
      <c r="F181" s="396" t="s">
        <v>1313</v>
      </c>
    </row>
    <row r="182" spans="1:6" ht="48">
      <c r="A182" s="405">
        <v>45816.648611111108</v>
      </c>
      <c r="B182" s="384" t="s">
        <v>23</v>
      </c>
      <c r="C182" s="384" t="s">
        <v>1277</v>
      </c>
      <c r="D182" s="385" t="s">
        <v>3272</v>
      </c>
      <c r="E182" s="390" t="s">
        <v>1239</v>
      </c>
      <c r="F182" s="396" t="s">
        <v>1313</v>
      </c>
    </row>
    <row r="183" spans="1:6" ht="48">
      <c r="A183" s="405">
        <v>45816.648611111108</v>
      </c>
      <c r="B183" s="384" t="s">
        <v>23</v>
      </c>
      <c r="C183" s="384" t="s">
        <v>1277</v>
      </c>
      <c r="D183" s="385" t="s">
        <v>3271</v>
      </c>
      <c r="E183" s="390" t="s">
        <v>1239</v>
      </c>
      <c r="F183" s="396" t="s">
        <v>1313</v>
      </c>
    </row>
    <row r="184" spans="1:6" ht="48">
      <c r="A184" s="405">
        <v>45816.648611111108</v>
      </c>
      <c r="B184" s="384" t="s">
        <v>23</v>
      </c>
      <c r="C184" s="384" t="s">
        <v>1277</v>
      </c>
      <c r="D184" s="385" t="s">
        <v>3270</v>
      </c>
      <c r="E184" s="390" t="s">
        <v>1239</v>
      </c>
      <c r="F184" s="396" t="s">
        <v>1313</v>
      </c>
    </row>
    <row r="185" spans="1:6" ht="72">
      <c r="A185" s="405">
        <v>45785.650694444441</v>
      </c>
      <c r="B185" s="384" t="s">
        <v>88</v>
      </c>
      <c r="C185" s="384" t="s">
        <v>1277</v>
      </c>
      <c r="D185" s="385" t="s">
        <v>3268</v>
      </c>
      <c r="E185" s="390" t="s">
        <v>1239</v>
      </c>
      <c r="F185" s="396" t="s">
        <v>1313</v>
      </c>
    </row>
    <row r="186" spans="1:6" ht="48">
      <c r="A186" s="405">
        <v>45755.65902777778</v>
      </c>
      <c r="B186" s="384" t="s">
        <v>23</v>
      </c>
      <c r="C186" s="384" t="s">
        <v>1238</v>
      </c>
      <c r="D186" s="385" t="s">
        <v>2952</v>
      </c>
      <c r="E186" s="390" t="s">
        <v>1239</v>
      </c>
      <c r="F186" s="396" t="s">
        <v>1313</v>
      </c>
    </row>
    <row r="187" spans="1:6" ht="48">
      <c r="A187" s="405">
        <v>45755.586111111108</v>
      </c>
      <c r="B187" s="384" t="s">
        <v>88</v>
      </c>
      <c r="C187" s="384" t="s">
        <v>1238</v>
      </c>
      <c r="D187" s="385" t="s">
        <v>3264</v>
      </c>
      <c r="E187" s="390" t="s">
        <v>1239</v>
      </c>
      <c r="F187" s="396" t="s">
        <v>1313</v>
      </c>
    </row>
    <row r="188" spans="1:6" ht="48">
      <c r="A188" s="405">
        <v>45755.54791666667</v>
      </c>
      <c r="B188" s="384" t="s">
        <v>23</v>
      </c>
      <c r="C188" s="384" t="s">
        <v>1238</v>
      </c>
      <c r="D188" s="385" t="s">
        <v>2952</v>
      </c>
      <c r="E188" s="390" t="s">
        <v>1239</v>
      </c>
      <c r="F188" s="396" t="s">
        <v>1313</v>
      </c>
    </row>
    <row r="189" spans="1:6" ht="96">
      <c r="A189" s="405">
        <v>45755.293749999997</v>
      </c>
      <c r="B189" s="384" t="s">
        <v>23</v>
      </c>
      <c r="C189" s="384" t="s">
        <v>1255</v>
      </c>
      <c r="D189" s="385" t="s">
        <v>3262</v>
      </c>
      <c r="E189" s="390" t="s">
        <v>1239</v>
      </c>
      <c r="F189" s="396" t="s">
        <v>1313</v>
      </c>
    </row>
    <row r="190" spans="1:6" ht="48">
      <c r="A190" s="405">
        <v>45724.881249999999</v>
      </c>
      <c r="B190" s="384" t="s">
        <v>23</v>
      </c>
      <c r="C190" s="384" t="s">
        <v>1238</v>
      </c>
      <c r="D190" s="385" t="s">
        <v>2952</v>
      </c>
      <c r="E190" s="390" t="s">
        <v>1239</v>
      </c>
      <c r="F190" s="396" t="s">
        <v>1313</v>
      </c>
    </row>
    <row r="191" spans="1:6" ht="48">
      <c r="A191" s="405">
        <v>45724.880555555559</v>
      </c>
      <c r="B191" s="384" t="s">
        <v>23</v>
      </c>
      <c r="C191" s="384" t="s">
        <v>1277</v>
      </c>
      <c r="D191" s="385" t="s">
        <v>3260</v>
      </c>
      <c r="E191" s="390" t="s">
        <v>1239</v>
      </c>
      <c r="F191" s="396" t="s">
        <v>1313</v>
      </c>
    </row>
    <row r="192" spans="1:6" ht="72">
      <c r="A192" s="405">
        <v>45724.879861111112</v>
      </c>
      <c r="B192" s="384" t="s">
        <v>88</v>
      </c>
      <c r="C192" s="384" t="s">
        <v>1255</v>
      </c>
      <c r="D192" s="385" t="s">
        <v>3258</v>
      </c>
      <c r="E192" s="390" t="s">
        <v>1239</v>
      </c>
      <c r="F192" s="396" t="s">
        <v>1313</v>
      </c>
    </row>
    <row r="193" spans="1:6" ht="48">
      <c r="A193" s="405">
        <v>45724.294444444444</v>
      </c>
      <c r="B193" s="384" t="s">
        <v>23</v>
      </c>
      <c r="C193" s="384" t="s">
        <v>1238</v>
      </c>
      <c r="D193" s="385" t="s">
        <v>2952</v>
      </c>
      <c r="E193" s="390" t="s">
        <v>1239</v>
      </c>
      <c r="F193" s="396" t="s">
        <v>1313</v>
      </c>
    </row>
    <row r="194" spans="1:6" ht="48">
      <c r="A194" s="405">
        <v>45696.291666666664</v>
      </c>
      <c r="B194" s="384" t="s">
        <v>88</v>
      </c>
      <c r="C194" s="384" t="s">
        <v>1238</v>
      </c>
      <c r="D194" s="385" t="s">
        <v>3256</v>
      </c>
      <c r="E194" s="390" t="s">
        <v>1239</v>
      </c>
      <c r="F194" s="396" t="s">
        <v>1313</v>
      </c>
    </row>
    <row r="195" spans="1:6" ht="48">
      <c r="A195" s="405">
        <v>45665.291666666664</v>
      </c>
      <c r="B195" s="384" t="s">
        <v>88</v>
      </c>
      <c r="C195" s="384" t="s">
        <v>1238</v>
      </c>
      <c r="D195" s="385" t="s">
        <v>3255</v>
      </c>
      <c r="E195" s="390" t="s">
        <v>1239</v>
      </c>
      <c r="F195" s="396" t="s">
        <v>1313</v>
      </c>
    </row>
    <row r="196" spans="1:6" ht="72">
      <c r="A196" s="405" t="s">
        <v>3251</v>
      </c>
      <c r="B196" s="384" t="s">
        <v>88</v>
      </c>
      <c r="C196" s="384" t="s">
        <v>1277</v>
      </c>
      <c r="D196" s="385" t="s">
        <v>3252</v>
      </c>
      <c r="E196" s="390" t="s">
        <v>1239</v>
      </c>
      <c r="F196" s="396" t="s">
        <v>1313</v>
      </c>
    </row>
    <row r="197" spans="1:6" ht="48">
      <c r="A197" s="405" t="s">
        <v>3244</v>
      </c>
      <c r="B197" s="384" t="s">
        <v>88</v>
      </c>
      <c r="C197" s="384" t="s">
        <v>1238</v>
      </c>
      <c r="D197" s="385" t="s">
        <v>3246</v>
      </c>
      <c r="E197" s="390" t="s">
        <v>1239</v>
      </c>
      <c r="F197" s="396" t="s">
        <v>1313</v>
      </c>
    </row>
    <row r="198" spans="1:6" ht="72">
      <c r="A198" s="405" t="s">
        <v>3244</v>
      </c>
      <c r="B198" s="384" t="s">
        <v>88</v>
      </c>
      <c r="C198" s="384" t="s">
        <v>1277</v>
      </c>
      <c r="D198" s="385" t="s">
        <v>3245</v>
      </c>
      <c r="E198" s="390" t="s">
        <v>1239</v>
      </c>
      <c r="F198" s="396" t="s">
        <v>1313</v>
      </c>
    </row>
    <row r="199" spans="1:6" ht="72">
      <c r="A199" s="405" t="s">
        <v>3240</v>
      </c>
      <c r="B199" s="384" t="s">
        <v>88</v>
      </c>
      <c r="C199" s="384" t="s">
        <v>1255</v>
      </c>
      <c r="D199" s="385" t="s">
        <v>3241</v>
      </c>
      <c r="E199" s="390" t="s">
        <v>1239</v>
      </c>
      <c r="F199" s="396" t="s">
        <v>1313</v>
      </c>
    </row>
    <row r="200" spans="1:6" ht="72">
      <c r="A200" s="405" t="s">
        <v>3238</v>
      </c>
      <c r="B200" s="384" t="s">
        <v>23</v>
      </c>
      <c r="C200" s="384" t="s">
        <v>1255</v>
      </c>
      <c r="D200" s="385" t="s">
        <v>3239</v>
      </c>
      <c r="E200" s="390" t="s">
        <v>1239</v>
      </c>
      <c r="F200" s="396" t="s">
        <v>1313</v>
      </c>
    </row>
    <row r="201" spans="1:6" ht="72">
      <c r="A201" s="405" t="s">
        <v>3235</v>
      </c>
      <c r="B201" s="384" t="s">
        <v>88</v>
      </c>
      <c r="C201" s="384" t="s">
        <v>1255</v>
      </c>
      <c r="D201" s="385" t="s">
        <v>3237</v>
      </c>
      <c r="E201" s="390" t="s">
        <v>1239</v>
      </c>
      <c r="F201" s="396" t="s">
        <v>1313</v>
      </c>
    </row>
    <row r="202" spans="1:6" ht="72">
      <c r="A202" s="405" t="s">
        <v>3235</v>
      </c>
      <c r="B202" s="384" t="s">
        <v>88</v>
      </c>
      <c r="C202" s="384" t="s">
        <v>1255</v>
      </c>
      <c r="D202" s="385" t="s">
        <v>3236</v>
      </c>
      <c r="E202" s="390" t="s">
        <v>1239</v>
      </c>
      <c r="F202" s="396" t="s">
        <v>1313</v>
      </c>
    </row>
    <row r="203" spans="1:6" ht="48">
      <c r="A203" s="405" t="s">
        <v>3231</v>
      </c>
      <c r="B203" s="384" t="s">
        <v>23</v>
      </c>
      <c r="C203" s="384" t="s">
        <v>1277</v>
      </c>
      <c r="D203" s="385" t="s">
        <v>3233</v>
      </c>
      <c r="E203" s="390" t="s">
        <v>1239</v>
      </c>
      <c r="F203" s="396" t="s">
        <v>1313</v>
      </c>
    </row>
    <row r="204" spans="1:6" ht="48">
      <c r="A204" s="405" t="s">
        <v>3231</v>
      </c>
      <c r="B204" s="384" t="s">
        <v>23</v>
      </c>
      <c r="C204" s="384" t="s">
        <v>1277</v>
      </c>
      <c r="D204" s="385" t="s">
        <v>3232</v>
      </c>
      <c r="E204" s="390" t="s">
        <v>1239</v>
      </c>
      <c r="F204" s="396" t="s">
        <v>1313</v>
      </c>
    </row>
    <row r="205" spans="1:6" ht="48">
      <c r="A205" s="405" t="s">
        <v>3229</v>
      </c>
      <c r="B205" s="384" t="s">
        <v>23</v>
      </c>
      <c r="C205" s="384" t="s">
        <v>1277</v>
      </c>
      <c r="D205" s="385" t="s">
        <v>3230</v>
      </c>
      <c r="E205" s="390" t="s">
        <v>1239</v>
      </c>
      <c r="F205" s="396" t="s">
        <v>1313</v>
      </c>
    </row>
    <row r="206" spans="1:6" ht="48">
      <c r="A206" s="405" t="s">
        <v>3227</v>
      </c>
      <c r="B206" s="384" t="s">
        <v>23</v>
      </c>
      <c r="C206" s="384" t="s">
        <v>1277</v>
      </c>
      <c r="D206" s="385" t="s">
        <v>3228</v>
      </c>
      <c r="E206" s="390" t="s">
        <v>1239</v>
      </c>
      <c r="F206" s="396" t="s">
        <v>1313</v>
      </c>
    </row>
    <row r="207" spans="1:6" ht="48">
      <c r="A207" s="405" t="s">
        <v>3224</v>
      </c>
      <c r="B207" s="384" t="s">
        <v>23</v>
      </c>
      <c r="C207" s="384" t="s">
        <v>1277</v>
      </c>
      <c r="D207" s="385" t="s">
        <v>3225</v>
      </c>
      <c r="E207" s="390" t="s">
        <v>1239</v>
      </c>
      <c r="F207" s="396" t="s">
        <v>1313</v>
      </c>
    </row>
    <row r="208" spans="1:6" ht="72">
      <c r="A208" s="405" t="s">
        <v>3222</v>
      </c>
      <c r="B208" s="384" t="s">
        <v>88</v>
      </c>
      <c r="C208" s="384" t="s">
        <v>1277</v>
      </c>
      <c r="D208" s="385" t="s">
        <v>3223</v>
      </c>
      <c r="E208" s="390" t="s">
        <v>1239</v>
      </c>
      <c r="F208" s="396" t="s">
        <v>1313</v>
      </c>
    </row>
    <row r="209" spans="1:6" ht="72">
      <c r="A209" s="405" t="s">
        <v>3217</v>
      </c>
      <c r="B209" s="384" t="s">
        <v>88</v>
      </c>
      <c r="C209" s="384" t="s">
        <v>1255</v>
      </c>
      <c r="D209" s="385" t="s">
        <v>3218</v>
      </c>
      <c r="E209" s="390" t="s">
        <v>1239</v>
      </c>
      <c r="F209" s="396" t="s">
        <v>1313</v>
      </c>
    </row>
    <row r="210" spans="1:6">
      <c r="A210" s="405" t="s">
        <v>3215</v>
      </c>
      <c r="B210" s="384" t="s">
        <v>88</v>
      </c>
      <c r="C210" s="384" t="s">
        <v>1277</v>
      </c>
      <c r="D210" s="385" t="s">
        <v>3216</v>
      </c>
      <c r="E210" s="390" t="s">
        <v>1239</v>
      </c>
      <c r="F210" s="396" t="s">
        <v>1313</v>
      </c>
    </row>
    <row r="211" spans="1:6" ht="96">
      <c r="A211" s="405" t="s">
        <v>3213</v>
      </c>
      <c r="B211" s="384" t="s">
        <v>23</v>
      </c>
      <c r="C211" s="384" t="s">
        <v>1255</v>
      </c>
      <c r="D211" s="385" t="s">
        <v>3214</v>
      </c>
      <c r="E211" s="390" t="s">
        <v>1239</v>
      </c>
      <c r="F211" s="396" t="s">
        <v>1313</v>
      </c>
    </row>
    <row r="212" spans="1:6" ht="48">
      <c r="A212" s="405" t="s">
        <v>3211</v>
      </c>
      <c r="B212" s="384" t="s">
        <v>88</v>
      </c>
      <c r="C212" s="384" t="s">
        <v>1238</v>
      </c>
      <c r="D212" s="385" t="s">
        <v>3212</v>
      </c>
      <c r="E212" s="390" t="s">
        <v>1239</v>
      </c>
      <c r="F212" s="396" t="s">
        <v>1313</v>
      </c>
    </row>
    <row r="213" spans="1:6" ht="72">
      <c r="A213" s="405" t="s">
        <v>3209</v>
      </c>
      <c r="B213" s="384" t="s">
        <v>88</v>
      </c>
      <c r="C213" s="384" t="s">
        <v>1255</v>
      </c>
      <c r="D213" s="385" t="s">
        <v>3210</v>
      </c>
      <c r="E213" s="390" t="s">
        <v>1239</v>
      </c>
      <c r="F213" s="396" t="s">
        <v>1313</v>
      </c>
    </row>
    <row r="214" spans="1:6" ht="48">
      <c r="A214" s="405" t="s">
        <v>3207</v>
      </c>
      <c r="B214" s="384" t="s">
        <v>88</v>
      </c>
      <c r="C214" s="384" t="s">
        <v>1238</v>
      </c>
      <c r="D214" s="385" t="s">
        <v>3208</v>
      </c>
      <c r="E214" s="390" t="s">
        <v>1239</v>
      </c>
      <c r="F214" s="396" t="s">
        <v>1313</v>
      </c>
    </row>
    <row r="215" spans="1:6" ht="48">
      <c r="A215" s="405" t="s">
        <v>3205</v>
      </c>
      <c r="B215" s="384" t="s">
        <v>23</v>
      </c>
      <c r="C215" s="384" t="s">
        <v>1277</v>
      </c>
      <c r="D215" s="385" t="s">
        <v>3206</v>
      </c>
      <c r="E215" s="390" t="s">
        <v>1239</v>
      </c>
      <c r="F215" s="396" t="s">
        <v>1313</v>
      </c>
    </row>
    <row r="216" spans="1:6" ht="48">
      <c r="A216" s="405" t="s">
        <v>3202</v>
      </c>
      <c r="B216" s="384" t="s">
        <v>23</v>
      </c>
      <c r="C216" s="384" t="s">
        <v>1277</v>
      </c>
      <c r="D216" s="385" t="s">
        <v>3203</v>
      </c>
      <c r="E216" s="390" t="s">
        <v>1239</v>
      </c>
      <c r="F216" s="396" t="s">
        <v>1313</v>
      </c>
    </row>
    <row r="217" spans="1:6" ht="72">
      <c r="A217" s="405" t="s">
        <v>3199</v>
      </c>
      <c r="B217" s="384" t="s">
        <v>88</v>
      </c>
      <c r="C217" s="384" t="s">
        <v>1277</v>
      </c>
      <c r="D217" s="385" t="s">
        <v>3200</v>
      </c>
      <c r="E217" s="390" t="s">
        <v>1239</v>
      </c>
      <c r="F217" s="396" t="s">
        <v>1313</v>
      </c>
    </row>
    <row r="218" spans="1:6" ht="72">
      <c r="A218" s="405" t="s">
        <v>3193</v>
      </c>
      <c r="B218" s="384" t="s">
        <v>88</v>
      </c>
      <c r="C218" s="384" t="s">
        <v>1255</v>
      </c>
      <c r="D218" s="385" t="s">
        <v>3194</v>
      </c>
      <c r="E218" s="390" t="s">
        <v>1239</v>
      </c>
      <c r="F218" s="396" t="s">
        <v>1313</v>
      </c>
    </row>
    <row r="219" spans="1:6" ht="48">
      <c r="A219" s="405" t="s">
        <v>3192</v>
      </c>
      <c r="B219" s="384" t="s">
        <v>23</v>
      </c>
      <c r="C219" s="384" t="s">
        <v>1238</v>
      </c>
      <c r="D219" s="385" t="s">
        <v>2820</v>
      </c>
      <c r="E219" s="390" t="s">
        <v>1239</v>
      </c>
      <c r="F219" s="396" t="s">
        <v>1313</v>
      </c>
    </row>
    <row r="220" spans="1:6" ht="72">
      <c r="A220" s="405" t="s">
        <v>3190</v>
      </c>
      <c r="B220" s="384" t="s">
        <v>23</v>
      </c>
      <c r="C220" s="384" t="s">
        <v>1255</v>
      </c>
      <c r="D220" s="385" t="s">
        <v>3191</v>
      </c>
      <c r="E220" s="390" t="s">
        <v>1239</v>
      </c>
      <c r="F220" s="396" t="s">
        <v>1313</v>
      </c>
    </row>
    <row r="221" spans="1:6" ht="72">
      <c r="A221" s="405" t="s">
        <v>3187</v>
      </c>
      <c r="B221" s="384" t="s">
        <v>23</v>
      </c>
      <c r="C221" s="384" t="s">
        <v>1277</v>
      </c>
      <c r="D221" s="385" t="s">
        <v>3189</v>
      </c>
      <c r="E221" s="390" t="s">
        <v>1239</v>
      </c>
      <c r="F221" s="396" t="s">
        <v>1313</v>
      </c>
    </row>
    <row r="222" spans="1:6" ht="48">
      <c r="A222" s="405" t="s">
        <v>3187</v>
      </c>
      <c r="B222" s="384" t="s">
        <v>23</v>
      </c>
      <c r="C222" s="384" t="s">
        <v>1277</v>
      </c>
      <c r="D222" s="385" t="s">
        <v>3188</v>
      </c>
      <c r="E222" s="390" t="s">
        <v>1239</v>
      </c>
      <c r="F222" s="396" t="s">
        <v>1313</v>
      </c>
    </row>
    <row r="223" spans="1:6" ht="72">
      <c r="A223" s="405" t="s">
        <v>3185</v>
      </c>
      <c r="B223" s="384" t="s">
        <v>88</v>
      </c>
      <c r="C223" s="384" t="s">
        <v>1255</v>
      </c>
      <c r="D223" s="385" t="s">
        <v>3186</v>
      </c>
      <c r="E223" s="390" t="s">
        <v>1239</v>
      </c>
      <c r="F223" s="396" t="s">
        <v>1313</v>
      </c>
    </row>
    <row r="224" spans="1:6" ht="48">
      <c r="A224" s="405" t="s">
        <v>3181</v>
      </c>
      <c r="B224" s="384" t="s">
        <v>88</v>
      </c>
      <c r="C224" s="384" t="s">
        <v>1238</v>
      </c>
      <c r="D224" s="385" t="s">
        <v>3182</v>
      </c>
      <c r="E224" s="390" t="s">
        <v>1239</v>
      </c>
      <c r="F224" s="396" t="s">
        <v>1313</v>
      </c>
    </row>
    <row r="225" spans="1:6" ht="72">
      <c r="A225" s="405" t="s">
        <v>3178</v>
      </c>
      <c r="B225" s="384" t="s">
        <v>88</v>
      </c>
      <c r="C225" s="384" t="s">
        <v>1277</v>
      </c>
      <c r="D225" s="385" t="s">
        <v>3180</v>
      </c>
      <c r="E225" s="390" t="s">
        <v>1239</v>
      </c>
      <c r="F225" s="396" t="s">
        <v>1313</v>
      </c>
    </row>
    <row r="226" spans="1:6">
      <c r="A226" s="405" t="s">
        <v>3178</v>
      </c>
      <c r="B226" s="384" t="s">
        <v>88</v>
      </c>
      <c r="C226" s="384" t="s">
        <v>1277</v>
      </c>
      <c r="D226" s="385" t="s">
        <v>3179</v>
      </c>
      <c r="E226" s="390" t="s">
        <v>1239</v>
      </c>
      <c r="F226" s="396" t="s">
        <v>1313</v>
      </c>
    </row>
    <row r="227" spans="1:6" ht="72">
      <c r="A227" s="405" t="s">
        <v>3173</v>
      </c>
      <c r="B227" s="384" t="s">
        <v>88</v>
      </c>
      <c r="C227" s="384" t="s">
        <v>1277</v>
      </c>
      <c r="D227" s="385" t="s">
        <v>3174</v>
      </c>
      <c r="E227" s="390" t="s">
        <v>1239</v>
      </c>
      <c r="F227" s="396" t="s">
        <v>1313</v>
      </c>
    </row>
    <row r="228" spans="1:6" ht="48">
      <c r="A228" s="405" t="s">
        <v>3165</v>
      </c>
      <c r="B228" s="384" t="s">
        <v>23</v>
      </c>
      <c r="C228" s="384" t="s">
        <v>1277</v>
      </c>
      <c r="D228" s="385" t="s">
        <v>3166</v>
      </c>
      <c r="E228" s="390" t="s">
        <v>1239</v>
      </c>
      <c r="F228" s="396" t="s">
        <v>1313</v>
      </c>
    </row>
    <row r="229" spans="1:6">
      <c r="A229" s="405" t="s">
        <v>3163</v>
      </c>
      <c r="B229" s="384" t="s">
        <v>88</v>
      </c>
      <c r="C229" s="384" t="s">
        <v>1277</v>
      </c>
      <c r="D229" s="385" t="s">
        <v>3164</v>
      </c>
      <c r="E229" s="390" t="s">
        <v>1239</v>
      </c>
      <c r="F229" s="396" t="s">
        <v>1313</v>
      </c>
    </row>
    <row r="230" spans="1:6" ht="48">
      <c r="A230" s="405" t="s">
        <v>3160</v>
      </c>
      <c r="B230" s="384" t="s">
        <v>88</v>
      </c>
      <c r="C230" s="384" t="s">
        <v>1238</v>
      </c>
      <c r="D230" s="385" t="s">
        <v>3162</v>
      </c>
      <c r="E230" s="390" t="s">
        <v>1239</v>
      </c>
      <c r="F230" s="396" t="s">
        <v>1313</v>
      </c>
    </row>
    <row r="231" spans="1:6" ht="72">
      <c r="A231" s="405" t="s">
        <v>3160</v>
      </c>
      <c r="B231" s="384" t="s">
        <v>88</v>
      </c>
      <c r="C231" s="384" t="s">
        <v>1277</v>
      </c>
      <c r="D231" s="385" t="s">
        <v>3161</v>
      </c>
      <c r="E231" s="390" t="s">
        <v>1239</v>
      </c>
      <c r="F231" s="396" t="s">
        <v>1313</v>
      </c>
    </row>
    <row r="232" spans="1:6" ht="48">
      <c r="A232" s="405" t="s">
        <v>3155</v>
      </c>
      <c r="B232" s="384" t="s">
        <v>88</v>
      </c>
      <c r="C232" s="384" t="s">
        <v>1238</v>
      </c>
      <c r="D232" s="385" t="s">
        <v>3156</v>
      </c>
      <c r="E232" s="390" t="s">
        <v>1239</v>
      </c>
      <c r="F232" s="396" t="s">
        <v>1313</v>
      </c>
    </row>
    <row r="233" spans="1:6" ht="96">
      <c r="A233" s="405" t="s">
        <v>3151</v>
      </c>
      <c r="B233" s="384" t="s">
        <v>23</v>
      </c>
      <c r="C233" s="384" t="s">
        <v>1255</v>
      </c>
      <c r="D233" s="385" t="s">
        <v>3152</v>
      </c>
      <c r="E233" s="390" t="s">
        <v>1239</v>
      </c>
      <c r="F233" s="396" t="s">
        <v>1313</v>
      </c>
    </row>
    <row r="234" spans="1:6" ht="72">
      <c r="A234" s="405" t="s">
        <v>3149</v>
      </c>
      <c r="B234" s="384" t="s">
        <v>88</v>
      </c>
      <c r="C234" s="384" t="s">
        <v>1255</v>
      </c>
      <c r="D234" s="385" t="s">
        <v>3150</v>
      </c>
      <c r="E234" s="390" t="s">
        <v>1239</v>
      </c>
      <c r="F234" s="396" t="s">
        <v>1313</v>
      </c>
    </row>
    <row r="235" spans="1:6" ht="72">
      <c r="A235" s="405" t="s">
        <v>3146</v>
      </c>
      <c r="B235" s="384" t="s">
        <v>88</v>
      </c>
      <c r="C235" s="384" t="s">
        <v>1277</v>
      </c>
      <c r="D235" s="385" t="s">
        <v>3148</v>
      </c>
      <c r="E235" s="390" t="s">
        <v>1239</v>
      </c>
      <c r="F235" s="396" t="s">
        <v>1313</v>
      </c>
    </row>
    <row r="236" spans="1:6" ht="72">
      <c r="A236" s="405" t="s">
        <v>3146</v>
      </c>
      <c r="B236" s="384" t="s">
        <v>88</v>
      </c>
      <c r="C236" s="384" t="s">
        <v>1277</v>
      </c>
      <c r="D236" s="385" t="s">
        <v>3147</v>
      </c>
      <c r="E236" s="390" t="s">
        <v>1239</v>
      </c>
      <c r="F236" s="396" t="s">
        <v>1313</v>
      </c>
    </row>
    <row r="237" spans="1:6" ht="72">
      <c r="A237" s="405" t="s">
        <v>3140</v>
      </c>
      <c r="B237" s="384" t="s">
        <v>88</v>
      </c>
      <c r="C237" s="384" t="s">
        <v>1277</v>
      </c>
      <c r="D237" s="385" t="s">
        <v>3141</v>
      </c>
      <c r="E237" s="390" t="s">
        <v>1239</v>
      </c>
      <c r="F237" s="396" t="s">
        <v>1313</v>
      </c>
    </row>
    <row r="238" spans="1:6" ht="72">
      <c r="A238" s="405" t="s">
        <v>3135</v>
      </c>
      <c r="B238" s="384" t="s">
        <v>23</v>
      </c>
      <c r="C238" s="384" t="s">
        <v>1277</v>
      </c>
      <c r="D238" s="385" t="s">
        <v>3137</v>
      </c>
      <c r="E238" s="390" t="s">
        <v>1239</v>
      </c>
      <c r="F238" s="396" t="s">
        <v>1313</v>
      </c>
    </row>
    <row r="239" spans="1:6" ht="48">
      <c r="A239" s="405" t="s">
        <v>3135</v>
      </c>
      <c r="B239" s="384" t="s">
        <v>23</v>
      </c>
      <c r="C239" s="384" t="s">
        <v>1277</v>
      </c>
      <c r="D239" s="385" t="s">
        <v>3136</v>
      </c>
      <c r="E239" s="390" t="s">
        <v>1239</v>
      </c>
      <c r="F239" s="396" t="s">
        <v>1313</v>
      </c>
    </row>
    <row r="240" spans="1:6" ht="48">
      <c r="A240" s="405" t="s">
        <v>3133</v>
      </c>
      <c r="B240" s="384" t="s">
        <v>88</v>
      </c>
      <c r="C240" s="384" t="s">
        <v>1238</v>
      </c>
      <c r="D240" s="385" t="s">
        <v>3134</v>
      </c>
      <c r="E240" s="390" t="s">
        <v>1239</v>
      </c>
      <c r="F240" s="396" t="s">
        <v>1313</v>
      </c>
    </row>
    <row r="241" spans="1:6" ht="72">
      <c r="A241" s="405">
        <v>45968.292361111111</v>
      </c>
      <c r="B241" s="384" t="s">
        <v>88</v>
      </c>
      <c r="C241" s="384" t="s">
        <v>1255</v>
      </c>
      <c r="D241" s="385" t="s">
        <v>3129</v>
      </c>
      <c r="E241" s="390" t="s">
        <v>1239</v>
      </c>
      <c r="F241" s="396" t="s">
        <v>1313</v>
      </c>
    </row>
    <row r="242" spans="1:6" ht="72">
      <c r="A242" s="405">
        <v>45937.936111111114</v>
      </c>
      <c r="B242" s="384" t="s">
        <v>88</v>
      </c>
      <c r="C242" s="384" t="s">
        <v>1277</v>
      </c>
      <c r="D242" s="385" t="s">
        <v>3128</v>
      </c>
      <c r="E242" s="390" t="s">
        <v>1239</v>
      </c>
      <c r="F242" s="396" t="s">
        <v>1313</v>
      </c>
    </row>
    <row r="243" spans="1:6" ht="72">
      <c r="A243" s="405">
        <v>45937.89166666667</v>
      </c>
      <c r="B243" s="384" t="s">
        <v>88</v>
      </c>
      <c r="C243" s="384" t="s">
        <v>1277</v>
      </c>
      <c r="D243" s="385" t="s">
        <v>3125</v>
      </c>
      <c r="E243" s="390" t="s">
        <v>1239</v>
      </c>
      <c r="F243" s="396" t="s">
        <v>1313</v>
      </c>
    </row>
    <row r="244" spans="1:6" ht="72">
      <c r="A244" s="405">
        <v>45937.841666666667</v>
      </c>
      <c r="B244" s="384" t="s">
        <v>88</v>
      </c>
      <c r="C244" s="384" t="s">
        <v>1277</v>
      </c>
      <c r="D244" s="385" t="s">
        <v>3120</v>
      </c>
      <c r="E244" s="390" t="s">
        <v>1239</v>
      </c>
      <c r="F244" s="396" t="s">
        <v>1313</v>
      </c>
    </row>
    <row r="245" spans="1:6" ht="72">
      <c r="A245" s="405">
        <v>45937.293749999997</v>
      </c>
      <c r="B245" s="384" t="s">
        <v>23</v>
      </c>
      <c r="C245" s="384" t="s">
        <v>1255</v>
      </c>
      <c r="D245" s="385" t="s">
        <v>3115</v>
      </c>
      <c r="E245" s="390" t="s">
        <v>1239</v>
      </c>
      <c r="F245" s="396" t="s">
        <v>1313</v>
      </c>
    </row>
    <row r="246" spans="1:6" ht="48">
      <c r="A246" s="405">
        <v>45907.569444444445</v>
      </c>
      <c r="B246" s="384" t="s">
        <v>23</v>
      </c>
      <c r="C246" s="384" t="s">
        <v>1238</v>
      </c>
      <c r="D246" s="385" t="s">
        <v>2820</v>
      </c>
      <c r="E246" s="390" t="s">
        <v>1239</v>
      </c>
      <c r="F246" s="396" t="s">
        <v>1313</v>
      </c>
    </row>
    <row r="247" spans="1:6" ht="72">
      <c r="A247" s="405">
        <v>45907.292361111111</v>
      </c>
      <c r="B247" s="384" t="s">
        <v>88</v>
      </c>
      <c r="C247" s="384" t="s">
        <v>1255</v>
      </c>
      <c r="D247" s="385" t="s">
        <v>3114</v>
      </c>
      <c r="E247" s="390" t="s">
        <v>1239</v>
      </c>
      <c r="F247" s="396" t="s">
        <v>1313</v>
      </c>
    </row>
    <row r="248" spans="1:6" ht="48">
      <c r="A248" s="405">
        <v>45907.291666666664</v>
      </c>
      <c r="B248" s="384" t="s">
        <v>88</v>
      </c>
      <c r="C248" s="384" t="s">
        <v>1238</v>
      </c>
      <c r="D248" s="385" t="s">
        <v>3113</v>
      </c>
      <c r="E248" s="390" t="s">
        <v>1239</v>
      </c>
      <c r="F248" s="396" t="s">
        <v>1313</v>
      </c>
    </row>
    <row r="249" spans="1:6" ht="72">
      <c r="A249" s="405">
        <v>45907.291666666664</v>
      </c>
      <c r="B249" s="384" t="s">
        <v>88</v>
      </c>
      <c r="C249" s="384" t="s">
        <v>1277</v>
      </c>
      <c r="D249" s="385" t="s">
        <v>3112</v>
      </c>
      <c r="E249" s="390" t="s">
        <v>1239</v>
      </c>
      <c r="F249" s="396" t="s">
        <v>1313</v>
      </c>
    </row>
    <row r="250" spans="1:6" ht="48">
      <c r="A250" s="405">
        <v>45845.702777777777</v>
      </c>
      <c r="B250" s="384" t="s">
        <v>88</v>
      </c>
      <c r="C250" s="384" t="s">
        <v>1238</v>
      </c>
      <c r="D250" s="385" t="s">
        <v>3110</v>
      </c>
      <c r="E250" s="390" t="s">
        <v>1239</v>
      </c>
      <c r="F250" s="396" t="s">
        <v>1313</v>
      </c>
    </row>
    <row r="251" spans="1:6">
      <c r="A251" s="405">
        <v>45845.702777777777</v>
      </c>
      <c r="B251" s="384" t="s">
        <v>88</v>
      </c>
      <c r="C251" s="384" t="s">
        <v>1277</v>
      </c>
      <c r="D251" s="385" t="s">
        <v>3109</v>
      </c>
      <c r="E251" s="390" t="s">
        <v>1239</v>
      </c>
      <c r="F251" s="396" t="s">
        <v>1313</v>
      </c>
    </row>
    <row r="252" spans="1:6" ht="48">
      <c r="A252" s="405">
        <v>45845.631249999999</v>
      </c>
      <c r="B252" s="384" t="s">
        <v>23</v>
      </c>
      <c r="C252" s="384" t="s">
        <v>1277</v>
      </c>
      <c r="D252" s="385" t="s">
        <v>3106</v>
      </c>
      <c r="E252" s="390" t="s">
        <v>1239</v>
      </c>
      <c r="F252" s="396" t="s">
        <v>1313</v>
      </c>
    </row>
    <row r="253" spans="1:6" ht="48">
      <c r="A253" s="405">
        <v>45845.631249999999</v>
      </c>
      <c r="B253" s="384" t="s">
        <v>23</v>
      </c>
      <c r="C253" s="384" t="s">
        <v>1277</v>
      </c>
      <c r="D253" s="385" t="s">
        <v>3105</v>
      </c>
      <c r="E253" s="390" t="s">
        <v>1239</v>
      </c>
      <c r="F253" s="396" t="s">
        <v>1313</v>
      </c>
    </row>
    <row r="254" spans="1:6" ht="72">
      <c r="A254" s="405">
        <v>45845.293749999997</v>
      </c>
      <c r="B254" s="384" t="s">
        <v>23</v>
      </c>
      <c r="C254" s="384" t="s">
        <v>1255</v>
      </c>
      <c r="D254" s="385" t="s">
        <v>3104</v>
      </c>
      <c r="E254" s="390" t="s">
        <v>1239</v>
      </c>
      <c r="F254" s="396" t="s">
        <v>1313</v>
      </c>
    </row>
    <row r="255" spans="1:6" ht="72">
      <c r="A255" s="405">
        <v>45815.775000000001</v>
      </c>
      <c r="B255" s="384" t="s">
        <v>88</v>
      </c>
      <c r="C255" s="384" t="s">
        <v>1255</v>
      </c>
      <c r="D255" s="385" t="s">
        <v>3102</v>
      </c>
      <c r="E255" s="390" t="s">
        <v>1239</v>
      </c>
      <c r="F255" s="396" t="s">
        <v>1313</v>
      </c>
    </row>
    <row r="256" spans="1:6" ht="72">
      <c r="A256" s="405">
        <v>45815.775000000001</v>
      </c>
      <c r="B256" s="384" t="s">
        <v>88</v>
      </c>
      <c r="C256" s="384" t="s">
        <v>1255</v>
      </c>
      <c r="D256" s="385" t="s">
        <v>3101</v>
      </c>
      <c r="E256" s="390" t="s">
        <v>1239</v>
      </c>
      <c r="F256" s="396" t="s">
        <v>1313</v>
      </c>
    </row>
    <row r="257" spans="1:6" ht="72">
      <c r="A257" s="405">
        <v>45784.46597222222</v>
      </c>
      <c r="B257" s="384" t="s">
        <v>88</v>
      </c>
      <c r="C257" s="384" t="s">
        <v>1277</v>
      </c>
      <c r="D257" s="385" t="s">
        <v>3100</v>
      </c>
      <c r="E257" s="390" t="s">
        <v>1239</v>
      </c>
      <c r="F257" s="396" t="s">
        <v>1313</v>
      </c>
    </row>
    <row r="258" spans="1:6" ht="48">
      <c r="A258" s="405">
        <v>45784.338888888888</v>
      </c>
      <c r="B258" s="384" t="s">
        <v>23</v>
      </c>
      <c r="C258" s="384" t="s">
        <v>1277</v>
      </c>
      <c r="D258" s="385" t="s">
        <v>3097</v>
      </c>
      <c r="E258" s="390" t="s">
        <v>1239</v>
      </c>
      <c r="F258" s="396" t="s">
        <v>1313</v>
      </c>
    </row>
    <row r="259" spans="1:6" ht="72">
      <c r="A259" s="405">
        <v>45784.338194444441</v>
      </c>
      <c r="B259" s="384" t="s">
        <v>88</v>
      </c>
      <c r="C259" s="384" t="s">
        <v>1255</v>
      </c>
      <c r="D259" s="385" t="s">
        <v>3096</v>
      </c>
      <c r="E259" s="390" t="s">
        <v>1239</v>
      </c>
      <c r="F259" s="396" t="s">
        <v>1313</v>
      </c>
    </row>
    <row r="260" spans="1:6" ht="72">
      <c r="A260" s="405">
        <v>45784.337500000001</v>
      </c>
      <c r="B260" s="384" t="s">
        <v>88</v>
      </c>
      <c r="C260" s="384" t="s">
        <v>1277</v>
      </c>
      <c r="D260" s="385" t="s">
        <v>3095</v>
      </c>
      <c r="E260" s="390" t="s">
        <v>1239</v>
      </c>
      <c r="F260" s="396" t="s">
        <v>1313</v>
      </c>
    </row>
    <row r="261" spans="1:6" ht="72">
      <c r="A261" s="405">
        <v>45754.849305555559</v>
      </c>
      <c r="B261" s="384" t="s">
        <v>88</v>
      </c>
      <c r="C261" s="384" t="s">
        <v>1255</v>
      </c>
      <c r="D261" s="385" t="s">
        <v>3090</v>
      </c>
      <c r="E261" s="390" t="s">
        <v>1239</v>
      </c>
      <c r="F261" s="396" t="s">
        <v>1313</v>
      </c>
    </row>
    <row r="262" spans="1:6" ht="72">
      <c r="A262" s="405">
        <v>45723.74722222222</v>
      </c>
      <c r="B262" s="384" t="s">
        <v>88</v>
      </c>
      <c r="C262" s="384" t="s">
        <v>1277</v>
      </c>
      <c r="D262" s="385" t="s">
        <v>3087</v>
      </c>
      <c r="E262" s="390" t="s">
        <v>1239</v>
      </c>
      <c r="F262" s="396" t="s">
        <v>1313</v>
      </c>
    </row>
    <row r="263" spans="1:6" ht="48">
      <c r="A263" s="405">
        <v>45695.602083333331</v>
      </c>
      <c r="B263" s="384" t="s">
        <v>23</v>
      </c>
      <c r="C263" s="384" t="s">
        <v>1277</v>
      </c>
      <c r="D263" s="385" t="s">
        <v>3082</v>
      </c>
      <c r="E263" s="390" t="s">
        <v>1239</v>
      </c>
      <c r="F263" s="396" t="s">
        <v>1313</v>
      </c>
    </row>
    <row r="264" spans="1:6" ht="72">
      <c r="A264" s="405">
        <v>45664.647916666669</v>
      </c>
      <c r="B264" s="384" t="s">
        <v>23</v>
      </c>
      <c r="C264" s="384" t="s">
        <v>1277</v>
      </c>
      <c r="D264" s="385" t="s">
        <v>3081</v>
      </c>
      <c r="E264" s="390" t="s">
        <v>1239</v>
      </c>
      <c r="F264" s="396" t="s">
        <v>1313</v>
      </c>
    </row>
    <row r="265" spans="1:6" ht="48">
      <c r="A265" s="405">
        <v>45664.647916666669</v>
      </c>
      <c r="B265" s="384" t="s">
        <v>23</v>
      </c>
      <c r="C265" s="384" t="s">
        <v>1277</v>
      </c>
      <c r="D265" s="385" t="s">
        <v>3080</v>
      </c>
      <c r="E265" s="390" t="s">
        <v>1239</v>
      </c>
      <c r="F265" s="396" t="s">
        <v>1313</v>
      </c>
    </row>
    <row r="266" spans="1:6" ht="72">
      <c r="A266" s="405">
        <v>45664.647222222222</v>
      </c>
      <c r="B266" s="384" t="s">
        <v>88</v>
      </c>
      <c r="C266" s="384" t="s">
        <v>1255</v>
      </c>
      <c r="D266" s="385" t="s">
        <v>3079</v>
      </c>
      <c r="E266" s="390" t="s">
        <v>1239</v>
      </c>
      <c r="F266" s="396" t="s">
        <v>1313</v>
      </c>
    </row>
    <row r="267" spans="1:6" ht="48">
      <c r="A267" s="405" t="s">
        <v>3077</v>
      </c>
      <c r="B267" s="384" t="s">
        <v>88</v>
      </c>
      <c r="C267" s="384" t="s">
        <v>1238</v>
      </c>
      <c r="D267" s="385" t="s">
        <v>3078</v>
      </c>
      <c r="E267" s="390" t="s">
        <v>1239</v>
      </c>
      <c r="F267" s="396" t="s">
        <v>1313</v>
      </c>
    </row>
    <row r="268" spans="1:6" ht="48">
      <c r="A268" s="405" t="s">
        <v>3074</v>
      </c>
      <c r="B268" s="384" t="s">
        <v>88</v>
      </c>
      <c r="C268" s="384" t="s">
        <v>1238</v>
      </c>
      <c r="D268" s="385" t="s">
        <v>3076</v>
      </c>
      <c r="E268" s="390" t="s">
        <v>1239</v>
      </c>
      <c r="F268" s="396" t="s">
        <v>1313</v>
      </c>
    </row>
    <row r="269" spans="1:6" ht="72">
      <c r="A269" s="405" t="s">
        <v>3074</v>
      </c>
      <c r="B269" s="384" t="s">
        <v>88</v>
      </c>
      <c r="C269" s="384" t="s">
        <v>1277</v>
      </c>
      <c r="D269" s="385" t="s">
        <v>3075</v>
      </c>
      <c r="E269" s="390" t="s">
        <v>1239</v>
      </c>
      <c r="F269" s="396" t="s">
        <v>1313</v>
      </c>
    </row>
    <row r="270" spans="1:6" ht="72">
      <c r="A270" s="405" t="s">
        <v>3071</v>
      </c>
      <c r="B270" s="384" t="s">
        <v>88</v>
      </c>
      <c r="C270" s="384" t="s">
        <v>1277</v>
      </c>
      <c r="D270" s="385" t="s">
        <v>3072</v>
      </c>
      <c r="E270" s="390" t="s">
        <v>1239</v>
      </c>
      <c r="F270" s="396" t="s">
        <v>1313</v>
      </c>
    </row>
    <row r="271" spans="1:6" ht="72">
      <c r="A271" s="405" t="s">
        <v>3066</v>
      </c>
      <c r="B271" s="384" t="s">
        <v>88</v>
      </c>
      <c r="C271" s="384" t="s">
        <v>1255</v>
      </c>
      <c r="D271" s="385" t="s">
        <v>3067</v>
      </c>
      <c r="E271" s="390" t="s">
        <v>1239</v>
      </c>
      <c r="F271" s="396" t="s">
        <v>1313</v>
      </c>
    </row>
    <row r="272" spans="1:6" ht="48">
      <c r="A272" s="405" t="s">
        <v>3064</v>
      </c>
      <c r="B272" s="384" t="s">
        <v>23</v>
      </c>
      <c r="C272" s="384" t="s">
        <v>1277</v>
      </c>
      <c r="D272" s="385" t="s">
        <v>3065</v>
      </c>
      <c r="E272" s="390" t="s">
        <v>1239</v>
      </c>
      <c r="F272" s="396" t="s">
        <v>1313</v>
      </c>
    </row>
    <row r="273" spans="1:6" ht="72">
      <c r="A273" s="405" t="s">
        <v>3062</v>
      </c>
      <c r="B273" s="384" t="s">
        <v>1076</v>
      </c>
      <c r="C273" s="384" t="s">
        <v>1277</v>
      </c>
      <c r="D273" s="385" t="s">
        <v>3063</v>
      </c>
      <c r="E273" s="390" t="s">
        <v>1239</v>
      </c>
      <c r="F273" s="396" t="s">
        <v>1313</v>
      </c>
    </row>
    <row r="274" spans="1:6" ht="72">
      <c r="A274" s="405" t="s">
        <v>3062</v>
      </c>
      <c r="B274" s="384" t="s">
        <v>1076</v>
      </c>
      <c r="C274" s="384" t="s">
        <v>1277</v>
      </c>
      <c r="D274" s="385" t="s">
        <v>2507</v>
      </c>
      <c r="E274" s="390" t="s">
        <v>1239</v>
      </c>
      <c r="F274" s="396" t="s">
        <v>1313</v>
      </c>
    </row>
    <row r="275" spans="1:6" ht="72">
      <c r="A275" s="405" t="s">
        <v>3059</v>
      </c>
      <c r="B275" s="384" t="s">
        <v>88</v>
      </c>
      <c r="C275" s="384" t="s">
        <v>1255</v>
      </c>
      <c r="D275" s="385" t="s">
        <v>3060</v>
      </c>
      <c r="E275" s="390" t="s">
        <v>1239</v>
      </c>
      <c r="F275" s="396" t="s">
        <v>1313</v>
      </c>
    </row>
    <row r="276" spans="1:6" ht="72">
      <c r="A276" s="405" t="s">
        <v>3056</v>
      </c>
      <c r="B276" s="384" t="s">
        <v>88</v>
      </c>
      <c r="C276" s="384" t="s">
        <v>1277</v>
      </c>
      <c r="D276" s="385" t="s">
        <v>3058</v>
      </c>
      <c r="E276" s="390" t="s">
        <v>1239</v>
      </c>
      <c r="F276" s="396" t="s">
        <v>1313</v>
      </c>
    </row>
    <row r="277" spans="1:6">
      <c r="A277" s="405" t="s">
        <v>3056</v>
      </c>
      <c r="B277" s="384" t="s">
        <v>88</v>
      </c>
      <c r="C277" s="384" t="s">
        <v>1277</v>
      </c>
      <c r="D277" s="385" t="s">
        <v>3057</v>
      </c>
      <c r="E277" s="390" t="s">
        <v>1239</v>
      </c>
      <c r="F277" s="396" t="s">
        <v>1313</v>
      </c>
    </row>
    <row r="278" spans="1:6" ht="72">
      <c r="A278" s="405" t="s">
        <v>3050</v>
      </c>
      <c r="B278" s="384" t="s">
        <v>23</v>
      </c>
      <c r="C278" s="384" t="s">
        <v>1277</v>
      </c>
      <c r="D278" s="385" t="s">
        <v>3053</v>
      </c>
      <c r="E278" s="390" t="s">
        <v>1239</v>
      </c>
      <c r="F278" s="396" t="s">
        <v>1313</v>
      </c>
    </row>
    <row r="279" spans="1:6" ht="48">
      <c r="A279" s="405" t="s">
        <v>3050</v>
      </c>
      <c r="B279" s="384" t="s">
        <v>23</v>
      </c>
      <c r="C279" s="384" t="s">
        <v>1277</v>
      </c>
      <c r="D279" s="385" t="s">
        <v>3052</v>
      </c>
      <c r="E279" s="390" t="s">
        <v>1239</v>
      </c>
      <c r="F279" s="396" t="s">
        <v>1313</v>
      </c>
    </row>
    <row r="280" spans="1:6" ht="48">
      <c r="A280" s="405" t="s">
        <v>3050</v>
      </c>
      <c r="B280" s="384" t="s">
        <v>23</v>
      </c>
      <c r="C280" s="384" t="s">
        <v>1277</v>
      </c>
      <c r="D280" s="385" t="s">
        <v>3051</v>
      </c>
      <c r="E280" s="390" t="s">
        <v>1239</v>
      </c>
      <c r="F280" s="396" t="s">
        <v>1313</v>
      </c>
    </row>
    <row r="281" spans="1:6" ht="72">
      <c r="A281" s="405" t="s">
        <v>3046</v>
      </c>
      <c r="B281" s="384" t="s">
        <v>23</v>
      </c>
      <c r="C281" s="384" t="s">
        <v>1277</v>
      </c>
      <c r="D281" s="385" t="s">
        <v>3049</v>
      </c>
      <c r="E281" s="390" t="s">
        <v>1239</v>
      </c>
      <c r="F281" s="396" t="s">
        <v>1313</v>
      </c>
    </row>
    <row r="282" spans="1:6" ht="48">
      <c r="A282" s="405" t="s">
        <v>3046</v>
      </c>
      <c r="B282" s="384" t="s">
        <v>23</v>
      </c>
      <c r="C282" s="384" t="s">
        <v>1277</v>
      </c>
      <c r="D282" s="385" t="s">
        <v>3048</v>
      </c>
      <c r="E282" s="390" t="s">
        <v>1239</v>
      </c>
      <c r="F282" s="396" t="s">
        <v>1313</v>
      </c>
    </row>
    <row r="283" spans="1:6" ht="72">
      <c r="A283" s="405" t="s">
        <v>3046</v>
      </c>
      <c r="B283" s="384" t="s">
        <v>88</v>
      </c>
      <c r="C283" s="384" t="s">
        <v>1255</v>
      </c>
      <c r="D283" s="385" t="s">
        <v>3047</v>
      </c>
      <c r="E283" s="390" t="s">
        <v>1239</v>
      </c>
      <c r="F283" s="396" t="s">
        <v>1313</v>
      </c>
    </row>
    <row r="284" spans="1:6" ht="72">
      <c r="A284" s="405" t="s">
        <v>3042</v>
      </c>
      <c r="B284" s="384" t="s">
        <v>23</v>
      </c>
      <c r="C284" s="384" t="s">
        <v>1255</v>
      </c>
      <c r="D284" s="385" t="s">
        <v>3044</v>
      </c>
      <c r="E284" s="390" t="s">
        <v>1239</v>
      </c>
      <c r="F284" s="396" t="s">
        <v>1313</v>
      </c>
    </row>
    <row r="285" spans="1:6" ht="48">
      <c r="A285" s="405" t="s">
        <v>3042</v>
      </c>
      <c r="B285" s="384" t="s">
        <v>23</v>
      </c>
      <c r="C285" s="384" t="s">
        <v>1277</v>
      </c>
      <c r="D285" s="385" t="s">
        <v>3043</v>
      </c>
      <c r="E285" s="390" t="s">
        <v>1239</v>
      </c>
      <c r="F285" s="396" t="s">
        <v>1313</v>
      </c>
    </row>
    <row r="286" spans="1:6" ht="72">
      <c r="A286" s="405" t="s">
        <v>3039</v>
      </c>
      <c r="B286" s="384" t="s">
        <v>88</v>
      </c>
      <c r="C286" s="384" t="s">
        <v>1277</v>
      </c>
      <c r="D286" s="385" t="s">
        <v>3040</v>
      </c>
      <c r="E286" s="390" t="s">
        <v>1239</v>
      </c>
      <c r="F286" s="396" t="s">
        <v>1313</v>
      </c>
    </row>
    <row r="287" spans="1:6" ht="48">
      <c r="A287" s="405" t="s">
        <v>3034</v>
      </c>
      <c r="B287" s="384" t="s">
        <v>23</v>
      </c>
      <c r="C287" s="384" t="s">
        <v>1277</v>
      </c>
      <c r="D287" s="385" t="s">
        <v>3035</v>
      </c>
      <c r="E287" s="390" t="s">
        <v>1239</v>
      </c>
      <c r="F287" s="396" t="s">
        <v>1313</v>
      </c>
    </row>
    <row r="288" spans="1:6" ht="72">
      <c r="A288" s="405" t="s">
        <v>3032</v>
      </c>
      <c r="B288" s="384" t="s">
        <v>88</v>
      </c>
      <c r="C288" s="384" t="s">
        <v>1255</v>
      </c>
      <c r="D288" s="385" t="s">
        <v>3033</v>
      </c>
      <c r="E288" s="390" t="s">
        <v>1239</v>
      </c>
      <c r="F288" s="396" t="s">
        <v>1313</v>
      </c>
    </row>
    <row r="289" spans="1:6" ht="48">
      <c r="A289" s="405" t="s">
        <v>3030</v>
      </c>
      <c r="B289" s="384" t="s">
        <v>88</v>
      </c>
      <c r="C289" s="384" t="s">
        <v>1238</v>
      </c>
      <c r="D289" s="385" t="s">
        <v>3031</v>
      </c>
      <c r="E289" s="390" t="s">
        <v>1239</v>
      </c>
      <c r="F289" s="396" t="s">
        <v>1313</v>
      </c>
    </row>
    <row r="290" spans="1:6" ht="48">
      <c r="A290" s="405" t="s">
        <v>3027</v>
      </c>
      <c r="B290" s="384" t="s">
        <v>23</v>
      </c>
      <c r="C290" s="384" t="s">
        <v>1277</v>
      </c>
      <c r="D290" s="385" t="s">
        <v>3028</v>
      </c>
      <c r="E290" s="390" t="s">
        <v>1239</v>
      </c>
      <c r="F290" s="396" t="s">
        <v>1313</v>
      </c>
    </row>
    <row r="291" spans="1:6" ht="48">
      <c r="A291" s="405" t="s">
        <v>3025</v>
      </c>
      <c r="B291" s="384" t="s">
        <v>23</v>
      </c>
      <c r="C291" s="384" t="s">
        <v>1238</v>
      </c>
      <c r="D291" s="385" t="s">
        <v>3026</v>
      </c>
      <c r="E291" s="390" t="s">
        <v>1239</v>
      </c>
      <c r="F291" s="396" t="s">
        <v>1313</v>
      </c>
    </row>
    <row r="292" spans="1:6" ht="48">
      <c r="A292" s="405" t="s">
        <v>3023</v>
      </c>
      <c r="B292" s="384" t="s">
        <v>88</v>
      </c>
      <c r="C292" s="384" t="s">
        <v>1238</v>
      </c>
      <c r="D292" s="385" t="s">
        <v>3024</v>
      </c>
      <c r="E292" s="390" t="s">
        <v>1239</v>
      </c>
      <c r="F292" s="396" t="s">
        <v>1313</v>
      </c>
    </row>
    <row r="293" spans="1:6" ht="48">
      <c r="A293" s="405" t="s">
        <v>3021</v>
      </c>
      <c r="B293" s="384" t="s">
        <v>88</v>
      </c>
      <c r="C293" s="384" t="s">
        <v>1238</v>
      </c>
      <c r="D293" s="385" t="s">
        <v>3022</v>
      </c>
      <c r="E293" s="390" t="s">
        <v>1239</v>
      </c>
      <c r="F293" s="396" t="s">
        <v>1313</v>
      </c>
    </row>
    <row r="294" spans="1:6" ht="72">
      <c r="A294" s="405" t="s">
        <v>3019</v>
      </c>
      <c r="B294" s="384" t="s">
        <v>88</v>
      </c>
      <c r="C294" s="384" t="s">
        <v>1277</v>
      </c>
      <c r="D294" s="385" t="s">
        <v>3020</v>
      </c>
      <c r="E294" s="390" t="s">
        <v>1239</v>
      </c>
      <c r="F294" s="396" t="s">
        <v>1313</v>
      </c>
    </row>
    <row r="295" spans="1:6" ht="72">
      <c r="A295" s="405" t="s">
        <v>3018</v>
      </c>
      <c r="B295" s="384" t="s">
        <v>1076</v>
      </c>
      <c r="C295" s="384" t="s">
        <v>1277</v>
      </c>
      <c r="D295" s="385" t="s">
        <v>2992</v>
      </c>
      <c r="E295" s="390" t="s">
        <v>1239</v>
      </c>
      <c r="F295" s="396" t="s">
        <v>1313</v>
      </c>
    </row>
    <row r="296" spans="1:6" ht="72">
      <c r="A296" s="405" t="s">
        <v>2991</v>
      </c>
      <c r="B296" s="384" t="s">
        <v>1076</v>
      </c>
      <c r="C296" s="384" t="s">
        <v>1277</v>
      </c>
      <c r="D296" s="385" t="s">
        <v>2992</v>
      </c>
      <c r="E296" s="390" t="s">
        <v>1239</v>
      </c>
      <c r="F296" s="396" t="s">
        <v>1313</v>
      </c>
    </row>
    <row r="297" spans="1:6" ht="72">
      <c r="A297" s="405">
        <v>45967.85833333333</v>
      </c>
      <c r="B297" s="384" t="s">
        <v>88</v>
      </c>
      <c r="C297" s="384" t="s">
        <v>1255</v>
      </c>
      <c r="D297" s="385" t="s">
        <v>2988</v>
      </c>
      <c r="E297" s="390" t="s">
        <v>1239</v>
      </c>
      <c r="F297" s="396" t="s">
        <v>1313</v>
      </c>
    </row>
    <row r="298" spans="1:6" ht="72">
      <c r="A298" s="405">
        <v>45967.85833333333</v>
      </c>
      <c r="B298" s="384" t="s">
        <v>88</v>
      </c>
      <c r="C298" s="384" t="s">
        <v>1255</v>
      </c>
      <c r="D298" s="385" t="s">
        <v>2987</v>
      </c>
      <c r="E298" s="390" t="s">
        <v>1239</v>
      </c>
      <c r="F298" s="396" t="s">
        <v>1313</v>
      </c>
    </row>
    <row r="299" spans="1:6" ht="48">
      <c r="A299" s="405">
        <v>45967.53402777778</v>
      </c>
      <c r="B299" s="384" t="s">
        <v>23</v>
      </c>
      <c r="C299" s="384" t="s">
        <v>1238</v>
      </c>
      <c r="D299" s="385" t="s">
        <v>2986</v>
      </c>
      <c r="E299" s="390" t="s">
        <v>1239</v>
      </c>
      <c r="F299" s="396" t="s">
        <v>1313</v>
      </c>
    </row>
    <row r="300" spans="1:6" ht="96">
      <c r="A300" s="405">
        <v>45967.533333333333</v>
      </c>
      <c r="B300" s="384" t="s">
        <v>23</v>
      </c>
      <c r="C300" s="384" t="s">
        <v>1255</v>
      </c>
      <c r="D300" s="385" t="s">
        <v>2985</v>
      </c>
      <c r="E300" s="390" t="s">
        <v>1239</v>
      </c>
      <c r="F300" s="396" t="s">
        <v>1313</v>
      </c>
    </row>
    <row r="301" spans="1:6" ht="72">
      <c r="A301" s="405">
        <v>45967.533333333333</v>
      </c>
      <c r="B301" s="384" t="s">
        <v>23</v>
      </c>
      <c r="C301" s="384" t="s">
        <v>1255</v>
      </c>
      <c r="D301" s="385" t="s">
        <v>2984</v>
      </c>
      <c r="E301" s="390" t="s">
        <v>1239</v>
      </c>
      <c r="F301" s="396" t="s">
        <v>1313</v>
      </c>
    </row>
    <row r="302" spans="1:6" ht="72">
      <c r="A302" s="405">
        <v>45906.796527777777</v>
      </c>
      <c r="B302" s="384" t="s">
        <v>88</v>
      </c>
      <c r="C302" s="384" t="s">
        <v>1277</v>
      </c>
      <c r="D302" s="385" t="s">
        <v>2983</v>
      </c>
      <c r="E302" s="390" t="s">
        <v>1239</v>
      </c>
      <c r="F302" s="396" t="s">
        <v>1313</v>
      </c>
    </row>
    <row r="303" spans="1:6" ht="72">
      <c r="A303" s="405">
        <v>45906.796527777777</v>
      </c>
      <c r="B303" s="384" t="s">
        <v>88</v>
      </c>
      <c r="C303" s="384" t="s">
        <v>1277</v>
      </c>
      <c r="D303" s="385" t="s">
        <v>2982</v>
      </c>
      <c r="E303" s="390" t="s">
        <v>1239</v>
      </c>
      <c r="F303" s="396" t="s">
        <v>1313</v>
      </c>
    </row>
    <row r="304" spans="1:6" ht="72">
      <c r="A304" s="405">
        <v>45906.796527777777</v>
      </c>
      <c r="B304" s="384" t="s">
        <v>88</v>
      </c>
      <c r="C304" s="384" t="s">
        <v>1277</v>
      </c>
      <c r="D304" s="385" t="s">
        <v>2981</v>
      </c>
      <c r="E304" s="390" t="s">
        <v>1239</v>
      </c>
      <c r="F304" s="396" t="s">
        <v>1313</v>
      </c>
    </row>
    <row r="305" spans="1:6" ht="72">
      <c r="A305" s="405">
        <v>45814.631249999999</v>
      </c>
      <c r="B305" s="384" t="s">
        <v>88</v>
      </c>
      <c r="C305" s="384" t="s">
        <v>1277</v>
      </c>
      <c r="D305" s="385" t="s">
        <v>2969</v>
      </c>
      <c r="E305" s="390" t="s">
        <v>1239</v>
      </c>
      <c r="F305" s="396" t="s">
        <v>1313</v>
      </c>
    </row>
    <row r="306" spans="1:6" ht="72">
      <c r="A306" s="405">
        <v>45783.854861111111</v>
      </c>
      <c r="B306" s="384" t="s">
        <v>88</v>
      </c>
      <c r="C306" s="384" t="s">
        <v>1255</v>
      </c>
      <c r="D306" s="385" t="s">
        <v>2964</v>
      </c>
      <c r="E306" s="390" t="s">
        <v>1239</v>
      </c>
      <c r="F306" s="396" t="s">
        <v>1313</v>
      </c>
    </row>
    <row r="307" spans="1:6" ht="72">
      <c r="A307" s="405">
        <v>45783.852777777778</v>
      </c>
      <c r="B307" s="384" t="s">
        <v>88</v>
      </c>
      <c r="C307" s="384" t="s">
        <v>1277</v>
      </c>
      <c r="D307" s="385" t="s">
        <v>2963</v>
      </c>
      <c r="E307" s="390" t="s">
        <v>1239</v>
      </c>
      <c r="F307" s="396" t="s">
        <v>1313</v>
      </c>
    </row>
    <row r="308" spans="1:6" ht="72">
      <c r="A308" s="405">
        <v>45783.850694444445</v>
      </c>
      <c r="B308" s="384" t="s">
        <v>1076</v>
      </c>
      <c r="C308" s="384" t="s">
        <v>1277</v>
      </c>
      <c r="D308" s="385" t="s">
        <v>2960</v>
      </c>
      <c r="E308" s="390" t="s">
        <v>1239</v>
      </c>
      <c r="F308" s="396" t="s">
        <v>1313</v>
      </c>
    </row>
    <row r="309" spans="1:6" ht="48">
      <c r="A309" s="405">
        <v>45753.828472222223</v>
      </c>
      <c r="B309" s="384" t="s">
        <v>88</v>
      </c>
      <c r="C309" s="384" t="s">
        <v>1238</v>
      </c>
      <c r="D309" s="385" t="s">
        <v>2959</v>
      </c>
      <c r="E309" s="390" t="s">
        <v>1239</v>
      </c>
      <c r="F309" s="396" t="s">
        <v>1313</v>
      </c>
    </row>
    <row r="310" spans="1:6" ht="96">
      <c r="A310" s="405">
        <v>45722.57916666667</v>
      </c>
      <c r="B310" s="384" t="s">
        <v>23</v>
      </c>
      <c r="C310" s="384" t="s">
        <v>1255</v>
      </c>
      <c r="D310" s="385" t="s">
        <v>2958</v>
      </c>
      <c r="E310" s="390" t="s">
        <v>1239</v>
      </c>
      <c r="F310" s="396" t="s">
        <v>1313</v>
      </c>
    </row>
    <row r="311" spans="1:6" ht="48">
      <c r="A311" s="405">
        <v>45694.827777777777</v>
      </c>
      <c r="B311" s="384" t="s">
        <v>88</v>
      </c>
      <c r="C311" s="384" t="s">
        <v>1238</v>
      </c>
      <c r="D311" s="385" t="s">
        <v>2957</v>
      </c>
      <c r="E311" s="390" t="s">
        <v>1239</v>
      </c>
      <c r="F311" s="396" t="s">
        <v>1313</v>
      </c>
    </row>
    <row r="312" spans="1:6" ht="72">
      <c r="A312" s="405">
        <v>45694.827777777777</v>
      </c>
      <c r="B312" s="384" t="s">
        <v>88</v>
      </c>
      <c r="C312" s="384" t="s">
        <v>1277</v>
      </c>
      <c r="D312" s="385" t="s">
        <v>2956</v>
      </c>
      <c r="E312" s="390" t="s">
        <v>1239</v>
      </c>
      <c r="F312" s="396" t="s">
        <v>1313</v>
      </c>
    </row>
    <row r="313" spans="1:6" ht="48">
      <c r="A313" s="405">
        <v>45694.65</v>
      </c>
      <c r="B313" s="384" t="s">
        <v>23</v>
      </c>
      <c r="C313" s="384" t="s">
        <v>1238</v>
      </c>
      <c r="D313" s="385" t="s">
        <v>2681</v>
      </c>
      <c r="E313" s="390" t="s">
        <v>1239</v>
      </c>
      <c r="F313" s="396" t="s">
        <v>1313</v>
      </c>
    </row>
    <row r="314" spans="1:6" ht="72">
      <c r="A314" s="405">
        <v>45694.647916666669</v>
      </c>
      <c r="B314" s="384" t="s">
        <v>88</v>
      </c>
      <c r="C314" s="384" t="s">
        <v>1255</v>
      </c>
      <c r="D314" s="385" t="s">
        <v>2954</v>
      </c>
      <c r="E314" s="390" t="s">
        <v>1239</v>
      </c>
      <c r="F314" s="396" t="s">
        <v>1313</v>
      </c>
    </row>
    <row r="315" spans="1:6" ht="48">
      <c r="A315" s="405">
        <v>45694.647222222222</v>
      </c>
      <c r="B315" s="384" t="s">
        <v>88</v>
      </c>
      <c r="C315" s="384" t="s">
        <v>1238</v>
      </c>
      <c r="D315" s="385" t="s">
        <v>2953</v>
      </c>
      <c r="E315" s="390" t="s">
        <v>1239</v>
      </c>
      <c r="F315" s="396" t="s">
        <v>1313</v>
      </c>
    </row>
    <row r="316" spans="1:6" ht="48">
      <c r="A316" s="405">
        <v>45663.796527777777</v>
      </c>
      <c r="B316" s="384" t="s">
        <v>23</v>
      </c>
      <c r="C316" s="384" t="s">
        <v>1238</v>
      </c>
      <c r="D316" s="385" t="s">
        <v>2952</v>
      </c>
      <c r="E316" s="390" t="s">
        <v>1239</v>
      </c>
      <c r="F316" s="396" t="s">
        <v>1313</v>
      </c>
    </row>
    <row r="317" spans="1:6" ht="96">
      <c r="A317" s="405">
        <v>45663.796527777777</v>
      </c>
      <c r="B317" s="384" t="s">
        <v>23</v>
      </c>
      <c r="C317" s="384" t="s">
        <v>1255</v>
      </c>
      <c r="D317" s="385" t="s">
        <v>2951</v>
      </c>
      <c r="E317" s="390" t="s">
        <v>1239</v>
      </c>
      <c r="F317" s="396" t="s">
        <v>1313</v>
      </c>
    </row>
    <row r="318" spans="1:6" ht="72">
      <c r="A318" s="405">
        <v>45663.795138888891</v>
      </c>
      <c r="B318" s="384" t="s">
        <v>88</v>
      </c>
      <c r="C318" s="384" t="s">
        <v>1255</v>
      </c>
      <c r="D318" s="385" t="s">
        <v>2950</v>
      </c>
      <c r="E318" s="390" t="s">
        <v>1239</v>
      </c>
      <c r="F318" s="396" t="s">
        <v>1313</v>
      </c>
    </row>
    <row r="319" spans="1:6" ht="48">
      <c r="A319" s="405">
        <v>45663.795138888891</v>
      </c>
      <c r="B319" s="384" t="s">
        <v>88</v>
      </c>
      <c r="C319" s="384" t="s">
        <v>1255</v>
      </c>
      <c r="D319" s="385" t="s">
        <v>2949</v>
      </c>
      <c r="E319" s="390" t="s">
        <v>1239</v>
      </c>
      <c r="F319" s="396" t="s">
        <v>1313</v>
      </c>
    </row>
    <row r="320" spans="1:6" ht="48">
      <c r="A320" s="405">
        <v>45663.794444444444</v>
      </c>
      <c r="B320" s="384" t="s">
        <v>88</v>
      </c>
      <c r="C320" s="384" t="s">
        <v>1238</v>
      </c>
      <c r="D320" s="385" t="s">
        <v>2948</v>
      </c>
      <c r="E320" s="390" t="s">
        <v>1239</v>
      </c>
      <c r="F320" s="396" t="s">
        <v>1313</v>
      </c>
    </row>
    <row r="321" spans="1:6" ht="72">
      <c r="A321" s="405">
        <v>45663.793749999997</v>
      </c>
      <c r="B321" s="384" t="s">
        <v>88</v>
      </c>
      <c r="C321" s="384" t="s">
        <v>1277</v>
      </c>
      <c r="D321" s="385" t="s">
        <v>2947</v>
      </c>
      <c r="E321" s="390" t="s">
        <v>1239</v>
      </c>
      <c r="F321" s="396" t="s">
        <v>1313</v>
      </c>
    </row>
    <row r="322" spans="1:6" ht="96">
      <c r="A322" s="405" t="s">
        <v>2942</v>
      </c>
      <c r="B322" s="384" t="s">
        <v>23</v>
      </c>
      <c r="C322" s="384" t="s">
        <v>1255</v>
      </c>
      <c r="D322" s="385" t="s">
        <v>2943</v>
      </c>
      <c r="E322" s="390" t="s">
        <v>1239</v>
      </c>
      <c r="F322" s="396" t="s">
        <v>1313</v>
      </c>
    </row>
    <row r="323" spans="1:6" ht="72">
      <c r="A323" s="405" t="s">
        <v>2940</v>
      </c>
      <c r="B323" s="384" t="s">
        <v>88</v>
      </c>
      <c r="C323" s="384" t="s">
        <v>1277</v>
      </c>
      <c r="D323" s="385" t="s">
        <v>2941</v>
      </c>
      <c r="E323" s="390" t="s">
        <v>1239</v>
      </c>
      <c r="F323" s="396" t="s">
        <v>1313</v>
      </c>
    </row>
    <row r="324" spans="1:6" ht="72">
      <c r="A324" s="405" t="s">
        <v>2935</v>
      </c>
      <c r="B324" s="384" t="s">
        <v>88</v>
      </c>
      <c r="C324" s="384" t="s">
        <v>1255</v>
      </c>
      <c r="D324" s="385" t="s">
        <v>2936</v>
      </c>
      <c r="E324" s="390" t="s">
        <v>1239</v>
      </c>
      <c r="F324" s="396" t="s">
        <v>1313</v>
      </c>
    </row>
    <row r="325" spans="1:6" ht="72">
      <c r="A325" s="405" t="s">
        <v>2931</v>
      </c>
      <c r="B325" s="384" t="s">
        <v>88</v>
      </c>
      <c r="C325" s="384" t="s">
        <v>1255</v>
      </c>
      <c r="D325" s="385" t="s">
        <v>2933</v>
      </c>
      <c r="E325" s="390" t="s">
        <v>1239</v>
      </c>
      <c r="F325" s="396" t="s">
        <v>1313</v>
      </c>
    </row>
    <row r="326" spans="1:6" ht="72">
      <c r="A326" s="405" t="s">
        <v>2931</v>
      </c>
      <c r="B326" s="384" t="s">
        <v>88</v>
      </c>
      <c r="C326" s="384" t="s">
        <v>1255</v>
      </c>
      <c r="D326" s="385" t="s">
        <v>2932</v>
      </c>
      <c r="E326" s="390" t="s">
        <v>1239</v>
      </c>
      <c r="F326" s="396" t="s">
        <v>1313</v>
      </c>
    </row>
    <row r="327" spans="1:6" ht="48">
      <c r="A327" s="405" t="s">
        <v>2927</v>
      </c>
      <c r="B327" s="384" t="s">
        <v>88</v>
      </c>
      <c r="C327" s="384" t="s">
        <v>1238</v>
      </c>
      <c r="D327" s="385" t="s">
        <v>2930</v>
      </c>
      <c r="E327" s="390" t="s">
        <v>1239</v>
      </c>
      <c r="F327" s="396" t="s">
        <v>1313</v>
      </c>
    </row>
    <row r="328" spans="1:6">
      <c r="A328" s="405" t="s">
        <v>2927</v>
      </c>
      <c r="B328" s="384" t="s">
        <v>88</v>
      </c>
      <c r="C328" s="384" t="s">
        <v>1277</v>
      </c>
      <c r="D328" s="385" t="s">
        <v>2929</v>
      </c>
      <c r="E328" s="390" t="s">
        <v>1239</v>
      </c>
      <c r="F328" s="396" t="s">
        <v>1313</v>
      </c>
    </row>
    <row r="329" spans="1:6" ht="72">
      <c r="A329" s="405" t="s">
        <v>2927</v>
      </c>
      <c r="B329" s="384" t="s">
        <v>88</v>
      </c>
      <c r="C329" s="384" t="s">
        <v>1277</v>
      </c>
      <c r="D329" s="385" t="s">
        <v>2928</v>
      </c>
      <c r="E329" s="390" t="s">
        <v>1239</v>
      </c>
      <c r="F329" s="396" t="s">
        <v>1313</v>
      </c>
    </row>
    <row r="330" spans="1:6" ht="72">
      <c r="A330" s="405" t="s">
        <v>2925</v>
      </c>
      <c r="B330" s="384" t="s">
        <v>88</v>
      </c>
      <c r="C330" s="384" t="s">
        <v>1277</v>
      </c>
      <c r="D330" s="385" t="s">
        <v>2926</v>
      </c>
      <c r="E330" s="390" t="s">
        <v>1239</v>
      </c>
      <c r="F330" s="396" t="s">
        <v>1313</v>
      </c>
    </row>
    <row r="331" spans="1:6" ht="72">
      <c r="A331" s="405" t="s">
        <v>2916</v>
      </c>
      <c r="B331" s="384" t="s">
        <v>88</v>
      </c>
      <c r="C331" s="384"/>
      <c r="D331" s="386" t="s">
        <v>2917</v>
      </c>
      <c r="E331" s="390" t="s">
        <v>1249</v>
      </c>
      <c r="F331" s="396" t="s">
        <v>1313</v>
      </c>
    </row>
    <row r="332" spans="1:6" ht="72">
      <c r="A332" s="405" t="s">
        <v>2915</v>
      </c>
      <c r="B332" s="384" t="s">
        <v>23</v>
      </c>
      <c r="C332" s="384"/>
      <c r="D332" s="386" t="s">
        <v>1415</v>
      </c>
      <c r="E332" s="390" t="s">
        <v>1249</v>
      </c>
      <c r="F332" s="396" t="s">
        <v>1313</v>
      </c>
    </row>
    <row r="333" spans="1:6" ht="72">
      <c r="A333" s="405" t="s">
        <v>2913</v>
      </c>
      <c r="B333" s="384" t="s">
        <v>88</v>
      </c>
      <c r="C333" s="384" t="s">
        <v>1255</v>
      </c>
      <c r="D333" s="385" t="s">
        <v>2914</v>
      </c>
      <c r="E333" s="390" t="s">
        <v>1239</v>
      </c>
      <c r="F333" s="396" t="s">
        <v>1313</v>
      </c>
    </row>
    <row r="334" spans="1:6" ht="48">
      <c r="A334" s="405" t="s">
        <v>2911</v>
      </c>
      <c r="B334" s="384" t="s">
        <v>88</v>
      </c>
      <c r="C334" s="384" t="s">
        <v>1238</v>
      </c>
      <c r="D334" s="385" t="s">
        <v>2912</v>
      </c>
      <c r="E334" s="390" t="s">
        <v>1239</v>
      </c>
      <c r="F334" s="396" t="s">
        <v>1313</v>
      </c>
    </row>
    <row r="335" spans="1:6" ht="72">
      <c r="A335" s="405" t="s">
        <v>2909</v>
      </c>
      <c r="B335" s="384" t="s">
        <v>88</v>
      </c>
      <c r="C335" s="384" t="s">
        <v>1255</v>
      </c>
      <c r="D335" s="385" t="s">
        <v>2910</v>
      </c>
      <c r="E335" s="390" t="s">
        <v>1239</v>
      </c>
      <c r="F335" s="396" t="s">
        <v>1313</v>
      </c>
    </row>
    <row r="336" spans="1:6" ht="48">
      <c r="A336" s="405" t="s">
        <v>2905</v>
      </c>
      <c r="B336" s="384" t="s">
        <v>88</v>
      </c>
      <c r="C336" s="384" t="s">
        <v>1238</v>
      </c>
      <c r="D336" s="385" t="s">
        <v>2908</v>
      </c>
      <c r="E336" s="390" t="s">
        <v>1239</v>
      </c>
      <c r="F336" s="396" t="s">
        <v>1313</v>
      </c>
    </row>
    <row r="337" spans="1:6" ht="72">
      <c r="A337" s="405" t="s">
        <v>2905</v>
      </c>
      <c r="B337" s="384" t="s">
        <v>88</v>
      </c>
      <c r="C337" s="384" t="s">
        <v>1277</v>
      </c>
      <c r="D337" s="385" t="s">
        <v>2907</v>
      </c>
      <c r="E337" s="390" t="s">
        <v>1239</v>
      </c>
      <c r="F337" s="396" t="s">
        <v>1313</v>
      </c>
    </row>
    <row r="338" spans="1:6" ht="72">
      <c r="A338" s="405" t="s">
        <v>2905</v>
      </c>
      <c r="B338" s="384" t="s">
        <v>88</v>
      </c>
      <c r="C338" s="384" t="s">
        <v>1277</v>
      </c>
      <c r="D338" s="385" t="s">
        <v>2906</v>
      </c>
      <c r="E338" s="390" t="s">
        <v>1239</v>
      </c>
      <c r="F338" s="396" t="s">
        <v>1313</v>
      </c>
    </row>
    <row r="339" spans="1:6" ht="72">
      <c r="A339" s="405">
        <v>45996.372916666667</v>
      </c>
      <c r="B339" s="384" t="s">
        <v>88</v>
      </c>
      <c r="C339" s="384" t="s">
        <v>1255</v>
      </c>
      <c r="D339" s="385" t="s">
        <v>2899</v>
      </c>
      <c r="E339" s="390" t="s">
        <v>1239</v>
      </c>
      <c r="F339" s="396" t="s">
        <v>1313</v>
      </c>
    </row>
    <row r="340" spans="1:6" ht="72">
      <c r="A340" s="405">
        <v>45996.372916666667</v>
      </c>
      <c r="B340" s="384" t="s">
        <v>88</v>
      </c>
      <c r="C340" s="384" t="s">
        <v>1255</v>
      </c>
      <c r="D340" s="385" t="s">
        <v>2898</v>
      </c>
      <c r="E340" s="390" t="s">
        <v>1239</v>
      </c>
      <c r="F340" s="396" t="s">
        <v>1313</v>
      </c>
    </row>
    <row r="341" spans="1:6" ht="72">
      <c r="A341" s="405">
        <v>45996.372916666667</v>
      </c>
      <c r="B341" s="384" t="s">
        <v>88</v>
      </c>
      <c r="C341" s="384" t="s">
        <v>1255</v>
      </c>
      <c r="D341" s="385" t="s">
        <v>2897</v>
      </c>
      <c r="E341" s="390" t="s">
        <v>1239</v>
      </c>
      <c r="F341" s="396" t="s">
        <v>1313</v>
      </c>
    </row>
    <row r="342" spans="1:6" ht="48">
      <c r="A342" s="405">
        <v>45996.37222222222</v>
      </c>
      <c r="B342" s="384" t="s">
        <v>88</v>
      </c>
      <c r="C342" s="384" t="s">
        <v>1238</v>
      </c>
      <c r="D342" s="385" t="s">
        <v>2896</v>
      </c>
      <c r="E342" s="390" t="s">
        <v>1239</v>
      </c>
      <c r="F342" s="396" t="s">
        <v>1313</v>
      </c>
    </row>
    <row r="343" spans="1:6" ht="72">
      <c r="A343" s="405">
        <v>45996.37222222222</v>
      </c>
      <c r="B343" s="384" t="s">
        <v>88</v>
      </c>
      <c r="C343" s="384" t="s">
        <v>1277</v>
      </c>
      <c r="D343" s="385" t="s">
        <v>2895</v>
      </c>
      <c r="E343" s="390" t="s">
        <v>1239</v>
      </c>
      <c r="F343" s="396" t="s">
        <v>1313</v>
      </c>
    </row>
    <row r="344" spans="1:6" ht="72">
      <c r="A344" s="405">
        <v>45813.407638888886</v>
      </c>
      <c r="B344" s="384" t="s">
        <v>23</v>
      </c>
      <c r="C344" s="384" t="s">
        <v>1255</v>
      </c>
      <c r="D344" s="385" t="s">
        <v>2891</v>
      </c>
      <c r="E344" s="390" t="s">
        <v>1239</v>
      </c>
      <c r="F344" s="396" t="s">
        <v>1313</v>
      </c>
    </row>
    <row r="345" spans="1:6" ht="48">
      <c r="A345" s="405">
        <v>45813.405555555553</v>
      </c>
      <c r="B345" s="384" t="s">
        <v>88</v>
      </c>
      <c r="C345" s="384" t="s">
        <v>1238</v>
      </c>
      <c r="D345" s="385" t="s">
        <v>2890</v>
      </c>
      <c r="E345" s="390" t="s">
        <v>1239</v>
      </c>
      <c r="F345" s="396" t="s">
        <v>1313</v>
      </c>
    </row>
    <row r="346" spans="1:6">
      <c r="A346" s="405">
        <v>45813.405555555553</v>
      </c>
      <c r="B346" s="384" t="s">
        <v>88</v>
      </c>
      <c r="C346" s="384" t="s">
        <v>1277</v>
      </c>
      <c r="D346" s="385" t="s">
        <v>2889</v>
      </c>
      <c r="E346" s="390" t="s">
        <v>1239</v>
      </c>
      <c r="F346" s="396" t="s">
        <v>1313</v>
      </c>
    </row>
    <row r="347" spans="1:6" ht="72">
      <c r="A347" s="405">
        <v>45752.347222222219</v>
      </c>
      <c r="B347" s="384" t="s">
        <v>88</v>
      </c>
      <c r="C347" s="384" t="s">
        <v>1255</v>
      </c>
      <c r="D347" s="385" t="s">
        <v>2887</v>
      </c>
      <c r="E347" s="390" t="s">
        <v>1239</v>
      </c>
      <c r="F347" s="396" t="s">
        <v>1313</v>
      </c>
    </row>
    <row r="348" spans="1:6" ht="72">
      <c r="A348" s="405">
        <v>45752.34652777778</v>
      </c>
      <c r="B348" s="384" t="s">
        <v>88</v>
      </c>
      <c r="C348" s="384" t="s">
        <v>1277</v>
      </c>
      <c r="D348" s="385" t="s">
        <v>2886</v>
      </c>
      <c r="E348" s="390" t="s">
        <v>1239</v>
      </c>
      <c r="F348" s="396" t="s">
        <v>1313</v>
      </c>
    </row>
    <row r="349" spans="1:6" ht="72">
      <c r="A349" s="405">
        <v>45752.34652777778</v>
      </c>
      <c r="B349" s="384" t="s">
        <v>88</v>
      </c>
      <c r="C349" s="384" t="s">
        <v>1277</v>
      </c>
      <c r="D349" s="385" t="s">
        <v>2885</v>
      </c>
      <c r="E349" s="390" t="s">
        <v>1239</v>
      </c>
      <c r="F349" s="396" t="s">
        <v>1313</v>
      </c>
    </row>
    <row r="350" spans="1:6" ht="72">
      <c r="A350" s="405">
        <v>45693.658333333333</v>
      </c>
      <c r="B350" s="384" t="s">
        <v>88</v>
      </c>
      <c r="C350" s="384" t="s">
        <v>1277</v>
      </c>
      <c r="D350" s="385" t="s">
        <v>2877</v>
      </c>
      <c r="E350" s="390" t="s">
        <v>1239</v>
      </c>
      <c r="F350" s="396" t="s">
        <v>1313</v>
      </c>
    </row>
    <row r="351" spans="1:6" ht="72">
      <c r="A351" s="405" t="s">
        <v>2873</v>
      </c>
      <c r="B351" s="384" t="s">
        <v>88</v>
      </c>
      <c r="C351" s="384"/>
      <c r="D351" s="386" t="s">
        <v>2874</v>
      </c>
      <c r="E351" s="390" t="s">
        <v>1249</v>
      </c>
      <c r="F351" s="396" t="s">
        <v>1313</v>
      </c>
    </row>
    <row r="352" spans="1:6" ht="72">
      <c r="A352" s="405" t="s">
        <v>2871</v>
      </c>
      <c r="B352" s="384" t="s">
        <v>23</v>
      </c>
      <c r="C352" s="384"/>
      <c r="D352" s="386" t="s">
        <v>2872</v>
      </c>
      <c r="E352" s="390" t="s">
        <v>1249</v>
      </c>
      <c r="F352" s="396" t="s">
        <v>1313</v>
      </c>
    </row>
    <row r="353" spans="1:6" ht="48">
      <c r="A353" s="405">
        <v>45662.784722222219</v>
      </c>
      <c r="B353" s="384" t="s">
        <v>23</v>
      </c>
      <c r="C353" s="384" t="s">
        <v>1238</v>
      </c>
      <c r="D353" s="385" t="s">
        <v>1623</v>
      </c>
      <c r="E353" s="390" t="s">
        <v>1239</v>
      </c>
      <c r="F353" s="396" t="s">
        <v>1313</v>
      </c>
    </row>
    <row r="354" spans="1:6" ht="96">
      <c r="A354" s="405">
        <v>45662.78402777778</v>
      </c>
      <c r="B354" s="384" t="s">
        <v>23</v>
      </c>
      <c r="C354" s="384" t="s">
        <v>1255</v>
      </c>
      <c r="D354" s="385" t="s">
        <v>2870</v>
      </c>
      <c r="E354" s="390" t="s">
        <v>1239</v>
      </c>
      <c r="F354" s="396" t="s">
        <v>1313</v>
      </c>
    </row>
    <row r="355" spans="1:6" ht="72">
      <c r="A355" s="405">
        <v>45662.782638888886</v>
      </c>
      <c r="B355" s="384" t="s">
        <v>88</v>
      </c>
      <c r="C355" s="384" t="s">
        <v>1255</v>
      </c>
      <c r="D355" s="385" t="s">
        <v>2869</v>
      </c>
      <c r="E355" s="390" t="s">
        <v>1239</v>
      </c>
      <c r="F355" s="396" t="s">
        <v>1313</v>
      </c>
    </row>
    <row r="356" spans="1:6" ht="72">
      <c r="A356" s="405">
        <v>45662.782638888886</v>
      </c>
      <c r="B356" s="384" t="s">
        <v>88</v>
      </c>
      <c r="C356" s="384" t="s">
        <v>1255</v>
      </c>
      <c r="D356" s="385" t="s">
        <v>2868</v>
      </c>
      <c r="E356" s="390" t="s">
        <v>1239</v>
      </c>
      <c r="F356" s="396" t="s">
        <v>1313</v>
      </c>
    </row>
    <row r="357" spans="1:6" ht="72">
      <c r="A357" s="405">
        <v>45662.781944444447</v>
      </c>
      <c r="B357" s="384" t="s">
        <v>88</v>
      </c>
      <c r="C357" s="384" t="s">
        <v>1277</v>
      </c>
      <c r="D357" s="385" t="s">
        <v>2867</v>
      </c>
      <c r="E357" s="390" t="s">
        <v>1239</v>
      </c>
      <c r="F357" s="396" t="s">
        <v>1313</v>
      </c>
    </row>
    <row r="358" spans="1:6" ht="72">
      <c r="A358" s="405" t="s">
        <v>2862</v>
      </c>
      <c r="B358" s="384" t="s">
        <v>88</v>
      </c>
      <c r="C358" s="384" t="s">
        <v>1277</v>
      </c>
      <c r="D358" s="385" t="s">
        <v>2863</v>
      </c>
      <c r="E358" s="390" t="s">
        <v>1239</v>
      </c>
      <c r="F358" s="396" t="s">
        <v>1313</v>
      </c>
    </row>
    <row r="359" spans="1:6" ht="48">
      <c r="A359" s="405" t="s">
        <v>2856</v>
      </c>
      <c r="B359" s="384" t="s">
        <v>23</v>
      </c>
      <c r="C359" s="384" t="s">
        <v>1277</v>
      </c>
      <c r="D359" s="385" t="s">
        <v>2857</v>
      </c>
      <c r="E359" s="390" t="s">
        <v>1239</v>
      </c>
      <c r="F359" s="396" t="s">
        <v>1313</v>
      </c>
    </row>
    <row r="360" spans="1:6" ht="72">
      <c r="A360" s="405" t="s">
        <v>2854</v>
      </c>
      <c r="B360" s="384" t="s">
        <v>88</v>
      </c>
      <c r="C360" s="384" t="s">
        <v>1255</v>
      </c>
      <c r="D360" s="385" t="s">
        <v>2855</v>
      </c>
      <c r="E360" s="390" t="s">
        <v>1239</v>
      </c>
      <c r="F360" s="396" t="s">
        <v>1313</v>
      </c>
    </row>
    <row r="361" spans="1:6" ht="48">
      <c r="A361" s="405" t="s">
        <v>2853</v>
      </c>
      <c r="B361" s="384" t="s">
        <v>23</v>
      </c>
      <c r="C361" s="384" t="s">
        <v>1238</v>
      </c>
      <c r="D361" s="385" t="s">
        <v>1623</v>
      </c>
      <c r="E361" s="390" t="s">
        <v>1239</v>
      </c>
      <c r="F361" s="396" t="s">
        <v>1313</v>
      </c>
    </row>
    <row r="362" spans="1:6" ht="72">
      <c r="A362" s="405" t="s">
        <v>2850</v>
      </c>
      <c r="B362" s="384" t="s">
        <v>23</v>
      </c>
      <c r="C362" s="384" t="s">
        <v>1277</v>
      </c>
      <c r="D362" s="385" t="s">
        <v>2852</v>
      </c>
      <c r="E362" s="390" t="s">
        <v>1239</v>
      </c>
      <c r="F362" s="396" t="s">
        <v>1313</v>
      </c>
    </row>
    <row r="363" spans="1:6" ht="48">
      <c r="A363" s="405" t="s">
        <v>2850</v>
      </c>
      <c r="B363" s="384" t="s">
        <v>23</v>
      </c>
      <c r="C363" s="384" t="s">
        <v>1277</v>
      </c>
      <c r="D363" s="385" t="s">
        <v>2851</v>
      </c>
      <c r="E363" s="390" t="s">
        <v>1239</v>
      </c>
      <c r="F363" s="396" t="s">
        <v>1313</v>
      </c>
    </row>
    <row r="364" spans="1:6" ht="72">
      <c r="A364" s="405" t="s">
        <v>2848</v>
      </c>
      <c r="B364" s="384" t="s">
        <v>88</v>
      </c>
      <c r="C364" s="384" t="s">
        <v>1255</v>
      </c>
      <c r="D364" s="385" t="s">
        <v>2849</v>
      </c>
      <c r="E364" s="390" t="s">
        <v>1239</v>
      </c>
      <c r="F364" s="396" t="s">
        <v>1313</v>
      </c>
    </row>
    <row r="365" spans="1:6" ht="72">
      <c r="A365" s="405" t="s">
        <v>2846</v>
      </c>
      <c r="B365" s="384" t="s">
        <v>88</v>
      </c>
      <c r="C365" s="384" t="s">
        <v>1277</v>
      </c>
      <c r="D365" s="385" t="s">
        <v>2847</v>
      </c>
      <c r="E365" s="390" t="s">
        <v>1239</v>
      </c>
      <c r="F365" s="396" t="s">
        <v>1313</v>
      </c>
    </row>
    <row r="366" spans="1:6" ht="48">
      <c r="A366" s="405" t="s">
        <v>2838</v>
      </c>
      <c r="B366" s="384" t="s">
        <v>23</v>
      </c>
      <c r="C366" s="384" t="s">
        <v>1238</v>
      </c>
      <c r="D366" s="385" t="s">
        <v>2681</v>
      </c>
      <c r="E366" s="390" t="s">
        <v>1239</v>
      </c>
      <c r="F366" s="396" t="s">
        <v>1313</v>
      </c>
    </row>
    <row r="367" spans="1:6" ht="96">
      <c r="A367" s="405" t="s">
        <v>2838</v>
      </c>
      <c r="B367" s="384" t="s">
        <v>23</v>
      </c>
      <c r="C367" s="384" t="s">
        <v>1255</v>
      </c>
      <c r="D367" s="385" t="s">
        <v>2841</v>
      </c>
      <c r="E367" s="390" t="s">
        <v>1239</v>
      </c>
      <c r="F367" s="396" t="s">
        <v>1313</v>
      </c>
    </row>
    <row r="368" spans="1:6" ht="72">
      <c r="A368" s="405" t="s">
        <v>2838</v>
      </c>
      <c r="B368" s="384" t="s">
        <v>23</v>
      </c>
      <c r="C368" s="384" t="s">
        <v>1255</v>
      </c>
      <c r="D368" s="385" t="s">
        <v>2840</v>
      </c>
      <c r="E368" s="390" t="s">
        <v>1239</v>
      </c>
      <c r="F368" s="396" t="s">
        <v>1313</v>
      </c>
    </row>
    <row r="369" spans="1:6" ht="72">
      <c r="A369" s="405" t="s">
        <v>2838</v>
      </c>
      <c r="B369" s="384" t="s">
        <v>23</v>
      </c>
      <c r="C369" s="384" t="s">
        <v>1255</v>
      </c>
      <c r="D369" s="385" t="s">
        <v>2839</v>
      </c>
      <c r="E369" s="390" t="s">
        <v>1239</v>
      </c>
      <c r="F369" s="396" t="s">
        <v>1313</v>
      </c>
    </row>
    <row r="370" spans="1:6" ht="72">
      <c r="A370" s="405" t="s">
        <v>2835</v>
      </c>
      <c r="B370" s="384" t="s">
        <v>23</v>
      </c>
      <c r="C370" s="384" t="s">
        <v>1277</v>
      </c>
      <c r="D370" s="385" t="s">
        <v>2837</v>
      </c>
      <c r="E370" s="390" t="s">
        <v>1239</v>
      </c>
      <c r="F370" s="396" t="s">
        <v>1313</v>
      </c>
    </row>
    <row r="371" spans="1:6" ht="48">
      <c r="A371" s="405" t="s">
        <v>2835</v>
      </c>
      <c r="B371" s="384" t="s">
        <v>23</v>
      </c>
      <c r="C371" s="384" t="s">
        <v>1277</v>
      </c>
      <c r="D371" s="385" t="s">
        <v>2836</v>
      </c>
      <c r="E371" s="390" t="s">
        <v>1239</v>
      </c>
      <c r="F371" s="396" t="s">
        <v>1313</v>
      </c>
    </row>
    <row r="372" spans="1:6" ht="72">
      <c r="A372" s="405" t="s">
        <v>2832</v>
      </c>
      <c r="B372" s="384" t="s">
        <v>88</v>
      </c>
      <c r="C372" s="384" t="s">
        <v>1277</v>
      </c>
      <c r="D372" s="385" t="s">
        <v>2834</v>
      </c>
      <c r="E372" s="390" t="s">
        <v>1239</v>
      </c>
      <c r="F372" s="396" t="s">
        <v>1313</v>
      </c>
    </row>
    <row r="373" spans="1:6" ht="72">
      <c r="A373" s="405" t="s">
        <v>2832</v>
      </c>
      <c r="B373" s="384" t="s">
        <v>88</v>
      </c>
      <c r="C373" s="384" t="s">
        <v>1277</v>
      </c>
      <c r="D373" s="385" t="s">
        <v>2833</v>
      </c>
      <c r="E373" s="390" t="s">
        <v>1239</v>
      </c>
      <c r="F373" s="396" t="s">
        <v>1313</v>
      </c>
    </row>
    <row r="374" spans="1:6" ht="72">
      <c r="A374" s="405" t="s">
        <v>2821</v>
      </c>
      <c r="B374" s="384" t="s">
        <v>23</v>
      </c>
      <c r="C374" s="384" t="s">
        <v>1277</v>
      </c>
      <c r="D374" s="385" t="s">
        <v>2823</v>
      </c>
      <c r="E374" s="390" t="s">
        <v>1239</v>
      </c>
      <c r="F374" s="396" t="s">
        <v>1313</v>
      </c>
    </row>
    <row r="375" spans="1:6" ht="48">
      <c r="A375" s="405" t="s">
        <v>2821</v>
      </c>
      <c r="B375" s="384" t="s">
        <v>23</v>
      </c>
      <c r="C375" s="384" t="s">
        <v>1277</v>
      </c>
      <c r="D375" s="385" t="s">
        <v>2822</v>
      </c>
      <c r="E375" s="390" t="s">
        <v>1239</v>
      </c>
      <c r="F375" s="396" t="s">
        <v>1313</v>
      </c>
    </row>
    <row r="376" spans="1:6" ht="48">
      <c r="A376" s="405" t="s">
        <v>2819</v>
      </c>
      <c r="B376" s="384" t="s">
        <v>23</v>
      </c>
      <c r="C376" s="384" t="s">
        <v>1238</v>
      </c>
      <c r="D376" s="385" t="s">
        <v>1623</v>
      </c>
      <c r="E376" s="390" t="s">
        <v>1239</v>
      </c>
      <c r="F376" s="396" t="s">
        <v>1313</v>
      </c>
    </row>
    <row r="377" spans="1:6" ht="48">
      <c r="A377" s="405" t="s">
        <v>2819</v>
      </c>
      <c r="B377" s="384" t="s">
        <v>23</v>
      </c>
      <c r="C377" s="384" t="s">
        <v>1238</v>
      </c>
      <c r="D377" s="385" t="s">
        <v>2820</v>
      </c>
      <c r="E377" s="390" t="s">
        <v>1239</v>
      </c>
      <c r="F377" s="396" t="s">
        <v>1313</v>
      </c>
    </row>
    <row r="378" spans="1:6" ht="72">
      <c r="A378" s="405" t="s">
        <v>2817</v>
      </c>
      <c r="B378" s="384" t="s">
        <v>23</v>
      </c>
      <c r="C378" s="384" t="s">
        <v>1255</v>
      </c>
      <c r="D378" s="385" t="s">
        <v>2818</v>
      </c>
      <c r="E378" s="390" t="s">
        <v>1239</v>
      </c>
      <c r="F378" s="396" t="s">
        <v>1313</v>
      </c>
    </row>
    <row r="379" spans="1:6" ht="48">
      <c r="A379" s="405">
        <v>45965.561805555553</v>
      </c>
      <c r="B379" s="384" t="s">
        <v>23</v>
      </c>
      <c r="C379" s="384" t="s">
        <v>1238</v>
      </c>
      <c r="D379" s="385" t="s">
        <v>2681</v>
      </c>
      <c r="E379" s="390" t="s">
        <v>1239</v>
      </c>
      <c r="F379" s="396" t="s">
        <v>1313</v>
      </c>
    </row>
    <row r="380" spans="1:6" ht="72">
      <c r="A380" s="405">
        <v>45965.560416666667</v>
      </c>
      <c r="B380" s="384" t="s">
        <v>88</v>
      </c>
      <c r="C380" s="384" t="s">
        <v>1255</v>
      </c>
      <c r="D380" s="385" t="s">
        <v>2816</v>
      </c>
      <c r="E380" s="390" t="s">
        <v>1239</v>
      </c>
      <c r="F380" s="396" t="s">
        <v>1313</v>
      </c>
    </row>
    <row r="381" spans="1:6" ht="72">
      <c r="A381" s="405">
        <v>45965.560416666667</v>
      </c>
      <c r="B381" s="384" t="s">
        <v>88</v>
      </c>
      <c r="C381" s="384" t="s">
        <v>1255</v>
      </c>
      <c r="D381" s="385" t="s">
        <v>2815</v>
      </c>
      <c r="E381" s="390" t="s">
        <v>1239</v>
      </c>
      <c r="F381" s="396" t="s">
        <v>1313</v>
      </c>
    </row>
    <row r="382" spans="1:6" ht="48">
      <c r="A382" s="405">
        <v>45965.55972222222</v>
      </c>
      <c r="B382" s="384" t="s">
        <v>88</v>
      </c>
      <c r="C382" s="384" t="s">
        <v>1238</v>
      </c>
      <c r="D382" s="385" t="s">
        <v>2814</v>
      </c>
      <c r="E382" s="390" t="s">
        <v>1239</v>
      </c>
      <c r="F382" s="396" t="s">
        <v>1313</v>
      </c>
    </row>
    <row r="383" spans="1:6" ht="72">
      <c r="A383" s="405">
        <v>45965.55972222222</v>
      </c>
      <c r="B383" s="384" t="s">
        <v>88</v>
      </c>
      <c r="C383" s="384" t="s">
        <v>1277</v>
      </c>
      <c r="D383" s="385" t="s">
        <v>2813</v>
      </c>
      <c r="E383" s="390" t="s">
        <v>1239</v>
      </c>
      <c r="F383" s="396" t="s">
        <v>1313</v>
      </c>
    </row>
    <row r="384" spans="1:6" ht="72">
      <c r="A384" s="405">
        <v>45965.55972222222</v>
      </c>
      <c r="B384" s="384" t="s">
        <v>88</v>
      </c>
      <c r="C384" s="384" t="s">
        <v>1277</v>
      </c>
      <c r="D384" s="385" t="s">
        <v>2812</v>
      </c>
      <c r="E384" s="390" t="s">
        <v>1239</v>
      </c>
      <c r="F384" s="396" t="s">
        <v>1313</v>
      </c>
    </row>
    <row r="385" spans="1:6" ht="96">
      <c r="A385" s="405">
        <v>45904.61041666667</v>
      </c>
      <c r="B385" s="384" t="s">
        <v>23</v>
      </c>
      <c r="C385" s="384" t="s">
        <v>1255</v>
      </c>
      <c r="D385" s="385" t="s">
        <v>2805</v>
      </c>
      <c r="E385" s="390" t="s">
        <v>1239</v>
      </c>
      <c r="F385" s="396" t="s">
        <v>1313</v>
      </c>
    </row>
    <row r="386" spans="1:6" ht="72">
      <c r="A386" s="405">
        <v>45904.61041666667</v>
      </c>
      <c r="B386" s="384" t="s">
        <v>23</v>
      </c>
      <c r="C386" s="384" t="s">
        <v>1255</v>
      </c>
      <c r="D386" s="385" t="s">
        <v>2804</v>
      </c>
      <c r="E386" s="390" t="s">
        <v>1239</v>
      </c>
      <c r="F386" s="396" t="s">
        <v>1313</v>
      </c>
    </row>
    <row r="387" spans="1:6" ht="48">
      <c r="A387" s="405">
        <v>45904.609722222223</v>
      </c>
      <c r="B387" s="384" t="s">
        <v>23</v>
      </c>
      <c r="C387" s="384" t="s">
        <v>1277</v>
      </c>
      <c r="D387" s="385" t="s">
        <v>2157</v>
      </c>
      <c r="E387" s="390" t="s">
        <v>1239</v>
      </c>
      <c r="F387" s="396" t="s">
        <v>1313</v>
      </c>
    </row>
    <row r="388" spans="1:6" ht="72">
      <c r="A388" s="405">
        <v>45842.567361111112</v>
      </c>
      <c r="B388" s="384" t="s">
        <v>88</v>
      </c>
      <c r="C388" s="384" t="s">
        <v>1277</v>
      </c>
      <c r="D388" s="385" t="s">
        <v>2803</v>
      </c>
      <c r="E388" s="390" t="s">
        <v>1239</v>
      </c>
      <c r="F388" s="396" t="s">
        <v>1313</v>
      </c>
    </row>
    <row r="389" spans="1:6" ht="72">
      <c r="A389" s="405">
        <v>45842.56527777778</v>
      </c>
      <c r="B389" s="384" t="s">
        <v>1076</v>
      </c>
      <c r="C389" s="384" t="s">
        <v>1277</v>
      </c>
      <c r="D389" s="385" t="s">
        <v>2800</v>
      </c>
      <c r="E389" s="390" t="s">
        <v>1239</v>
      </c>
      <c r="F389" s="396" t="s">
        <v>1313</v>
      </c>
    </row>
    <row r="390" spans="1:6" ht="72">
      <c r="A390" s="405">
        <v>45842.291666666664</v>
      </c>
      <c r="B390" s="384" t="s">
        <v>88</v>
      </c>
      <c r="C390" s="384" t="s">
        <v>1277</v>
      </c>
      <c r="D390" s="385" t="s">
        <v>2798</v>
      </c>
      <c r="E390" s="390" t="s">
        <v>1239</v>
      </c>
      <c r="F390" s="396" t="s">
        <v>1313</v>
      </c>
    </row>
    <row r="391" spans="1:6" ht="72">
      <c r="A391" s="405">
        <v>45751.882638888892</v>
      </c>
      <c r="B391" s="384" t="s">
        <v>88</v>
      </c>
      <c r="C391" s="384" t="s">
        <v>1277</v>
      </c>
      <c r="D391" s="385" t="s">
        <v>2794</v>
      </c>
      <c r="E391" s="390" t="s">
        <v>1239</v>
      </c>
      <c r="F391" s="396" t="s">
        <v>1313</v>
      </c>
    </row>
    <row r="392" spans="1:6" ht="72">
      <c r="A392" s="405">
        <v>45720.518055555556</v>
      </c>
      <c r="B392" s="384" t="s">
        <v>23</v>
      </c>
      <c r="C392" s="384" t="s">
        <v>1277</v>
      </c>
      <c r="D392" s="385" t="s">
        <v>2786</v>
      </c>
      <c r="E392" s="390" t="s">
        <v>1239</v>
      </c>
      <c r="F392" s="396" t="s">
        <v>1313</v>
      </c>
    </row>
    <row r="393" spans="1:6" ht="48">
      <c r="A393" s="405">
        <v>45720.518055555556</v>
      </c>
      <c r="B393" s="384" t="s">
        <v>23</v>
      </c>
      <c r="C393" s="384" t="s">
        <v>1277</v>
      </c>
      <c r="D393" s="385" t="s">
        <v>2781</v>
      </c>
      <c r="E393" s="390" t="s">
        <v>1239</v>
      </c>
      <c r="F393" s="396" t="s">
        <v>1313</v>
      </c>
    </row>
    <row r="394" spans="1:6" ht="72">
      <c r="A394" s="405">
        <v>45720.51666666667</v>
      </c>
      <c r="B394" s="384" t="s">
        <v>1076</v>
      </c>
      <c r="C394" s="384" t="s">
        <v>1277</v>
      </c>
      <c r="D394" s="385" t="s">
        <v>2462</v>
      </c>
      <c r="E394" s="390" t="s">
        <v>1239</v>
      </c>
      <c r="F394" s="396" t="s">
        <v>1313</v>
      </c>
    </row>
    <row r="395" spans="1:6" ht="48">
      <c r="A395" s="405">
        <v>45720.515972222223</v>
      </c>
      <c r="B395" s="384" t="s">
        <v>23</v>
      </c>
      <c r="C395" s="384" t="s">
        <v>1238</v>
      </c>
      <c r="D395" s="385" t="s">
        <v>1623</v>
      </c>
      <c r="E395" s="390" t="s">
        <v>1239</v>
      </c>
      <c r="F395" s="396" t="s">
        <v>1313</v>
      </c>
    </row>
    <row r="396" spans="1:6" ht="96">
      <c r="A396" s="405">
        <v>45720.515277777777</v>
      </c>
      <c r="B396" s="384" t="s">
        <v>23</v>
      </c>
      <c r="C396" s="384" t="s">
        <v>1255</v>
      </c>
      <c r="D396" s="385" t="s">
        <v>2790</v>
      </c>
      <c r="E396" s="390" t="s">
        <v>1239</v>
      </c>
      <c r="F396" s="396" t="s">
        <v>1313</v>
      </c>
    </row>
    <row r="397" spans="1:6" ht="72">
      <c r="A397" s="405">
        <v>45720.515277777777</v>
      </c>
      <c r="B397" s="384" t="s">
        <v>23</v>
      </c>
      <c r="C397" s="384" t="s">
        <v>1277</v>
      </c>
      <c r="D397" s="385" t="s">
        <v>2789</v>
      </c>
      <c r="E397" s="390" t="s">
        <v>1239</v>
      </c>
      <c r="F397" s="396" t="s">
        <v>1313</v>
      </c>
    </row>
    <row r="398" spans="1:6" ht="48">
      <c r="A398" s="405">
        <v>45720.515277777777</v>
      </c>
      <c r="B398" s="384" t="s">
        <v>23</v>
      </c>
      <c r="C398" s="384" t="s">
        <v>1277</v>
      </c>
      <c r="D398" s="385" t="s">
        <v>2788</v>
      </c>
      <c r="E398" s="390" t="s">
        <v>1239</v>
      </c>
      <c r="F398" s="396" t="s">
        <v>1313</v>
      </c>
    </row>
    <row r="399" spans="1:6" ht="48">
      <c r="A399" s="405">
        <v>45720.515277777777</v>
      </c>
      <c r="B399" s="384" t="s">
        <v>23</v>
      </c>
      <c r="C399" s="384" t="s">
        <v>1277</v>
      </c>
      <c r="D399" s="385" t="s">
        <v>2787</v>
      </c>
      <c r="E399" s="390" t="s">
        <v>1239</v>
      </c>
      <c r="F399" s="396" t="s">
        <v>1313</v>
      </c>
    </row>
    <row r="400" spans="1:6" ht="72">
      <c r="A400" s="405">
        <v>45720.51458333333</v>
      </c>
      <c r="B400" s="384" t="s">
        <v>23</v>
      </c>
      <c r="C400" s="384" t="s">
        <v>1277</v>
      </c>
      <c r="D400" s="385" t="s">
        <v>2786</v>
      </c>
      <c r="E400" s="390" t="s">
        <v>1239</v>
      </c>
      <c r="F400" s="396" t="s">
        <v>1313</v>
      </c>
    </row>
    <row r="401" spans="1:6" ht="72">
      <c r="A401" s="405">
        <v>45720.51458333333</v>
      </c>
      <c r="B401" s="384" t="s">
        <v>23</v>
      </c>
      <c r="C401" s="384" t="s">
        <v>1277</v>
      </c>
      <c r="D401" s="385" t="s">
        <v>2785</v>
      </c>
      <c r="E401" s="390" t="s">
        <v>1239</v>
      </c>
      <c r="F401" s="396" t="s">
        <v>1313</v>
      </c>
    </row>
    <row r="402" spans="1:6" ht="48">
      <c r="A402" s="405">
        <v>45720.51458333333</v>
      </c>
      <c r="B402" s="384" t="s">
        <v>23</v>
      </c>
      <c r="C402" s="384" t="s">
        <v>1277</v>
      </c>
      <c r="D402" s="385" t="s">
        <v>2784</v>
      </c>
      <c r="E402" s="390" t="s">
        <v>1239</v>
      </c>
      <c r="F402" s="396" t="s">
        <v>1313</v>
      </c>
    </row>
    <row r="403" spans="1:6" ht="48">
      <c r="A403" s="405">
        <v>45720.51458333333</v>
      </c>
      <c r="B403" s="384" t="s">
        <v>23</v>
      </c>
      <c r="C403" s="384" t="s">
        <v>1277</v>
      </c>
      <c r="D403" s="385" t="s">
        <v>2783</v>
      </c>
      <c r="E403" s="390" t="s">
        <v>1239</v>
      </c>
      <c r="F403" s="396" t="s">
        <v>1313</v>
      </c>
    </row>
    <row r="404" spans="1:6" ht="48">
      <c r="A404" s="405">
        <v>45720.51458333333</v>
      </c>
      <c r="B404" s="384" t="s">
        <v>23</v>
      </c>
      <c r="C404" s="384" t="s">
        <v>1277</v>
      </c>
      <c r="D404" s="385" t="s">
        <v>2782</v>
      </c>
      <c r="E404" s="390" t="s">
        <v>1239</v>
      </c>
      <c r="F404" s="396" t="s">
        <v>1313</v>
      </c>
    </row>
    <row r="405" spans="1:6" ht="48">
      <c r="A405" s="405">
        <v>45720.51458333333</v>
      </c>
      <c r="B405" s="384" t="s">
        <v>23</v>
      </c>
      <c r="C405" s="384" t="s">
        <v>1277</v>
      </c>
      <c r="D405" s="385" t="s">
        <v>2781</v>
      </c>
      <c r="E405" s="390" t="s">
        <v>1239</v>
      </c>
      <c r="F405" s="396" t="s">
        <v>1313</v>
      </c>
    </row>
    <row r="406" spans="1:6" ht="72">
      <c r="A406" s="405">
        <v>45720.513194444444</v>
      </c>
      <c r="B406" s="384" t="s">
        <v>88</v>
      </c>
      <c r="C406" s="384" t="s">
        <v>1255</v>
      </c>
      <c r="D406" s="385" t="s">
        <v>2780</v>
      </c>
      <c r="E406" s="390" t="s">
        <v>1239</v>
      </c>
      <c r="F406" s="396" t="s">
        <v>1313</v>
      </c>
    </row>
    <row r="407" spans="1:6" ht="72">
      <c r="A407" s="405">
        <v>45720.513194444444</v>
      </c>
      <c r="B407" s="384" t="s">
        <v>88</v>
      </c>
      <c r="C407" s="384" t="s">
        <v>1255</v>
      </c>
      <c r="D407" s="385" t="s">
        <v>2779</v>
      </c>
      <c r="E407" s="390" t="s">
        <v>1239</v>
      </c>
      <c r="F407" s="396" t="s">
        <v>1313</v>
      </c>
    </row>
    <row r="408" spans="1:6" ht="72">
      <c r="A408" s="405">
        <v>45720.513194444444</v>
      </c>
      <c r="B408" s="384" t="s">
        <v>88</v>
      </c>
      <c r="C408" s="384" t="s">
        <v>1255</v>
      </c>
      <c r="D408" s="385" t="s">
        <v>2778</v>
      </c>
      <c r="E408" s="390" t="s">
        <v>1239</v>
      </c>
      <c r="F408" s="396" t="s">
        <v>1313</v>
      </c>
    </row>
    <row r="409" spans="1:6" ht="72">
      <c r="A409" s="405">
        <v>45720.512499999997</v>
      </c>
      <c r="B409" s="384" t="s">
        <v>88</v>
      </c>
      <c r="C409" s="384" t="s">
        <v>1277</v>
      </c>
      <c r="D409" s="385" t="s">
        <v>2777</v>
      </c>
      <c r="E409" s="390" t="s">
        <v>1239</v>
      </c>
      <c r="F409" s="396" t="s">
        <v>1313</v>
      </c>
    </row>
    <row r="410" spans="1:6" ht="72">
      <c r="A410" s="405" t="s">
        <v>2771</v>
      </c>
      <c r="B410" s="384" t="s">
        <v>23</v>
      </c>
      <c r="C410" s="384" t="s">
        <v>1277</v>
      </c>
      <c r="D410" s="385" t="s">
        <v>2773</v>
      </c>
      <c r="E410" s="390" t="s">
        <v>1239</v>
      </c>
      <c r="F410" s="396" t="s">
        <v>1313</v>
      </c>
    </row>
    <row r="411" spans="1:6" ht="48">
      <c r="A411" s="405" t="s">
        <v>2771</v>
      </c>
      <c r="B411" s="384" t="s">
        <v>23</v>
      </c>
      <c r="C411" s="384" t="s">
        <v>1277</v>
      </c>
      <c r="D411" s="385" t="s">
        <v>2772</v>
      </c>
      <c r="E411" s="390" t="s">
        <v>1239</v>
      </c>
      <c r="F411" s="396" t="s">
        <v>1313</v>
      </c>
    </row>
    <row r="412" spans="1:6" ht="72">
      <c r="A412" s="405" t="s">
        <v>2769</v>
      </c>
      <c r="B412" s="384" t="s">
        <v>88</v>
      </c>
      <c r="C412" s="384" t="s">
        <v>1277</v>
      </c>
      <c r="D412" s="385" t="s">
        <v>2770</v>
      </c>
      <c r="E412" s="390" t="s">
        <v>1239</v>
      </c>
      <c r="F412" s="396" t="s">
        <v>1313</v>
      </c>
    </row>
    <row r="413" spans="1:6" ht="72">
      <c r="A413" s="405" t="s">
        <v>2764</v>
      </c>
      <c r="B413" s="384" t="s">
        <v>88</v>
      </c>
      <c r="C413" s="384" t="s">
        <v>1277</v>
      </c>
      <c r="D413" s="385" t="s">
        <v>2768</v>
      </c>
      <c r="E413" s="390" t="s">
        <v>1239</v>
      </c>
      <c r="F413" s="396" t="s">
        <v>1313</v>
      </c>
    </row>
    <row r="414" spans="1:6" ht="72">
      <c r="A414" s="405" t="s">
        <v>2764</v>
      </c>
      <c r="B414" s="384" t="s">
        <v>1076</v>
      </c>
      <c r="C414" s="384" t="s">
        <v>1277</v>
      </c>
      <c r="D414" s="385" t="s">
        <v>2524</v>
      </c>
      <c r="E414" s="390" t="s">
        <v>1239</v>
      </c>
      <c r="F414" s="396" t="s">
        <v>1313</v>
      </c>
    </row>
    <row r="415" spans="1:6" ht="48">
      <c r="A415" s="405" t="s">
        <v>2759</v>
      </c>
      <c r="B415" s="384" t="s">
        <v>88</v>
      </c>
      <c r="C415" s="384" t="s">
        <v>1238</v>
      </c>
      <c r="D415" s="385" t="s">
        <v>2762</v>
      </c>
      <c r="E415" s="390" t="s">
        <v>1239</v>
      </c>
      <c r="F415" s="396" t="s">
        <v>1313</v>
      </c>
    </row>
    <row r="416" spans="1:6" ht="72">
      <c r="A416" s="405" t="s">
        <v>2759</v>
      </c>
      <c r="B416" s="384" t="s">
        <v>88</v>
      </c>
      <c r="C416" s="384" t="s">
        <v>1277</v>
      </c>
      <c r="D416" s="385" t="s">
        <v>2761</v>
      </c>
      <c r="E416" s="390" t="s">
        <v>1239</v>
      </c>
      <c r="F416" s="396" t="s">
        <v>1313</v>
      </c>
    </row>
    <row r="417" spans="1:6" ht="72">
      <c r="A417" s="405" t="s">
        <v>2759</v>
      </c>
      <c r="B417" s="384" t="s">
        <v>88</v>
      </c>
      <c r="C417" s="384" t="s">
        <v>1277</v>
      </c>
      <c r="D417" s="385" t="s">
        <v>2760</v>
      </c>
      <c r="E417" s="390" t="s">
        <v>1239</v>
      </c>
      <c r="F417" s="396" t="s">
        <v>1313</v>
      </c>
    </row>
    <row r="418" spans="1:6" ht="48">
      <c r="A418" s="405" t="s">
        <v>2750</v>
      </c>
      <c r="B418" s="384" t="s">
        <v>88</v>
      </c>
      <c r="C418" s="384" t="s">
        <v>1238</v>
      </c>
      <c r="D418" s="385" t="s">
        <v>2752</v>
      </c>
      <c r="E418" s="390" t="s">
        <v>1239</v>
      </c>
      <c r="F418" s="396" t="s">
        <v>1313</v>
      </c>
    </row>
    <row r="419" spans="1:6" ht="48">
      <c r="A419" s="405" t="s">
        <v>2750</v>
      </c>
      <c r="B419" s="384" t="s">
        <v>88</v>
      </c>
      <c r="C419" s="384" t="s">
        <v>1238</v>
      </c>
      <c r="D419" s="385" t="s">
        <v>2751</v>
      </c>
      <c r="E419" s="390" t="s">
        <v>1239</v>
      </c>
      <c r="F419" s="396" t="s">
        <v>1313</v>
      </c>
    </row>
    <row r="420" spans="1:6" ht="72">
      <c r="A420" s="405" t="s">
        <v>2748</v>
      </c>
      <c r="B420" s="384" t="s">
        <v>88</v>
      </c>
      <c r="C420" s="384" t="s">
        <v>1277</v>
      </c>
      <c r="D420" s="385" t="s">
        <v>2749</v>
      </c>
      <c r="E420" s="390" t="s">
        <v>1239</v>
      </c>
      <c r="F420" s="396" t="s">
        <v>1313</v>
      </c>
    </row>
    <row r="421" spans="1:6">
      <c r="A421" s="405" t="s">
        <v>2743</v>
      </c>
      <c r="B421" s="384" t="s">
        <v>88</v>
      </c>
      <c r="C421" s="384" t="s">
        <v>1277</v>
      </c>
      <c r="D421" s="385" t="s">
        <v>2744</v>
      </c>
      <c r="E421" s="390" t="s">
        <v>1239</v>
      </c>
      <c r="F421" s="396" t="s">
        <v>1313</v>
      </c>
    </row>
    <row r="422" spans="1:6" ht="72">
      <c r="A422" s="405" t="s">
        <v>2743</v>
      </c>
      <c r="B422" s="384" t="s">
        <v>1076</v>
      </c>
      <c r="C422" s="384" t="s">
        <v>1277</v>
      </c>
      <c r="D422" s="385" t="s">
        <v>2211</v>
      </c>
      <c r="E422" s="390" t="s">
        <v>1239</v>
      </c>
      <c r="F422" s="396" t="s">
        <v>1313</v>
      </c>
    </row>
    <row r="423" spans="1:6" ht="72">
      <c r="A423" s="405" t="s">
        <v>2740</v>
      </c>
      <c r="B423" s="384" t="s">
        <v>23</v>
      </c>
      <c r="C423" s="384" t="s">
        <v>1277</v>
      </c>
      <c r="D423" s="385" t="s">
        <v>2742</v>
      </c>
      <c r="E423" s="390" t="s">
        <v>1239</v>
      </c>
      <c r="F423" s="396" t="s">
        <v>1313</v>
      </c>
    </row>
    <row r="424" spans="1:6" ht="48">
      <c r="A424" s="405" t="s">
        <v>2740</v>
      </c>
      <c r="B424" s="384" t="s">
        <v>23</v>
      </c>
      <c r="C424" s="384" t="s">
        <v>1277</v>
      </c>
      <c r="D424" s="385" t="s">
        <v>2741</v>
      </c>
      <c r="E424" s="390" t="s">
        <v>1239</v>
      </c>
      <c r="F424" s="396" t="s">
        <v>1313</v>
      </c>
    </row>
    <row r="425" spans="1:6" ht="72">
      <c r="A425" s="405" t="s">
        <v>2738</v>
      </c>
      <c r="B425" s="384" t="s">
        <v>88</v>
      </c>
      <c r="C425" s="384" t="s">
        <v>1255</v>
      </c>
      <c r="D425" s="385" t="s">
        <v>2739</v>
      </c>
      <c r="E425" s="390" t="s">
        <v>1239</v>
      </c>
      <c r="F425" s="396" t="s">
        <v>1313</v>
      </c>
    </row>
    <row r="426" spans="1:6" ht="72">
      <c r="A426" s="405" t="s">
        <v>2736</v>
      </c>
      <c r="B426" s="384" t="s">
        <v>88</v>
      </c>
      <c r="C426" s="384" t="s">
        <v>1277</v>
      </c>
      <c r="D426" s="385" t="s">
        <v>2737</v>
      </c>
      <c r="E426" s="390" t="s">
        <v>1239</v>
      </c>
      <c r="F426" s="396" t="s">
        <v>1313</v>
      </c>
    </row>
    <row r="427" spans="1:6" ht="48">
      <c r="A427" s="405" t="s">
        <v>2731</v>
      </c>
      <c r="B427" s="384" t="s">
        <v>23</v>
      </c>
      <c r="C427" s="384" t="s">
        <v>1277</v>
      </c>
      <c r="D427" s="385" t="s">
        <v>2732</v>
      </c>
      <c r="E427" s="390" t="s">
        <v>1239</v>
      </c>
      <c r="F427" s="396" t="s">
        <v>1313</v>
      </c>
    </row>
    <row r="428" spans="1:6" ht="72">
      <c r="A428" s="405" t="s">
        <v>2729</v>
      </c>
      <c r="B428" s="384" t="s">
        <v>1076</v>
      </c>
      <c r="C428" s="384" t="s">
        <v>1277</v>
      </c>
      <c r="D428" s="385" t="s">
        <v>2730</v>
      </c>
      <c r="E428" s="390" t="s">
        <v>1239</v>
      </c>
      <c r="F428" s="396" t="s">
        <v>1313</v>
      </c>
    </row>
    <row r="429" spans="1:6" ht="48">
      <c r="A429" s="405" t="s">
        <v>2727</v>
      </c>
      <c r="B429" s="384" t="s">
        <v>88</v>
      </c>
      <c r="C429" s="384" t="s">
        <v>1238</v>
      </c>
      <c r="D429" s="385" t="s">
        <v>2728</v>
      </c>
      <c r="E429" s="390" t="s">
        <v>1239</v>
      </c>
      <c r="F429" s="396" t="s">
        <v>1313</v>
      </c>
    </row>
    <row r="430" spans="1:6" ht="72">
      <c r="A430" s="405" t="s">
        <v>2724</v>
      </c>
      <c r="B430" s="384" t="s">
        <v>23</v>
      </c>
      <c r="C430" s="384" t="s">
        <v>1277</v>
      </c>
      <c r="D430" s="385" t="s">
        <v>2726</v>
      </c>
      <c r="E430" s="390" t="s">
        <v>1239</v>
      </c>
      <c r="F430" s="396" t="s">
        <v>1313</v>
      </c>
    </row>
    <row r="431" spans="1:6" ht="48">
      <c r="A431" s="405" t="s">
        <v>2724</v>
      </c>
      <c r="B431" s="384" t="s">
        <v>23</v>
      </c>
      <c r="C431" s="384" t="s">
        <v>1277</v>
      </c>
      <c r="D431" s="385" t="s">
        <v>2725</v>
      </c>
      <c r="E431" s="390" t="s">
        <v>1239</v>
      </c>
      <c r="F431" s="396" t="s">
        <v>1313</v>
      </c>
    </row>
    <row r="432" spans="1:6" ht="72">
      <c r="A432" s="405" t="s">
        <v>2721</v>
      </c>
      <c r="B432" s="384" t="s">
        <v>23</v>
      </c>
      <c r="C432" s="384" t="s">
        <v>1277</v>
      </c>
      <c r="D432" s="385" t="s">
        <v>2723</v>
      </c>
      <c r="E432" s="390" t="s">
        <v>1239</v>
      </c>
      <c r="F432" s="396" t="s">
        <v>1313</v>
      </c>
    </row>
    <row r="433" spans="1:6" ht="48">
      <c r="A433" s="405" t="s">
        <v>2721</v>
      </c>
      <c r="B433" s="384" t="s">
        <v>23</v>
      </c>
      <c r="C433" s="384" t="s">
        <v>1277</v>
      </c>
      <c r="D433" s="385" t="s">
        <v>2722</v>
      </c>
      <c r="E433" s="390" t="s">
        <v>1239</v>
      </c>
      <c r="F433" s="396" t="s">
        <v>1313</v>
      </c>
    </row>
    <row r="434" spans="1:6" ht="48">
      <c r="A434" s="405" t="s">
        <v>2719</v>
      </c>
      <c r="B434" s="384" t="s">
        <v>88</v>
      </c>
      <c r="C434" s="384" t="s">
        <v>1238</v>
      </c>
      <c r="D434" s="385" t="s">
        <v>2720</v>
      </c>
      <c r="E434" s="390" t="s">
        <v>1239</v>
      </c>
      <c r="F434" s="396" t="s">
        <v>1313</v>
      </c>
    </row>
    <row r="435" spans="1:6" ht="48">
      <c r="A435" s="405" t="s">
        <v>2717</v>
      </c>
      <c r="B435" s="384" t="s">
        <v>88</v>
      </c>
      <c r="C435" s="384" t="s">
        <v>1238</v>
      </c>
      <c r="D435" s="385" t="s">
        <v>2718</v>
      </c>
      <c r="E435" s="390" t="s">
        <v>1239</v>
      </c>
      <c r="F435" s="396" t="s">
        <v>1313</v>
      </c>
    </row>
    <row r="436" spans="1:6" ht="72">
      <c r="A436" s="405" t="s">
        <v>2715</v>
      </c>
      <c r="B436" s="384" t="s">
        <v>88</v>
      </c>
      <c r="C436" s="384" t="s">
        <v>1277</v>
      </c>
      <c r="D436" s="385" t="s">
        <v>2716</v>
      </c>
      <c r="E436" s="390" t="s">
        <v>1239</v>
      </c>
      <c r="F436" s="396" t="s">
        <v>1313</v>
      </c>
    </row>
    <row r="437" spans="1:6" ht="72">
      <c r="A437" s="405" t="s">
        <v>2709</v>
      </c>
      <c r="B437" s="384" t="s">
        <v>88</v>
      </c>
      <c r="C437" s="384" t="s">
        <v>1255</v>
      </c>
      <c r="D437" s="385" t="s">
        <v>2710</v>
      </c>
      <c r="E437" s="390" t="s">
        <v>1239</v>
      </c>
      <c r="F437" s="396" t="s">
        <v>1313</v>
      </c>
    </row>
    <row r="438" spans="1:6" ht="72">
      <c r="A438" s="405" t="s">
        <v>2707</v>
      </c>
      <c r="B438" s="384" t="s">
        <v>88</v>
      </c>
      <c r="C438" s="384" t="s">
        <v>1255</v>
      </c>
      <c r="D438" s="385" t="s">
        <v>2708</v>
      </c>
      <c r="E438" s="390" t="s">
        <v>1239</v>
      </c>
      <c r="F438" s="396" t="s">
        <v>1313</v>
      </c>
    </row>
    <row r="439" spans="1:6" ht="48">
      <c r="A439" s="405" t="s">
        <v>2705</v>
      </c>
      <c r="B439" s="384" t="s">
        <v>23</v>
      </c>
      <c r="C439" s="384" t="s">
        <v>1238</v>
      </c>
      <c r="D439" s="385" t="s">
        <v>2706</v>
      </c>
      <c r="E439" s="390" t="s">
        <v>1239</v>
      </c>
      <c r="F439" s="396" t="s">
        <v>1313</v>
      </c>
    </row>
    <row r="440" spans="1:6" ht="72">
      <c r="A440" s="405" t="s">
        <v>2701</v>
      </c>
      <c r="B440" s="384" t="s">
        <v>88</v>
      </c>
      <c r="C440" s="384" t="s">
        <v>1277</v>
      </c>
      <c r="D440" s="385" t="s">
        <v>2704</v>
      </c>
      <c r="E440" s="390" t="s">
        <v>1239</v>
      </c>
      <c r="F440" s="396" t="s">
        <v>1313</v>
      </c>
    </row>
    <row r="441" spans="1:6" ht="72">
      <c r="A441" s="405" t="s">
        <v>2701</v>
      </c>
      <c r="B441" s="384" t="s">
        <v>88</v>
      </c>
      <c r="C441" s="384" t="s">
        <v>1277</v>
      </c>
      <c r="D441" s="385" t="s">
        <v>2703</v>
      </c>
      <c r="E441" s="390" t="s">
        <v>1239</v>
      </c>
      <c r="F441" s="396" t="s">
        <v>1313</v>
      </c>
    </row>
    <row r="442" spans="1:6" ht="72">
      <c r="A442" s="405" t="s">
        <v>2701</v>
      </c>
      <c r="B442" s="384" t="s">
        <v>88</v>
      </c>
      <c r="C442" s="384" t="s">
        <v>1277</v>
      </c>
      <c r="D442" s="385" t="s">
        <v>2702</v>
      </c>
      <c r="E442" s="390" t="s">
        <v>1239</v>
      </c>
      <c r="F442" s="396" t="s">
        <v>1313</v>
      </c>
    </row>
    <row r="443" spans="1:6" ht="72">
      <c r="A443" s="405" t="s">
        <v>2696</v>
      </c>
      <c r="B443" s="384" t="s">
        <v>1076</v>
      </c>
      <c r="C443" s="384" t="s">
        <v>1277</v>
      </c>
      <c r="D443" s="385" t="s">
        <v>2692</v>
      </c>
      <c r="E443" s="390" t="s">
        <v>1239</v>
      </c>
      <c r="F443" s="396" t="s">
        <v>1313</v>
      </c>
    </row>
    <row r="444" spans="1:6" ht="72">
      <c r="A444" s="405" t="s">
        <v>2696</v>
      </c>
      <c r="B444" s="384" t="s">
        <v>1076</v>
      </c>
      <c r="C444" s="384" t="s">
        <v>1277</v>
      </c>
      <c r="D444" s="385" t="s">
        <v>2691</v>
      </c>
      <c r="E444" s="390" t="s">
        <v>1239</v>
      </c>
      <c r="F444" s="396" t="s">
        <v>1313</v>
      </c>
    </row>
    <row r="445" spans="1:6" ht="72">
      <c r="A445" s="405" t="s">
        <v>2696</v>
      </c>
      <c r="B445" s="384" t="s">
        <v>1076</v>
      </c>
      <c r="C445" s="384" t="s">
        <v>1277</v>
      </c>
      <c r="D445" s="385" t="s">
        <v>2501</v>
      </c>
      <c r="E445" s="390" t="s">
        <v>1239</v>
      </c>
      <c r="F445" s="396" t="s">
        <v>1313</v>
      </c>
    </row>
    <row r="446" spans="1:6" ht="72">
      <c r="A446" s="405" t="s">
        <v>2693</v>
      </c>
      <c r="B446" s="384" t="s">
        <v>23</v>
      </c>
      <c r="C446" s="384" t="s">
        <v>1277</v>
      </c>
      <c r="D446" s="385" t="s">
        <v>2695</v>
      </c>
      <c r="E446" s="390" t="s">
        <v>1239</v>
      </c>
      <c r="F446" s="396" t="s">
        <v>1313</v>
      </c>
    </row>
    <row r="447" spans="1:6" ht="48">
      <c r="A447" s="405" t="s">
        <v>2693</v>
      </c>
      <c r="B447" s="384" t="s">
        <v>23</v>
      </c>
      <c r="C447" s="384" t="s">
        <v>1277</v>
      </c>
      <c r="D447" s="385" t="s">
        <v>2694</v>
      </c>
      <c r="E447" s="390" t="s">
        <v>1239</v>
      </c>
      <c r="F447" s="396" t="s">
        <v>1313</v>
      </c>
    </row>
    <row r="448" spans="1:6" ht="72">
      <c r="A448" s="405" t="s">
        <v>2690</v>
      </c>
      <c r="B448" s="384" t="s">
        <v>1076</v>
      </c>
      <c r="C448" s="384" t="s">
        <v>1277</v>
      </c>
      <c r="D448" s="385" t="s">
        <v>2463</v>
      </c>
      <c r="E448" s="390" t="s">
        <v>1239</v>
      </c>
      <c r="F448" s="396" t="s">
        <v>1313</v>
      </c>
    </row>
    <row r="449" spans="1:6" ht="72">
      <c r="A449" s="405" t="s">
        <v>2690</v>
      </c>
      <c r="B449" s="384" t="s">
        <v>1076</v>
      </c>
      <c r="C449" s="384" t="s">
        <v>1277</v>
      </c>
      <c r="D449" s="385" t="s">
        <v>2692</v>
      </c>
      <c r="E449" s="390" t="s">
        <v>1239</v>
      </c>
      <c r="F449" s="396" t="s">
        <v>1313</v>
      </c>
    </row>
    <row r="450" spans="1:6" ht="72">
      <c r="A450" s="405" t="s">
        <v>2690</v>
      </c>
      <c r="B450" s="384" t="s">
        <v>1076</v>
      </c>
      <c r="C450" s="384" t="s">
        <v>1277</v>
      </c>
      <c r="D450" s="385" t="s">
        <v>2691</v>
      </c>
      <c r="E450" s="390" t="s">
        <v>1239</v>
      </c>
      <c r="F450" s="396" t="s">
        <v>1313</v>
      </c>
    </row>
    <row r="451" spans="1:6" ht="72">
      <c r="A451" s="405" t="s">
        <v>2686</v>
      </c>
      <c r="B451" s="384" t="s">
        <v>88</v>
      </c>
      <c r="C451" s="384" t="s">
        <v>1255</v>
      </c>
      <c r="D451" s="385" t="s">
        <v>2688</v>
      </c>
      <c r="E451" s="390" t="s">
        <v>1239</v>
      </c>
      <c r="F451" s="396" t="s">
        <v>1313</v>
      </c>
    </row>
    <row r="452" spans="1:6" ht="72">
      <c r="A452" s="405" t="s">
        <v>2686</v>
      </c>
      <c r="B452" s="384" t="s">
        <v>88</v>
      </c>
      <c r="C452" s="384" t="s">
        <v>1255</v>
      </c>
      <c r="D452" s="385" t="s">
        <v>2687</v>
      </c>
      <c r="E452" s="390" t="s">
        <v>1239</v>
      </c>
      <c r="F452" s="396" t="s">
        <v>1313</v>
      </c>
    </row>
    <row r="453" spans="1:6" ht="72">
      <c r="A453" s="405" t="s">
        <v>2684</v>
      </c>
      <c r="B453" s="384" t="s">
        <v>23</v>
      </c>
      <c r="C453" s="384" t="s">
        <v>1255</v>
      </c>
      <c r="D453" s="385" t="s">
        <v>2685</v>
      </c>
      <c r="E453" s="390" t="s">
        <v>1239</v>
      </c>
      <c r="F453" s="396" t="s">
        <v>1313</v>
      </c>
    </row>
    <row r="454" spans="1:6" ht="72">
      <c r="A454" s="405" t="s">
        <v>2682</v>
      </c>
      <c r="B454" s="384" t="s">
        <v>88</v>
      </c>
      <c r="C454" s="384" t="s">
        <v>1255</v>
      </c>
      <c r="D454" s="385" t="s">
        <v>2683</v>
      </c>
      <c r="E454" s="390" t="s">
        <v>1239</v>
      </c>
      <c r="F454" s="396" t="s">
        <v>1313</v>
      </c>
    </row>
    <row r="455" spans="1:6" ht="48">
      <c r="A455" s="405">
        <v>45994.634027777778</v>
      </c>
      <c r="B455" s="384" t="s">
        <v>23</v>
      </c>
      <c r="C455" s="384" t="s">
        <v>1238</v>
      </c>
      <c r="D455" s="385" t="s">
        <v>2681</v>
      </c>
      <c r="E455" s="390" t="s">
        <v>1239</v>
      </c>
      <c r="F455" s="396" t="s">
        <v>1313</v>
      </c>
    </row>
    <row r="456" spans="1:6" ht="48">
      <c r="A456" s="405">
        <v>45994.633333333331</v>
      </c>
      <c r="B456" s="384" t="s">
        <v>23</v>
      </c>
      <c r="C456" s="384" t="s">
        <v>1277</v>
      </c>
      <c r="D456" s="385" t="s">
        <v>2680</v>
      </c>
      <c r="E456" s="390" t="s">
        <v>1239</v>
      </c>
      <c r="F456" s="396" t="s">
        <v>1313</v>
      </c>
    </row>
    <row r="457" spans="1:6" ht="72">
      <c r="A457" s="405">
        <v>45964.291666666664</v>
      </c>
      <c r="B457" s="384" t="s">
        <v>88</v>
      </c>
      <c r="C457" s="384" t="s">
        <v>1277</v>
      </c>
      <c r="D457" s="385" t="s">
        <v>2679</v>
      </c>
      <c r="E457" s="390" t="s">
        <v>1239</v>
      </c>
      <c r="F457" s="396" t="s">
        <v>1313</v>
      </c>
    </row>
    <row r="458" spans="1:6" ht="72">
      <c r="A458" s="405">
        <v>45933.393055555556</v>
      </c>
      <c r="B458" s="384" t="s">
        <v>23</v>
      </c>
      <c r="C458" s="384" t="s">
        <v>1255</v>
      </c>
      <c r="D458" s="385" t="s">
        <v>2677</v>
      </c>
      <c r="E458" s="390" t="s">
        <v>1239</v>
      </c>
      <c r="F458" s="396" t="s">
        <v>1313</v>
      </c>
    </row>
    <row r="459" spans="1:6" ht="72">
      <c r="A459" s="405">
        <v>45933.387499999997</v>
      </c>
      <c r="B459" s="384" t="s">
        <v>1076</v>
      </c>
      <c r="C459" s="384" t="s">
        <v>1277</v>
      </c>
      <c r="D459" s="385" t="s">
        <v>2468</v>
      </c>
      <c r="E459" s="390" t="s">
        <v>1239</v>
      </c>
      <c r="F459" s="396" t="s">
        <v>1313</v>
      </c>
    </row>
    <row r="460" spans="1:6" ht="72">
      <c r="A460" s="405">
        <v>45933.387499999997</v>
      </c>
      <c r="B460" s="384" t="s">
        <v>1076</v>
      </c>
      <c r="C460" s="384" t="s">
        <v>1277</v>
      </c>
      <c r="D460" s="385" t="s">
        <v>2235</v>
      </c>
      <c r="E460" s="390" t="s">
        <v>1239</v>
      </c>
      <c r="F460" s="396" t="s">
        <v>1313</v>
      </c>
    </row>
    <row r="461" spans="1:6" ht="72">
      <c r="A461" s="405">
        <v>45933.387499999997</v>
      </c>
      <c r="B461" s="384" t="s">
        <v>1076</v>
      </c>
      <c r="C461" s="384" t="s">
        <v>1277</v>
      </c>
      <c r="D461" s="385" t="s">
        <v>2234</v>
      </c>
      <c r="E461" s="390" t="s">
        <v>1239</v>
      </c>
      <c r="F461" s="396" t="s">
        <v>1313</v>
      </c>
    </row>
    <row r="462" spans="1:6" ht="72">
      <c r="A462" s="405">
        <v>45933.387499999997</v>
      </c>
      <c r="B462" s="384" t="s">
        <v>1076</v>
      </c>
      <c r="C462" s="384" t="s">
        <v>1277</v>
      </c>
      <c r="D462" s="385" t="s">
        <v>2233</v>
      </c>
      <c r="E462" s="390" t="s">
        <v>1239</v>
      </c>
      <c r="F462" s="396" t="s">
        <v>1313</v>
      </c>
    </row>
    <row r="463" spans="1:6" ht="72">
      <c r="A463" s="405">
        <v>45933.387499999997</v>
      </c>
      <c r="B463" s="384" t="s">
        <v>1076</v>
      </c>
      <c r="C463" s="384" t="s">
        <v>1277</v>
      </c>
      <c r="D463" s="385" t="s">
        <v>2232</v>
      </c>
      <c r="E463" s="390" t="s">
        <v>1239</v>
      </c>
      <c r="F463" s="396" t="s">
        <v>1313</v>
      </c>
    </row>
    <row r="464" spans="1:6" ht="72">
      <c r="A464" s="405">
        <v>45933.387499999997</v>
      </c>
      <c r="B464" s="384" t="s">
        <v>1076</v>
      </c>
      <c r="C464" s="384" t="s">
        <v>1277</v>
      </c>
      <c r="D464" s="385" t="s">
        <v>2231</v>
      </c>
      <c r="E464" s="390" t="s">
        <v>1239</v>
      </c>
      <c r="F464" s="396" t="s">
        <v>1313</v>
      </c>
    </row>
    <row r="465" spans="1:6" ht="72">
      <c r="A465" s="405">
        <v>45933.387499999997</v>
      </c>
      <c r="B465" s="384" t="s">
        <v>1076</v>
      </c>
      <c r="C465" s="384" t="s">
        <v>1277</v>
      </c>
      <c r="D465" s="385" t="s">
        <v>2230</v>
      </c>
      <c r="E465" s="390" t="s">
        <v>1239</v>
      </c>
      <c r="F465" s="396" t="s">
        <v>1313</v>
      </c>
    </row>
    <row r="466" spans="1:6" ht="72">
      <c r="A466" s="405">
        <v>45933.387499999997</v>
      </c>
      <c r="B466" s="384" t="s">
        <v>1076</v>
      </c>
      <c r="C466" s="384" t="s">
        <v>1277</v>
      </c>
      <c r="D466" s="385" t="s">
        <v>2229</v>
      </c>
      <c r="E466" s="390" t="s">
        <v>1239</v>
      </c>
      <c r="F466" s="396" t="s">
        <v>1313</v>
      </c>
    </row>
    <row r="467" spans="1:6" ht="72">
      <c r="A467" s="405">
        <v>45933.387499999997</v>
      </c>
      <c r="B467" s="384" t="s">
        <v>1076</v>
      </c>
      <c r="C467" s="384" t="s">
        <v>1277</v>
      </c>
      <c r="D467" s="385" t="s">
        <v>2467</v>
      </c>
      <c r="E467" s="390" t="s">
        <v>1239</v>
      </c>
      <c r="F467" s="396" t="s">
        <v>1313</v>
      </c>
    </row>
    <row r="468" spans="1:6" ht="72">
      <c r="A468" s="405">
        <v>45933.387499999997</v>
      </c>
      <c r="B468" s="384" t="s">
        <v>1076</v>
      </c>
      <c r="C468" s="384" t="s">
        <v>1277</v>
      </c>
      <c r="D468" s="385" t="s">
        <v>2466</v>
      </c>
      <c r="E468" s="390" t="s">
        <v>1239</v>
      </c>
      <c r="F468" s="396" t="s">
        <v>1313</v>
      </c>
    </row>
    <row r="469" spans="1:6" ht="72">
      <c r="A469" s="405">
        <v>45933.387499999997</v>
      </c>
      <c r="B469" s="384" t="s">
        <v>1076</v>
      </c>
      <c r="C469" s="384" t="s">
        <v>1277</v>
      </c>
      <c r="D469" s="385" t="s">
        <v>2228</v>
      </c>
      <c r="E469" s="390" t="s">
        <v>1239</v>
      </c>
      <c r="F469" s="396" t="s">
        <v>1313</v>
      </c>
    </row>
    <row r="470" spans="1:6" ht="72">
      <c r="A470" s="405">
        <v>45933.387499999997</v>
      </c>
      <c r="B470" s="384" t="s">
        <v>1076</v>
      </c>
      <c r="C470" s="384" t="s">
        <v>1277</v>
      </c>
      <c r="D470" s="385" t="s">
        <v>2227</v>
      </c>
      <c r="E470" s="390" t="s">
        <v>1239</v>
      </c>
      <c r="F470" s="396" t="s">
        <v>1313</v>
      </c>
    </row>
    <row r="471" spans="1:6" ht="72">
      <c r="A471" s="405">
        <v>45933.387499999997</v>
      </c>
      <c r="B471" s="384" t="s">
        <v>1076</v>
      </c>
      <c r="C471" s="384" t="s">
        <v>1277</v>
      </c>
      <c r="D471" s="385" t="s">
        <v>2226</v>
      </c>
      <c r="E471" s="390" t="s">
        <v>1239</v>
      </c>
      <c r="F471" s="396" t="s">
        <v>1313</v>
      </c>
    </row>
    <row r="472" spans="1:6" ht="72">
      <c r="A472" s="405">
        <v>45933.387499999997</v>
      </c>
      <c r="B472" s="384" t="s">
        <v>1076</v>
      </c>
      <c r="C472" s="384" t="s">
        <v>1277</v>
      </c>
      <c r="D472" s="385" t="s">
        <v>2465</v>
      </c>
      <c r="E472" s="390" t="s">
        <v>1239</v>
      </c>
      <c r="F472" s="396" t="s">
        <v>1313</v>
      </c>
    </row>
    <row r="473" spans="1:6" ht="72">
      <c r="A473" s="405">
        <v>45933.387499999997</v>
      </c>
      <c r="B473" s="384" t="s">
        <v>1076</v>
      </c>
      <c r="C473" s="384" t="s">
        <v>1277</v>
      </c>
      <c r="D473" s="385" t="s">
        <v>2464</v>
      </c>
      <c r="E473" s="390" t="s">
        <v>1239</v>
      </c>
      <c r="F473" s="396" t="s">
        <v>1313</v>
      </c>
    </row>
    <row r="474" spans="1:6" ht="72">
      <c r="A474" s="405">
        <v>45933.387499999997</v>
      </c>
      <c r="B474" s="384" t="s">
        <v>1076</v>
      </c>
      <c r="C474" s="384" t="s">
        <v>1277</v>
      </c>
      <c r="D474" s="385" t="s">
        <v>2224</v>
      </c>
      <c r="E474" s="390" t="s">
        <v>1239</v>
      </c>
      <c r="F474" s="396" t="s">
        <v>1313</v>
      </c>
    </row>
    <row r="475" spans="1:6" ht="72">
      <c r="A475" s="405">
        <v>45933.387499999997</v>
      </c>
      <c r="B475" s="384" t="s">
        <v>1076</v>
      </c>
      <c r="C475" s="384" t="s">
        <v>1277</v>
      </c>
      <c r="D475" s="385" t="s">
        <v>2223</v>
      </c>
      <c r="E475" s="390" t="s">
        <v>1239</v>
      </c>
      <c r="F475" s="396" t="s">
        <v>1313</v>
      </c>
    </row>
    <row r="476" spans="1:6" ht="72">
      <c r="A476" s="405">
        <v>45933.387499999997</v>
      </c>
      <c r="B476" s="384" t="s">
        <v>1076</v>
      </c>
      <c r="C476" s="384" t="s">
        <v>1277</v>
      </c>
      <c r="D476" s="385" t="s">
        <v>2463</v>
      </c>
      <c r="E476" s="390" t="s">
        <v>1239</v>
      </c>
      <c r="F476" s="396" t="s">
        <v>1313</v>
      </c>
    </row>
    <row r="477" spans="1:6" ht="72">
      <c r="A477" s="405">
        <v>45933.387499999997</v>
      </c>
      <c r="B477" s="384" t="s">
        <v>1076</v>
      </c>
      <c r="C477" s="384" t="s">
        <v>1277</v>
      </c>
      <c r="D477" s="385" t="s">
        <v>2221</v>
      </c>
      <c r="E477" s="390" t="s">
        <v>1239</v>
      </c>
      <c r="F477" s="396" t="s">
        <v>1313</v>
      </c>
    </row>
    <row r="478" spans="1:6" ht="72">
      <c r="A478" s="405">
        <v>45933.387499999997</v>
      </c>
      <c r="B478" s="384" t="s">
        <v>1076</v>
      </c>
      <c r="C478" s="384" t="s">
        <v>1277</v>
      </c>
      <c r="D478" s="385" t="s">
        <v>2220</v>
      </c>
      <c r="E478" s="390" t="s">
        <v>1239</v>
      </c>
      <c r="F478" s="396" t="s">
        <v>1313</v>
      </c>
    </row>
    <row r="479" spans="1:6" ht="72">
      <c r="A479" s="405">
        <v>45933.387499999997</v>
      </c>
      <c r="B479" s="384" t="s">
        <v>1076</v>
      </c>
      <c r="C479" s="384" t="s">
        <v>1277</v>
      </c>
      <c r="D479" s="385" t="s">
        <v>2462</v>
      </c>
      <c r="E479" s="390" t="s">
        <v>1239</v>
      </c>
      <c r="F479" s="396" t="s">
        <v>1313</v>
      </c>
    </row>
    <row r="480" spans="1:6" ht="72">
      <c r="A480" s="405">
        <v>45933.387499999997</v>
      </c>
      <c r="B480" s="384" t="s">
        <v>1076</v>
      </c>
      <c r="C480" s="384" t="s">
        <v>1277</v>
      </c>
      <c r="D480" s="385" t="s">
        <v>2219</v>
      </c>
      <c r="E480" s="390" t="s">
        <v>1239</v>
      </c>
      <c r="F480" s="396" t="s">
        <v>1313</v>
      </c>
    </row>
    <row r="481" spans="1:6" ht="72">
      <c r="A481" s="405">
        <v>45933.387499999997</v>
      </c>
      <c r="B481" s="384" t="s">
        <v>1076</v>
      </c>
      <c r="C481" s="384" t="s">
        <v>1277</v>
      </c>
      <c r="D481" s="385" t="s">
        <v>2461</v>
      </c>
      <c r="E481" s="390" t="s">
        <v>1239</v>
      </c>
      <c r="F481" s="396" t="s">
        <v>1313</v>
      </c>
    </row>
    <row r="482" spans="1:6" ht="72">
      <c r="A482" s="405">
        <v>45933.387499999997</v>
      </c>
      <c r="B482" s="384" t="s">
        <v>1076</v>
      </c>
      <c r="C482" s="384" t="s">
        <v>1277</v>
      </c>
      <c r="D482" s="385" t="s">
        <v>2217</v>
      </c>
      <c r="E482" s="390" t="s">
        <v>1239</v>
      </c>
      <c r="F482" s="396" t="s">
        <v>1313</v>
      </c>
    </row>
    <row r="483" spans="1:6" ht="72">
      <c r="A483" s="405">
        <v>45933.387499999997</v>
      </c>
      <c r="B483" s="384" t="s">
        <v>1076</v>
      </c>
      <c r="C483" s="384" t="s">
        <v>1277</v>
      </c>
      <c r="D483" s="385" t="s">
        <v>2460</v>
      </c>
      <c r="E483" s="390" t="s">
        <v>1239</v>
      </c>
      <c r="F483" s="396" t="s">
        <v>1313</v>
      </c>
    </row>
    <row r="484" spans="1:6" ht="72">
      <c r="A484" s="405">
        <v>45933.387499999997</v>
      </c>
      <c r="B484" s="384" t="s">
        <v>1076</v>
      </c>
      <c r="C484" s="384" t="s">
        <v>1277</v>
      </c>
      <c r="D484" s="385" t="s">
        <v>2459</v>
      </c>
      <c r="E484" s="390" t="s">
        <v>1239</v>
      </c>
      <c r="F484" s="396" t="s">
        <v>1313</v>
      </c>
    </row>
    <row r="485" spans="1:6" ht="72">
      <c r="A485" s="405">
        <v>45933.387499999997</v>
      </c>
      <c r="B485" s="384" t="s">
        <v>1076</v>
      </c>
      <c r="C485" s="384" t="s">
        <v>1277</v>
      </c>
      <c r="D485" s="385" t="s">
        <v>2215</v>
      </c>
      <c r="E485" s="390" t="s">
        <v>1239</v>
      </c>
      <c r="F485" s="396" t="s">
        <v>1313</v>
      </c>
    </row>
    <row r="486" spans="1:6" ht="72">
      <c r="A486" s="405">
        <v>45933.387499999997</v>
      </c>
      <c r="B486" s="384" t="s">
        <v>1076</v>
      </c>
      <c r="C486" s="384" t="s">
        <v>1277</v>
      </c>
      <c r="D486" s="385" t="s">
        <v>2214</v>
      </c>
      <c r="E486" s="390" t="s">
        <v>1239</v>
      </c>
      <c r="F486" s="396" t="s">
        <v>1313</v>
      </c>
    </row>
    <row r="487" spans="1:6" ht="72">
      <c r="A487" s="405">
        <v>45933.387499999997</v>
      </c>
      <c r="B487" s="384" t="s">
        <v>1076</v>
      </c>
      <c r="C487" s="384" t="s">
        <v>1277</v>
      </c>
      <c r="D487" s="385" t="s">
        <v>2213</v>
      </c>
      <c r="E487" s="390" t="s">
        <v>1239</v>
      </c>
      <c r="F487" s="396" t="s">
        <v>1313</v>
      </c>
    </row>
    <row r="488" spans="1:6" ht="72">
      <c r="A488" s="405">
        <v>45933.387499999997</v>
      </c>
      <c r="B488" s="384" t="s">
        <v>1076</v>
      </c>
      <c r="C488" s="384" t="s">
        <v>1277</v>
      </c>
      <c r="D488" s="385" t="s">
        <v>2212</v>
      </c>
      <c r="E488" s="390" t="s">
        <v>1239</v>
      </c>
      <c r="F488" s="396" t="s">
        <v>1313</v>
      </c>
    </row>
    <row r="489" spans="1:6" ht="72">
      <c r="A489" s="405">
        <v>45933.387499999997</v>
      </c>
      <c r="B489" s="384" t="s">
        <v>1076</v>
      </c>
      <c r="C489" s="384" t="s">
        <v>1277</v>
      </c>
      <c r="D489" s="385" t="s">
        <v>2211</v>
      </c>
      <c r="E489" s="390" t="s">
        <v>1239</v>
      </c>
      <c r="F489" s="396" t="s">
        <v>1313</v>
      </c>
    </row>
    <row r="490" spans="1:6" ht="72">
      <c r="A490" s="405">
        <v>45933.387499999997</v>
      </c>
      <c r="B490" s="384" t="s">
        <v>1076</v>
      </c>
      <c r="C490" s="384" t="s">
        <v>1277</v>
      </c>
      <c r="D490" s="385" t="s">
        <v>2210</v>
      </c>
      <c r="E490" s="390" t="s">
        <v>1239</v>
      </c>
      <c r="F490" s="396" t="s">
        <v>1313</v>
      </c>
    </row>
    <row r="491" spans="1:6" ht="72">
      <c r="A491" s="405">
        <v>45933.387499999997</v>
      </c>
      <c r="B491" s="384" t="s">
        <v>1076</v>
      </c>
      <c r="C491" s="384" t="s">
        <v>1277</v>
      </c>
      <c r="D491" s="385" t="s">
        <v>2676</v>
      </c>
      <c r="E491" s="390" t="s">
        <v>1239</v>
      </c>
      <c r="F491" s="396" t="s">
        <v>1313</v>
      </c>
    </row>
    <row r="492" spans="1:6" ht="72">
      <c r="A492" s="405">
        <v>45933.387499999997</v>
      </c>
      <c r="B492" s="384" t="s">
        <v>1076</v>
      </c>
      <c r="C492" s="384" t="s">
        <v>1277</v>
      </c>
      <c r="D492" s="385" t="s">
        <v>2208</v>
      </c>
      <c r="E492" s="390" t="s">
        <v>1239</v>
      </c>
      <c r="F492" s="396" t="s">
        <v>1313</v>
      </c>
    </row>
    <row r="493" spans="1:6" ht="72">
      <c r="A493" s="405">
        <v>45933.387499999997</v>
      </c>
      <c r="B493" s="384" t="s">
        <v>1076</v>
      </c>
      <c r="C493" s="384" t="s">
        <v>1277</v>
      </c>
      <c r="D493" s="385" t="s">
        <v>2207</v>
      </c>
      <c r="E493" s="390" t="s">
        <v>1239</v>
      </c>
      <c r="F493" s="396" t="s">
        <v>1313</v>
      </c>
    </row>
    <row r="494" spans="1:6" ht="72">
      <c r="A494" s="405">
        <v>45933.387499999997</v>
      </c>
      <c r="B494" s="384" t="s">
        <v>1076</v>
      </c>
      <c r="C494" s="384" t="s">
        <v>1277</v>
      </c>
      <c r="D494" s="385" t="s">
        <v>2206</v>
      </c>
      <c r="E494" s="390" t="s">
        <v>1239</v>
      </c>
      <c r="F494" s="396" t="s">
        <v>1313</v>
      </c>
    </row>
    <row r="495" spans="1:6" ht="72">
      <c r="A495" s="405">
        <v>45933.387499999997</v>
      </c>
      <c r="B495" s="384" t="s">
        <v>1076</v>
      </c>
      <c r="C495" s="384" t="s">
        <v>1277</v>
      </c>
      <c r="D495" s="385" t="s">
        <v>2456</v>
      </c>
      <c r="E495" s="390" t="s">
        <v>1239</v>
      </c>
      <c r="F495" s="396" t="s">
        <v>1313</v>
      </c>
    </row>
    <row r="496" spans="1:6" ht="72">
      <c r="A496" s="405">
        <v>45933.387499999997</v>
      </c>
      <c r="B496" s="384" t="s">
        <v>1076</v>
      </c>
      <c r="C496" s="384" t="s">
        <v>1277</v>
      </c>
      <c r="D496" s="385" t="s">
        <v>2205</v>
      </c>
      <c r="E496" s="390" t="s">
        <v>1239</v>
      </c>
      <c r="F496" s="396" t="s">
        <v>1313</v>
      </c>
    </row>
    <row r="497" spans="1:6" ht="72">
      <c r="A497" s="405">
        <v>45933.387499999997</v>
      </c>
      <c r="B497" s="384" t="s">
        <v>1076</v>
      </c>
      <c r="C497" s="384" t="s">
        <v>1277</v>
      </c>
      <c r="D497" s="385" t="s">
        <v>2203</v>
      </c>
      <c r="E497" s="390" t="s">
        <v>1239</v>
      </c>
      <c r="F497" s="396" t="s">
        <v>1313</v>
      </c>
    </row>
    <row r="498" spans="1:6" ht="72">
      <c r="A498" s="405">
        <v>45933.387499999997</v>
      </c>
      <c r="B498" s="384" t="s">
        <v>1076</v>
      </c>
      <c r="C498" s="384" t="s">
        <v>1277</v>
      </c>
      <c r="D498" s="385" t="s">
        <v>2204</v>
      </c>
      <c r="E498" s="390" t="s">
        <v>1239</v>
      </c>
      <c r="F498" s="396" t="s">
        <v>1313</v>
      </c>
    </row>
    <row r="499" spans="1:6" ht="72">
      <c r="A499" s="405">
        <v>45933.387499999997</v>
      </c>
      <c r="B499" s="384" t="s">
        <v>1076</v>
      </c>
      <c r="C499" s="384" t="s">
        <v>1277</v>
      </c>
      <c r="D499" s="385" t="s">
        <v>2202</v>
      </c>
      <c r="E499" s="390" t="s">
        <v>1239</v>
      </c>
      <c r="F499" s="396" t="s">
        <v>1313</v>
      </c>
    </row>
    <row r="500" spans="1:6" ht="72">
      <c r="A500" s="405">
        <v>45933.387499999997</v>
      </c>
      <c r="B500" s="384" t="s">
        <v>1076</v>
      </c>
      <c r="C500" s="384" t="s">
        <v>1277</v>
      </c>
      <c r="D500" s="385" t="s">
        <v>2201</v>
      </c>
      <c r="E500" s="390" t="s">
        <v>1239</v>
      </c>
      <c r="F500" s="396" t="s">
        <v>1313</v>
      </c>
    </row>
    <row r="501" spans="1:6" ht="72">
      <c r="A501" s="405">
        <v>45933.387499999997</v>
      </c>
      <c r="B501" s="384" t="s">
        <v>1076</v>
      </c>
      <c r="C501" s="384" t="s">
        <v>1277</v>
      </c>
      <c r="D501" s="385" t="s">
        <v>2455</v>
      </c>
      <c r="E501" s="390" t="s">
        <v>1239</v>
      </c>
      <c r="F501" s="396" t="s">
        <v>1313</v>
      </c>
    </row>
    <row r="502" spans="1:6" ht="72">
      <c r="A502" s="405">
        <v>45933.387499999997</v>
      </c>
      <c r="B502" s="384" t="s">
        <v>1076</v>
      </c>
      <c r="C502" s="384" t="s">
        <v>1277</v>
      </c>
      <c r="D502" s="385" t="s">
        <v>2199</v>
      </c>
      <c r="E502" s="390" t="s">
        <v>1239</v>
      </c>
      <c r="F502" s="396" t="s">
        <v>1313</v>
      </c>
    </row>
    <row r="503" spans="1:6" ht="72">
      <c r="A503" s="405">
        <v>45933.387499999997</v>
      </c>
      <c r="B503" s="384" t="s">
        <v>1076</v>
      </c>
      <c r="C503" s="384" t="s">
        <v>1277</v>
      </c>
      <c r="D503" s="385" t="s">
        <v>2198</v>
      </c>
      <c r="E503" s="390" t="s">
        <v>1239</v>
      </c>
      <c r="F503" s="396" t="s">
        <v>1313</v>
      </c>
    </row>
    <row r="504" spans="1:6" ht="72">
      <c r="A504" s="405">
        <v>45933.387499999997</v>
      </c>
      <c r="B504" s="384" t="s">
        <v>1076</v>
      </c>
      <c r="C504" s="384" t="s">
        <v>1277</v>
      </c>
      <c r="D504" s="385" t="s">
        <v>2197</v>
      </c>
      <c r="E504" s="390" t="s">
        <v>1239</v>
      </c>
      <c r="F504" s="396" t="s">
        <v>1313</v>
      </c>
    </row>
    <row r="505" spans="1:6" ht="72">
      <c r="A505" s="405">
        <v>45933.387499999997</v>
      </c>
      <c r="B505" s="384" t="s">
        <v>1076</v>
      </c>
      <c r="C505" s="384" t="s">
        <v>1277</v>
      </c>
      <c r="D505" s="385" t="s">
        <v>2196</v>
      </c>
      <c r="E505" s="390" t="s">
        <v>1239</v>
      </c>
      <c r="F505" s="396" t="s">
        <v>1313</v>
      </c>
    </row>
    <row r="506" spans="1:6" ht="72">
      <c r="A506" s="405">
        <v>45933.387499999997</v>
      </c>
      <c r="B506" s="384" t="s">
        <v>1076</v>
      </c>
      <c r="C506" s="384" t="s">
        <v>1277</v>
      </c>
      <c r="D506" s="385" t="s">
        <v>2194</v>
      </c>
      <c r="E506" s="390" t="s">
        <v>1239</v>
      </c>
      <c r="F506" s="396" t="s">
        <v>1313</v>
      </c>
    </row>
    <row r="507" spans="1:6" ht="72">
      <c r="A507" s="405">
        <v>45933.387499999997</v>
      </c>
      <c r="B507" s="384" t="s">
        <v>1076</v>
      </c>
      <c r="C507" s="384" t="s">
        <v>1277</v>
      </c>
      <c r="D507" s="385" t="s">
        <v>2193</v>
      </c>
      <c r="E507" s="390" t="s">
        <v>1239</v>
      </c>
      <c r="F507" s="396" t="s">
        <v>1313</v>
      </c>
    </row>
    <row r="508" spans="1:6" ht="72">
      <c r="A508" s="405">
        <v>45933.387499999997</v>
      </c>
      <c r="B508" s="384" t="s">
        <v>1076</v>
      </c>
      <c r="C508" s="384" t="s">
        <v>1277</v>
      </c>
      <c r="D508" s="385" t="s">
        <v>2192</v>
      </c>
      <c r="E508" s="390" t="s">
        <v>1239</v>
      </c>
      <c r="F508" s="396" t="s">
        <v>1313</v>
      </c>
    </row>
    <row r="509" spans="1:6" ht="72">
      <c r="A509" s="405">
        <v>45933.387499999997</v>
      </c>
      <c r="B509" s="384" t="s">
        <v>1076</v>
      </c>
      <c r="C509" s="384" t="s">
        <v>1277</v>
      </c>
      <c r="D509" s="385" t="s">
        <v>2454</v>
      </c>
      <c r="E509" s="390" t="s">
        <v>1239</v>
      </c>
      <c r="F509" s="396" t="s">
        <v>1313</v>
      </c>
    </row>
    <row r="510" spans="1:6" ht="72">
      <c r="A510" s="405">
        <v>45933.387499999997</v>
      </c>
      <c r="B510" s="384" t="s">
        <v>1076</v>
      </c>
      <c r="C510" s="384" t="s">
        <v>1277</v>
      </c>
      <c r="D510" s="385" t="s">
        <v>2453</v>
      </c>
      <c r="E510" s="390" t="s">
        <v>1239</v>
      </c>
      <c r="F510" s="396" t="s">
        <v>1313</v>
      </c>
    </row>
    <row r="511" spans="1:6" ht="72">
      <c r="A511" s="405">
        <v>45933.387499999997</v>
      </c>
      <c r="B511" s="384" t="s">
        <v>1076</v>
      </c>
      <c r="C511" s="384" t="s">
        <v>1277</v>
      </c>
      <c r="D511" s="385" t="s">
        <v>2452</v>
      </c>
      <c r="E511" s="390" t="s">
        <v>1239</v>
      </c>
      <c r="F511" s="396" t="s">
        <v>1313</v>
      </c>
    </row>
    <row r="512" spans="1:6" ht="72">
      <c r="A512" s="405">
        <v>45933.387499999997</v>
      </c>
      <c r="B512" s="384" t="s">
        <v>1076</v>
      </c>
      <c r="C512" s="384" t="s">
        <v>1277</v>
      </c>
      <c r="D512" s="385" t="s">
        <v>2451</v>
      </c>
      <c r="E512" s="390" t="s">
        <v>1239</v>
      </c>
      <c r="F512" s="396" t="s">
        <v>1313</v>
      </c>
    </row>
    <row r="513" spans="1:6" ht="72">
      <c r="A513" s="405">
        <v>45933.387499999997</v>
      </c>
      <c r="B513" s="384" t="s">
        <v>1076</v>
      </c>
      <c r="C513" s="384" t="s">
        <v>1277</v>
      </c>
      <c r="D513" s="385" t="s">
        <v>2191</v>
      </c>
      <c r="E513" s="390" t="s">
        <v>1239</v>
      </c>
      <c r="F513" s="396" t="s">
        <v>1313</v>
      </c>
    </row>
    <row r="514" spans="1:6" ht="72">
      <c r="A514" s="405">
        <v>45933.387499999997</v>
      </c>
      <c r="B514" s="384" t="s">
        <v>1076</v>
      </c>
      <c r="C514" s="384" t="s">
        <v>1277</v>
      </c>
      <c r="D514" s="385" t="s">
        <v>2190</v>
      </c>
      <c r="E514" s="390" t="s">
        <v>1239</v>
      </c>
      <c r="F514" s="396" t="s">
        <v>1313</v>
      </c>
    </row>
    <row r="515" spans="1:6" ht="72">
      <c r="A515" s="405">
        <v>45933.387499999997</v>
      </c>
      <c r="B515" s="384" t="s">
        <v>1076</v>
      </c>
      <c r="C515" s="384" t="s">
        <v>1277</v>
      </c>
      <c r="D515" s="385" t="s">
        <v>2450</v>
      </c>
      <c r="E515" s="390" t="s">
        <v>1239</v>
      </c>
      <c r="F515" s="396" t="s">
        <v>1313</v>
      </c>
    </row>
    <row r="516" spans="1:6" ht="72">
      <c r="A516" s="405">
        <v>45933.387499999997</v>
      </c>
      <c r="B516" s="384" t="s">
        <v>1076</v>
      </c>
      <c r="C516" s="384" t="s">
        <v>1277</v>
      </c>
      <c r="D516" s="385" t="s">
        <v>2189</v>
      </c>
      <c r="E516" s="390" t="s">
        <v>1239</v>
      </c>
      <c r="F516" s="396" t="s">
        <v>1313</v>
      </c>
    </row>
    <row r="517" spans="1:6" ht="72">
      <c r="A517" s="405">
        <v>45933.387499999997</v>
      </c>
      <c r="B517" s="384" t="s">
        <v>1076</v>
      </c>
      <c r="C517" s="384" t="s">
        <v>1277</v>
      </c>
      <c r="D517" s="385" t="s">
        <v>2449</v>
      </c>
      <c r="E517" s="390" t="s">
        <v>1239</v>
      </c>
      <c r="F517" s="396" t="s">
        <v>1313</v>
      </c>
    </row>
    <row r="518" spans="1:6" ht="72">
      <c r="A518" s="405">
        <v>45933.387499999997</v>
      </c>
      <c r="B518" s="384" t="s">
        <v>1076</v>
      </c>
      <c r="C518" s="384" t="s">
        <v>1277</v>
      </c>
      <c r="D518" s="385" t="s">
        <v>2448</v>
      </c>
      <c r="E518" s="390" t="s">
        <v>1239</v>
      </c>
      <c r="F518" s="396" t="s">
        <v>1313</v>
      </c>
    </row>
    <row r="519" spans="1:6" ht="72">
      <c r="A519" s="405">
        <v>45933.387499999997</v>
      </c>
      <c r="B519" s="384" t="s">
        <v>1076</v>
      </c>
      <c r="C519" s="384" t="s">
        <v>1277</v>
      </c>
      <c r="D519" s="385" t="s">
        <v>2188</v>
      </c>
      <c r="E519" s="390" t="s">
        <v>1239</v>
      </c>
      <c r="F519" s="396" t="s">
        <v>1313</v>
      </c>
    </row>
    <row r="520" spans="1:6" ht="72">
      <c r="A520" s="405">
        <v>45933.387499999997</v>
      </c>
      <c r="B520" s="384" t="s">
        <v>1076</v>
      </c>
      <c r="C520" s="384" t="s">
        <v>1277</v>
      </c>
      <c r="D520" s="385" t="s">
        <v>2447</v>
      </c>
      <c r="E520" s="390" t="s">
        <v>1239</v>
      </c>
      <c r="F520" s="396" t="s">
        <v>1313</v>
      </c>
    </row>
    <row r="521" spans="1:6" ht="72">
      <c r="A521" s="405">
        <v>45933.387499999997</v>
      </c>
      <c r="B521" s="384" t="s">
        <v>1076</v>
      </c>
      <c r="C521" s="384" t="s">
        <v>1277</v>
      </c>
      <c r="D521" s="385" t="s">
        <v>2187</v>
      </c>
      <c r="E521" s="390" t="s">
        <v>1239</v>
      </c>
      <c r="F521" s="396" t="s">
        <v>1313</v>
      </c>
    </row>
    <row r="522" spans="1:6" ht="72">
      <c r="A522" s="405">
        <v>45933.387499999997</v>
      </c>
      <c r="B522" s="384" t="s">
        <v>1076</v>
      </c>
      <c r="C522" s="384" t="s">
        <v>1277</v>
      </c>
      <c r="D522" s="385" t="s">
        <v>2186</v>
      </c>
      <c r="E522" s="390" t="s">
        <v>1239</v>
      </c>
      <c r="F522" s="396" t="s">
        <v>1313</v>
      </c>
    </row>
    <row r="523" spans="1:6" ht="72">
      <c r="A523" s="405">
        <v>45933.387499999997</v>
      </c>
      <c r="B523" s="384" t="s">
        <v>1076</v>
      </c>
      <c r="C523" s="384" t="s">
        <v>1277</v>
      </c>
      <c r="D523" s="385" t="s">
        <v>2185</v>
      </c>
      <c r="E523" s="390" t="s">
        <v>1239</v>
      </c>
      <c r="F523" s="396" t="s">
        <v>1313</v>
      </c>
    </row>
    <row r="524" spans="1:6" ht="72">
      <c r="A524" s="405">
        <v>45933.387499999997</v>
      </c>
      <c r="B524" s="384" t="s">
        <v>1076</v>
      </c>
      <c r="C524" s="384" t="s">
        <v>1277</v>
      </c>
      <c r="D524" s="385" t="s">
        <v>2183</v>
      </c>
      <c r="E524" s="390" t="s">
        <v>1239</v>
      </c>
      <c r="F524" s="396" t="s">
        <v>1313</v>
      </c>
    </row>
    <row r="525" spans="1:6" ht="72">
      <c r="A525" s="405">
        <v>45933.387499999997</v>
      </c>
      <c r="B525" s="384" t="s">
        <v>1076</v>
      </c>
      <c r="C525" s="384" t="s">
        <v>1277</v>
      </c>
      <c r="D525" s="385" t="s">
        <v>2445</v>
      </c>
      <c r="E525" s="390" t="s">
        <v>1239</v>
      </c>
      <c r="F525" s="396" t="s">
        <v>1313</v>
      </c>
    </row>
    <row r="526" spans="1:6" ht="72">
      <c r="A526" s="405">
        <v>45933.387499999997</v>
      </c>
      <c r="B526" s="384" t="s">
        <v>1076</v>
      </c>
      <c r="C526" s="384" t="s">
        <v>1277</v>
      </c>
      <c r="D526" s="385" t="s">
        <v>2182</v>
      </c>
      <c r="E526" s="390" t="s">
        <v>1239</v>
      </c>
      <c r="F526" s="396" t="s">
        <v>1313</v>
      </c>
    </row>
    <row r="527" spans="1:6" ht="72">
      <c r="A527" s="405">
        <v>45933.386805555558</v>
      </c>
      <c r="B527" s="384" t="s">
        <v>1076</v>
      </c>
      <c r="C527" s="384" t="s">
        <v>1277</v>
      </c>
      <c r="D527" s="385" t="s">
        <v>2468</v>
      </c>
      <c r="E527" s="390" t="s">
        <v>1239</v>
      </c>
      <c r="F527" s="396" t="s">
        <v>1313</v>
      </c>
    </row>
    <row r="528" spans="1:6" ht="72">
      <c r="A528" s="405">
        <v>45933.386805555558</v>
      </c>
      <c r="B528" s="384" t="s">
        <v>1076</v>
      </c>
      <c r="C528" s="384" t="s">
        <v>1277</v>
      </c>
      <c r="D528" s="385" t="s">
        <v>2235</v>
      </c>
      <c r="E528" s="390" t="s">
        <v>1239</v>
      </c>
      <c r="F528" s="396" t="s">
        <v>1313</v>
      </c>
    </row>
    <row r="529" spans="1:6" ht="72">
      <c r="A529" s="405">
        <v>45933.386805555558</v>
      </c>
      <c r="B529" s="384" t="s">
        <v>1076</v>
      </c>
      <c r="C529" s="384" t="s">
        <v>1277</v>
      </c>
      <c r="D529" s="385" t="s">
        <v>2234</v>
      </c>
      <c r="E529" s="390" t="s">
        <v>1239</v>
      </c>
      <c r="F529" s="396" t="s">
        <v>1313</v>
      </c>
    </row>
    <row r="530" spans="1:6" ht="72">
      <c r="A530" s="405">
        <v>45933.386805555558</v>
      </c>
      <c r="B530" s="384" t="s">
        <v>1076</v>
      </c>
      <c r="C530" s="384" t="s">
        <v>1277</v>
      </c>
      <c r="D530" s="385" t="s">
        <v>2233</v>
      </c>
      <c r="E530" s="390" t="s">
        <v>1239</v>
      </c>
      <c r="F530" s="396" t="s">
        <v>1313</v>
      </c>
    </row>
    <row r="531" spans="1:6" ht="72">
      <c r="A531" s="405">
        <v>45933.386805555558</v>
      </c>
      <c r="B531" s="384" t="s">
        <v>1076</v>
      </c>
      <c r="C531" s="384" t="s">
        <v>1277</v>
      </c>
      <c r="D531" s="385" t="s">
        <v>2232</v>
      </c>
      <c r="E531" s="390" t="s">
        <v>1239</v>
      </c>
      <c r="F531" s="396" t="s">
        <v>1313</v>
      </c>
    </row>
    <row r="532" spans="1:6" ht="72">
      <c r="A532" s="405">
        <v>45933.386805555558</v>
      </c>
      <c r="B532" s="384" t="s">
        <v>1076</v>
      </c>
      <c r="C532" s="384" t="s">
        <v>1277</v>
      </c>
      <c r="D532" s="385" t="s">
        <v>2231</v>
      </c>
      <c r="E532" s="390" t="s">
        <v>1239</v>
      </c>
      <c r="F532" s="396" t="s">
        <v>1313</v>
      </c>
    </row>
    <row r="533" spans="1:6" ht="72">
      <c r="A533" s="405">
        <v>45933.386805555558</v>
      </c>
      <c r="B533" s="384" t="s">
        <v>1076</v>
      </c>
      <c r="C533" s="384" t="s">
        <v>1277</v>
      </c>
      <c r="D533" s="385" t="s">
        <v>2230</v>
      </c>
      <c r="E533" s="390" t="s">
        <v>1239</v>
      </c>
      <c r="F533" s="396" t="s">
        <v>1313</v>
      </c>
    </row>
    <row r="534" spans="1:6" ht="72">
      <c r="A534" s="405">
        <v>45933.386805555558</v>
      </c>
      <c r="B534" s="384" t="s">
        <v>1076</v>
      </c>
      <c r="C534" s="384" t="s">
        <v>1277</v>
      </c>
      <c r="D534" s="385" t="s">
        <v>2229</v>
      </c>
      <c r="E534" s="390" t="s">
        <v>1239</v>
      </c>
      <c r="F534" s="396" t="s">
        <v>1313</v>
      </c>
    </row>
    <row r="535" spans="1:6" ht="72">
      <c r="A535" s="405">
        <v>45933.386805555558</v>
      </c>
      <c r="B535" s="384" t="s">
        <v>1076</v>
      </c>
      <c r="C535" s="384" t="s">
        <v>1277</v>
      </c>
      <c r="D535" s="385" t="s">
        <v>2467</v>
      </c>
      <c r="E535" s="390" t="s">
        <v>1239</v>
      </c>
      <c r="F535" s="396" t="s">
        <v>1313</v>
      </c>
    </row>
    <row r="536" spans="1:6" ht="72">
      <c r="A536" s="405">
        <v>45933.386805555558</v>
      </c>
      <c r="B536" s="384" t="s">
        <v>1076</v>
      </c>
      <c r="C536" s="384" t="s">
        <v>1277</v>
      </c>
      <c r="D536" s="385" t="s">
        <v>2466</v>
      </c>
      <c r="E536" s="390" t="s">
        <v>1239</v>
      </c>
      <c r="F536" s="396" t="s">
        <v>1313</v>
      </c>
    </row>
    <row r="537" spans="1:6" ht="72">
      <c r="A537" s="405">
        <v>45933.386805555558</v>
      </c>
      <c r="B537" s="384" t="s">
        <v>1076</v>
      </c>
      <c r="C537" s="384" t="s">
        <v>1277</v>
      </c>
      <c r="D537" s="385" t="s">
        <v>2228</v>
      </c>
      <c r="E537" s="390" t="s">
        <v>1239</v>
      </c>
      <c r="F537" s="396" t="s">
        <v>1313</v>
      </c>
    </row>
    <row r="538" spans="1:6" ht="72">
      <c r="A538" s="405">
        <v>45933.386805555558</v>
      </c>
      <c r="B538" s="384" t="s">
        <v>1076</v>
      </c>
      <c r="C538" s="384" t="s">
        <v>1277</v>
      </c>
      <c r="D538" s="385" t="s">
        <v>2227</v>
      </c>
      <c r="E538" s="390" t="s">
        <v>1239</v>
      </c>
      <c r="F538" s="396" t="s">
        <v>1313</v>
      </c>
    </row>
    <row r="539" spans="1:6" ht="72">
      <c r="A539" s="405">
        <v>45933.386805555558</v>
      </c>
      <c r="B539" s="384" t="s">
        <v>1076</v>
      </c>
      <c r="C539" s="384" t="s">
        <v>1277</v>
      </c>
      <c r="D539" s="385" t="s">
        <v>2226</v>
      </c>
      <c r="E539" s="390" t="s">
        <v>1239</v>
      </c>
      <c r="F539" s="396" t="s">
        <v>1313</v>
      </c>
    </row>
    <row r="540" spans="1:6" ht="72">
      <c r="A540" s="405">
        <v>45933.386805555558</v>
      </c>
      <c r="B540" s="384" t="s">
        <v>1076</v>
      </c>
      <c r="C540" s="384" t="s">
        <v>1277</v>
      </c>
      <c r="D540" s="385" t="s">
        <v>2465</v>
      </c>
      <c r="E540" s="390" t="s">
        <v>1239</v>
      </c>
      <c r="F540" s="396" t="s">
        <v>1313</v>
      </c>
    </row>
    <row r="541" spans="1:6" ht="72">
      <c r="A541" s="405">
        <v>45933.386805555558</v>
      </c>
      <c r="B541" s="384" t="s">
        <v>1076</v>
      </c>
      <c r="C541" s="384" t="s">
        <v>1277</v>
      </c>
      <c r="D541" s="385" t="s">
        <v>2464</v>
      </c>
      <c r="E541" s="390" t="s">
        <v>1239</v>
      </c>
      <c r="F541" s="396" t="s">
        <v>1313</v>
      </c>
    </row>
    <row r="542" spans="1:6" ht="72">
      <c r="A542" s="405">
        <v>45933.386805555558</v>
      </c>
      <c r="B542" s="384" t="s">
        <v>1076</v>
      </c>
      <c r="C542" s="384" t="s">
        <v>1277</v>
      </c>
      <c r="D542" s="385" t="s">
        <v>2224</v>
      </c>
      <c r="E542" s="390" t="s">
        <v>1239</v>
      </c>
      <c r="F542" s="396" t="s">
        <v>1313</v>
      </c>
    </row>
    <row r="543" spans="1:6" ht="72">
      <c r="A543" s="405">
        <v>45933.386805555558</v>
      </c>
      <c r="B543" s="384" t="s">
        <v>1076</v>
      </c>
      <c r="C543" s="384" t="s">
        <v>1277</v>
      </c>
      <c r="D543" s="385" t="s">
        <v>2223</v>
      </c>
      <c r="E543" s="390" t="s">
        <v>1239</v>
      </c>
      <c r="F543" s="396" t="s">
        <v>1313</v>
      </c>
    </row>
    <row r="544" spans="1:6" ht="72">
      <c r="A544" s="405">
        <v>45933.386805555558</v>
      </c>
      <c r="B544" s="384" t="s">
        <v>1076</v>
      </c>
      <c r="C544" s="384" t="s">
        <v>1277</v>
      </c>
      <c r="D544" s="385" t="s">
        <v>2463</v>
      </c>
      <c r="E544" s="390" t="s">
        <v>1239</v>
      </c>
      <c r="F544" s="396" t="s">
        <v>1313</v>
      </c>
    </row>
    <row r="545" spans="1:6" ht="72">
      <c r="A545" s="405">
        <v>45933.386805555558</v>
      </c>
      <c r="B545" s="384" t="s">
        <v>1076</v>
      </c>
      <c r="C545" s="384" t="s">
        <v>1277</v>
      </c>
      <c r="D545" s="385" t="s">
        <v>2221</v>
      </c>
      <c r="E545" s="390" t="s">
        <v>1239</v>
      </c>
      <c r="F545" s="396" t="s">
        <v>1313</v>
      </c>
    </row>
    <row r="546" spans="1:6" ht="72">
      <c r="A546" s="405">
        <v>45933.386805555558</v>
      </c>
      <c r="B546" s="384" t="s">
        <v>1076</v>
      </c>
      <c r="C546" s="384" t="s">
        <v>1277</v>
      </c>
      <c r="D546" s="385" t="s">
        <v>2220</v>
      </c>
      <c r="E546" s="390" t="s">
        <v>1239</v>
      </c>
      <c r="F546" s="396" t="s">
        <v>1313</v>
      </c>
    </row>
    <row r="547" spans="1:6" ht="72">
      <c r="A547" s="405">
        <v>45933.386805555558</v>
      </c>
      <c r="B547" s="384" t="s">
        <v>1076</v>
      </c>
      <c r="C547" s="384" t="s">
        <v>1277</v>
      </c>
      <c r="D547" s="385" t="s">
        <v>2462</v>
      </c>
      <c r="E547" s="390" t="s">
        <v>1239</v>
      </c>
      <c r="F547" s="396" t="s">
        <v>1313</v>
      </c>
    </row>
    <row r="548" spans="1:6" ht="72">
      <c r="A548" s="405">
        <v>45933.386805555558</v>
      </c>
      <c r="B548" s="384" t="s">
        <v>1076</v>
      </c>
      <c r="C548" s="384" t="s">
        <v>1277</v>
      </c>
      <c r="D548" s="385" t="s">
        <v>2219</v>
      </c>
      <c r="E548" s="390" t="s">
        <v>1239</v>
      </c>
      <c r="F548" s="396" t="s">
        <v>1313</v>
      </c>
    </row>
    <row r="549" spans="1:6" ht="72">
      <c r="A549" s="405">
        <v>45933.386805555558</v>
      </c>
      <c r="B549" s="384" t="s">
        <v>1076</v>
      </c>
      <c r="C549" s="384" t="s">
        <v>1277</v>
      </c>
      <c r="D549" s="385" t="s">
        <v>2461</v>
      </c>
      <c r="E549" s="390" t="s">
        <v>1239</v>
      </c>
      <c r="F549" s="396" t="s">
        <v>1313</v>
      </c>
    </row>
    <row r="550" spans="1:6" ht="72">
      <c r="A550" s="405">
        <v>45933.386805555558</v>
      </c>
      <c r="B550" s="384" t="s">
        <v>1076</v>
      </c>
      <c r="C550" s="384" t="s">
        <v>1277</v>
      </c>
      <c r="D550" s="385" t="s">
        <v>2217</v>
      </c>
      <c r="E550" s="390" t="s">
        <v>1239</v>
      </c>
      <c r="F550" s="396" t="s">
        <v>1313</v>
      </c>
    </row>
    <row r="551" spans="1:6" ht="72">
      <c r="A551" s="405">
        <v>45933.386805555558</v>
      </c>
      <c r="B551" s="384" t="s">
        <v>1076</v>
      </c>
      <c r="C551" s="384" t="s">
        <v>1277</v>
      </c>
      <c r="D551" s="385" t="s">
        <v>2460</v>
      </c>
      <c r="E551" s="390" t="s">
        <v>1239</v>
      </c>
      <c r="F551" s="396" t="s">
        <v>1313</v>
      </c>
    </row>
    <row r="552" spans="1:6" ht="72">
      <c r="A552" s="405">
        <v>45933.386805555558</v>
      </c>
      <c r="B552" s="384" t="s">
        <v>1076</v>
      </c>
      <c r="C552" s="384" t="s">
        <v>1277</v>
      </c>
      <c r="D552" s="385" t="s">
        <v>2459</v>
      </c>
      <c r="E552" s="390" t="s">
        <v>1239</v>
      </c>
      <c r="F552" s="396" t="s">
        <v>1313</v>
      </c>
    </row>
    <row r="553" spans="1:6" ht="72">
      <c r="A553" s="405">
        <v>45933.386805555558</v>
      </c>
      <c r="B553" s="384" t="s">
        <v>1076</v>
      </c>
      <c r="C553" s="384" t="s">
        <v>1277</v>
      </c>
      <c r="D553" s="385" t="s">
        <v>2215</v>
      </c>
      <c r="E553" s="390" t="s">
        <v>1239</v>
      </c>
      <c r="F553" s="396" t="s">
        <v>1313</v>
      </c>
    </row>
    <row r="554" spans="1:6" ht="72">
      <c r="A554" s="405">
        <v>45933.386805555558</v>
      </c>
      <c r="B554" s="384" t="s">
        <v>1076</v>
      </c>
      <c r="C554" s="384" t="s">
        <v>1277</v>
      </c>
      <c r="D554" s="385" t="s">
        <v>2214</v>
      </c>
      <c r="E554" s="390" t="s">
        <v>1239</v>
      </c>
      <c r="F554" s="396" t="s">
        <v>1313</v>
      </c>
    </row>
    <row r="555" spans="1:6" ht="72">
      <c r="A555" s="405">
        <v>45933.386805555558</v>
      </c>
      <c r="B555" s="384" t="s">
        <v>1076</v>
      </c>
      <c r="C555" s="384" t="s">
        <v>1277</v>
      </c>
      <c r="D555" s="385" t="s">
        <v>2213</v>
      </c>
      <c r="E555" s="390" t="s">
        <v>1239</v>
      </c>
      <c r="F555" s="396" t="s">
        <v>1313</v>
      </c>
    </row>
    <row r="556" spans="1:6" ht="72">
      <c r="A556" s="405">
        <v>45933.386805555558</v>
      </c>
      <c r="B556" s="384" t="s">
        <v>1076</v>
      </c>
      <c r="C556" s="384" t="s">
        <v>1277</v>
      </c>
      <c r="D556" s="385" t="s">
        <v>2212</v>
      </c>
      <c r="E556" s="390" t="s">
        <v>1239</v>
      </c>
      <c r="F556" s="396" t="s">
        <v>1313</v>
      </c>
    </row>
    <row r="557" spans="1:6" ht="72">
      <c r="A557" s="405">
        <v>45933.386805555558</v>
      </c>
      <c r="B557" s="384" t="s">
        <v>1076</v>
      </c>
      <c r="C557" s="384" t="s">
        <v>1277</v>
      </c>
      <c r="D557" s="385" t="s">
        <v>2211</v>
      </c>
      <c r="E557" s="390" t="s">
        <v>1239</v>
      </c>
      <c r="F557" s="396" t="s">
        <v>1313</v>
      </c>
    </row>
    <row r="558" spans="1:6" ht="72">
      <c r="A558" s="405">
        <v>45933.386805555558</v>
      </c>
      <c r="B558" s="384" t="s">
        <v>1076</v>
      </c>
      <c r="C558" s="384" t="s">
        <v>1277</v>
      </c>
      <c r="D558" s="385" t="s">
        <v>2210</v>
      </c>
      <c r="E558" s="390" t="s">
        <v>1239</v>
      </c>
      <c r="F558" s="396" t="s">
        <v>1313</v>
      </c>
    </row>
    <row r="559" spans="1:6" ht="72">
      <c r="A559" s="405">
        <v>45933.386805555558</v>
      </c>
      <c r="B559" s="384" t="s">
        <v>1076</v>
      </c>
      <c r="C559" s="384" t="s">
        <v>1277</v>
      </c>
      <c r="D559" s="385" t="s">
        <v>2676</v>
      </c>
      <c r="E559" s="390" t="s">
        <v>1239</v>
      </c>
      <c r="F559" s="396" t="s">
        <v>1313</v>
      </c>
    </row>
    <row r="560" spans="1:6" ht="72">
      <c r="A560" s="405">
        <v>45933.386805555558</v>
      </c>
      <c r="B560" s="384" t="s">
        <v>1076</v>
      </c>
      <c r="C560" s="384" t="s">
        <v>1277</v>
      </c>
      <c r="D560" s="385" t="s">
        <v>2208</v>
      </c>
      <c r="E560" s="390" t="s">
        <v>1239</v>
      </c>
      <c r="F560" s="396" t="s">
        <v>1313</v>
      </c>
    </row>
    <row r="561" spans="1:6" ht="72">
      <c r="A561" s="405">
        <v>45933.386805555558</v>
      </c>
      <c r="B561" s="384" t="s">
        <v>1076</v>
      </c>
      <c r="C561" s="384" t="s">
        <v>1277</v>
      </c>
      <c r="D561" s="385" t="s">
        <v>2207</v>
      </c>
      <c r="E561" s="390" t="s">
        <v>1239</v>
      </c>
      <c r="F561" s="396" t="s">
        <v>1313</v>
      </c>
    </row>
    <row r="562" spans="1:6" ht="72">
      <c r="A562" s="405">
        <v>45933.386805555558</v>
      </c>
      <c r="B562" s="384" t="s">
        <v>1076</v>
      </c>
      <c r="C562" s="384" t="s">
        <v>1277</v>
      </c>
      <c r="D562" s="385" t="s">
        <v>2206</v>
      </c>
      <c r="E562" s="390" t="s">
        <v>1239</v>
      </c>
      <c r="F562" s="396" t="s">
        <v>1313</v>
      </c>
    </row>
    <row r="563" spans="1:6" ht="72">
      <c r="A563" s="405">
        <v>45933.386805555558</v>
      </c>
      <c r="B563" s="384" t="s">
        <v>1076</v>
      </c>
      <c r="C563" s="384" t="s">
        <v>1277</v>
      </c>
      <c r="D563" s="385" t="s">
        <v>2456</v>
      </c>
      <c r="E563" s="390" t="s">
        <v>1239</v>
      </c>
      <c r="F563" s="396" t="s">
        <v>1313</v>
      </c>
    </row>
    <row r="564" spans="1:6" ht="72">
      <c r="A564" s="405">
        <v>45933.386805555558</v>
      </c>
      <c r="B564" s="384" t="s">
        <v>1076</v>
      </c>
      <c r="C564" s="384" t="s">
        <v>1277</v>
      </c>
      <c r="D564" s="385" t="s">
        <v>2205</v>
      </c>
      <c r="E564" s="390" t="s">
        <v>1239</v>
      </c>
      <c r="F564" s="396" t="s">
        <v>1313</v>
      </c>
    </row>
    <row r="565" spans="1:6" ht="72">
      <c r="A565" s="405">
        <v>45933.386805555558</v>
      </c>
      <c r="B565" s="384" t="s">
        <v>1076</v>
      </c>
      <c r="C565" s="384" t="s">
        <v>1277</v>
      </c>
      <c r="D565" s="385" t="s">
        <v>2203</v>
      </c>
      <c r="E565" s="390" t="s">
        <v>1239</v>
      </c>
      <c r="F565" s="396" t="s">
        <v>1313</v>
      </c>
    </row>
    <row r="566" spans="1:6" ht="72">
      <c r="A566" s="405">
        <v>45933.386805555558</v>
      </c>
      <c r="B566" s="384" t="s">
        <v>1076</v>
      </c>
      <c r="C566" s="384" t="s">
        <v>1277</v>
      </c>
      <c r="D566" s="385" t="s">
        <v>2204</v>
      </c>
      <c r="E566" s="390" t="s">
        <v>1239</v>
      </c>
      <c r="F566" s="396" t="s">
        <v>1313</v>
      </c>
    </row>
    <row r="567" spans="1:6" ht="72">
      <c r="A567" s="405">
        <v>45933.386805555558</v>
      </c>
      <c r="B567" s="384" t="s">
        <v>1076</v>
      </c>
      <c r="C567" s="384" t="s">
        <v>1277</v>
      </c>
      <c r="D567" s="385" t="s">
        <v>2202</v>
      </c>
      <c r="E567" s="390" t="s">
        <v>1239</v>
      </c>
      <c r="F567" s="396" t="s">
        <v>1313</v>
      </c>
    </row>
    <row r="568" spans="1:6" ht="72">
      <c r="A568" s="405">
        <v>45933.386805555558</v>
      </c>
      <c r="B568" s="384" t="s">
        <v>1076</v>
      </c>
      <c r="C568" s="384" t="s">
        <v>1277</v>
      </c>
      <c r="D568" s="385" t="s">
        <v>2201</v>
      </c>
      <c r="E568" s="390" t="s">
        <v>1239</v>
      </c>
      <c r="F568" s="396" t="s">
        <v>1313</v>
      </c>
    </row>
    <row r="569" spans="1:6" ht="72">
      <c r="A569" s="405">
        <v>45933.386805555558</v>
      </c>
      <c r="B569" s="384" t="s">
        <v>1076</v>
      </c>
      <c r="C569" s="384" t="s">
        <v>1277</v>
      </c>
      <c r="D569" s="385" t="s">
        <v>2455</v>
      </c>
      <c r="E569" s="390" t="s">
        <v>1239</v>
      </c>
      <c r="F569" s="396" t="s">
        <v>1313</v>
      </c>
    </row>
    <row r="570" spans="1:6" ht="72">
      <c r="A570" s="405">
        <v>45933.386805555558</v>
      </c>
      <c r="B570" s="384" t="s">
        <v>1076</v>
      </c>
      <c r="C570" s="384" t="s">
        <v>1277</v>
      </c>
      <c r="D570" s="385" t="s">
        <v>2199</v>
      </c>
      <c r="E570" s="390" t="s">
        <v>1239</v>
      </c>
      <c r="F570" s="396" t="s">
        <v>1313</v>
      </c>
    </row>
    <row r="571" spans="1:6" ht="72">
      <c r="A571" s="405">
        <v>45933.386805555558</v>
      </c>
      <c r="B571" s="384" t="s">
        <v>1076</v>
      </c>
      <c r="C571" s="384" t="s">
        <v>1277</v>
      </c>
      <c r="D571" s="385" t="s">
        <v>2198</v>
      </c>
      <c r="E571" s="390" t="s">
        <v>1239</v>
      </c>
      <c r="F571" s="396" t="s">
        <v>1313</v>
      </c>
    </row>
    <row r="572" spans="1:6" ht="72">
      <c r="A572" s="405">
        <v>45933.386805555558</v>
      </c>
      <c r="B572" s="384" t="s">
        <v>1076</v>
      </c>
      <c r="C572" s="384" t="s">
        <v>1277</v>
      </c>
      <c r="D572" s="385" t="s">
        <v>2197</v>
      </c>
      <c r="E572" s="390" t="s">
        <v>1239</v>
      </c>
      <c r="F572" s="396" t="s">
        <v>1313</v>
      </c>
    </row>
    <row r="573" spans="1:6" ht="72">
      <c r="A573" s="405">
        <v>45933.386805555558</v>
      </c>
      <c r="B573" s="384" t="s">
        <v>1076</v>
      </c>
      <c r="C573" s="384" t="s">
        <v>1277</v>
      </c>
      <c r="D573" s="385" t="s">
        <v>2196</v>
      </c>
      <c r="E573" s="390" t="s">
        <v>1239</v>
      </c>
      <c r="F573" s="396" t="s">
        <v>1313</v>
      </c>
    </row>
    <row r="574" spans="1:6" ht="72">
      <c r="A574" s="405">
        <v>45933.386805555558</v>
      </c>
      <c r="B574" s="384" t="s">
        <v>1076</v>
      </c>
      <c r="C574" s="384" t="s">
        <v>1277</v>
      </c>
      <c r="D574" s="385" t="s">
        <v>2194</v>
      </c>
      <c r="E574" s="390" t="s">
        <v>1239</v>
      </c>
      <c r="F574" s="396" t="s">
        <v>1313</v>
      </c>
    </row>
    <row r="575" spans="1:6" ht="72">
      <c r="A575" s="405">
        <v>45933.386805555558</v>
      </c>
      <c r="B575" s="384" t="s">
        <v>1076</v>
      </c>
      <c r="C575" s="384" t="s">
        <v>1277</v>
      </c>
      <c r="D575" s="385" t="s">
        <v>2193</v>
      </c>
      <c r="E575" s="390" t="s">
        <v>1239</v>
      </c>
      <c r="F575" s="396" t="s">
        <v>1313</v>
      </c>
    </row>
    <row r="576" spans="1:6" ht="72">
      <c r="A576" s="405">
        <v>45933.386805555558</v>
      </c>
      <c r="B576" s="384" t="s">
        <v>1076</v>
      </c>
      <c r="C576" s="384" t="s">
        <v>1277</v>
      </c>
      <c r="D576" s="385" t="s">
        <v>2192</v>
      </c>
      <c r="E576" s="390" t="s">
        <v>1239</v>
      </c>
      <c r="F576" s="396" t="s">
        <v>1313</v>
      </c>
    </row>
    <row r="577" spans="1:6" ht="72">
      <c r="A577" s="405">
        <v>45933.386805555558</v>
      </c>
      <c r="B577" s="384" t="s">
        <v>1076</v>
      </c>
      <c r="C577" s="384" t="s">
        <v>1277</v>
      </c>
      <c r="D577" s="385" t="s">
        <v>2454</v>
      </c>
      <c r="E577" s="390" t="s">
        <v>1239</v>
      </c>
      <c r="F577" s="396" t="s">
        <v>1313</v>
      </c>
    </row>
    <row r="578" spans="1:6" ht="72">
      <c r="A578" s="405">
        <v>45933.386805555558</v>
      </c>
      <c r="B578" s="384" t="s">
        <v>1076</v>
      </c>
      <c r="C578" s="384" t="s">
        <v>1277</v>
      </c>
      <c r="D578" s="385" t="s">
        <v>2453</v>
      </c>
      <c r="E578" s="390" t="s">
        <v>1239</v>
      </c>
      <c r="F578" s="396" t="s">
        <v>1313</v>
      </c>
    </row>
    <row r="579" spans="1:6" ht="72">
      <c r="A579" s="405">
        <v>45933.386805555558</v>
      </c>
      <c r="B579" s="384" t="s">
        <v>1076</v>
      </c>
      <c r="C579" s="384" t="s">
        <v>1277</v>
      </c>
      <c r="D579" s="385" t="s">
        <v>2452</v>
      </c>
      <c r="E579" s="390" t="s">
        <v>1239</v>
      </c>
      <c r="F579" s="396" t="s">
        <v>1313</v>
      </c>
    </row>
    <row r="580" spans="1:6" ht="72">
      <c r="A580" s="405">
        <v>45933.386805555558</v>
      </c>
      <c r="B580" s="384" t="s">
        <v>1076</v>
      </c>
      <c r="C580" s="384" t="s">
        <v>1277</v>
      </c>
      <c r="D580" s="385" t="s">
        <v>2451</v>
      </c>
      <c r="E580" s="390" t="s">
        <v>1239</v>
      </c>
      <c r="F580" s="396" t="s">
        <v>1313</v>
      </c>
    </row>
    <row r="581" spans="1:6" ht="72">
      <c r="A581" s="405">
        <v>45933.386805555558</v>
      </c>
      <c r="B581" s="384" t="s">
        <v>1076</v>
      </c>
      <c r="C581" s="384" t="s">
        <v>1277</v>
      </c>
      <c r="D581" s="385" t="s">
        <v>2191</v>
      </c>
      <c r="E581" s="390" t="s">
        <v>1239</v>
      </c>
      <c r="F581" s="396" t="s">
        <v>1313</v>
      </c>
    </row>
    <row r="582" spans="1:6" ht="72">
      <c r="A582" s="405">
        <v>45933.386805555558</v>
      </c>
      <c r="B582" s="384" t="s">
        <v>1076</v>
      </c>
      <c r="C582" s="384" t="s">
        <v>1277</v>
      </c>
      <c r="D582" s="385" t="s">
        <v>2190</v>
      </c>
      <c r="E582" s="390" t="s">
        <v>1239</v>
      </c>
      <c r="F582" s="396" t="s">
        <v>1313</v>
      </c>
    </row>
    <row r="583" spans="1:6" ht="72">
      <c r="A583" s="405">
        <v>45933.386805555558</v>
      </c>
      <c r="B583" s="384" t="s">
        <v>1076</v>
      </c>
      <c r="C583" s="384" t="s">
        <v>1277</v>
      </c>
      <c r="D583" s="385" t="s">
        <v>2450</v>
      </c>
      <c r="E583" s="390" t="s">
        <v>1239</v>
      </c>
      <c r="F583" s="396" t="s">
        <v>1313</v>
      </c>
    </row>
    <row r="584" spans="1:6" ht="72">
      <c r="A584" s="405">
        <v>45933.386805555558</v>
      </c>
      <c r="B584" s="384" t="s">
        <v>1076</v>
      </c>
      <c r="C584" s="384" t="s">
        <v>1277</v>
      </c>
      <c r="D584" s="385" t="s">
        <v>2189</v>
      </c>
      <c r="E584" s="390" t="s">
        <v>1239</v>
      </c>
      <c r="F584" s="396" t="s">
        <v>1313</v>
      </c>
    </row>
    <row r="585" spans="1:6" ht="72">
      <c r="A585" s="405">
        <v>45933.386805555558</v>
      </c>
      <c r="B585" s="384" t="s">
        <v>1076</v>
      </c>
      <c r="C585" s="384" t="s">
        <v>1277</v>
      </c>
      <c r="D585" s="385" t="s">
        <v>2449</v>
      </c>
      <c r="E585" s="390" t="s">
        <v>1239</v>
      </c>
      <c r="F585" s="396" t="s">
        <v>1313</v>
      </c>
    </row>
    <row r="586" spans="1:6" ht="72">
      <c r="A586" s="405">
        <v>45933.386805555558</v>
      </c>
      <c r="B586" s="384" t="s">
        <v>1076</v>
      </c>
      <c r="C586" s="384" t="s">
        <v>1277</v>
      </c>
      <c r="D586" s="385" t="s">
        <v>2448</v>
      </c>
      <c r="E586" s="390" t="s">
        <v>1239</v>
      </c>
      <c r="F586" s="396" t="s">
        <v>1313</v>
      </c>
    </row>
    <row r="587" spans="1:6" ht="72">
      <c r="A587" s="405">
        <v>45933.386805555558</v>
      </c>
      <c r="B587" s="384" t="s">
        <v>1076</v>
      </c>
      <c r="C587" s="384" t="s">
        <v>1277</v>
      </c>
      <c r="D587" s="385" t="s">
        <v>2188</v>
      </c>
      <c r="E587" s="390" t="s">
        <v>1239</v>
      </c>
      <c r="F587" s="396" t="s">
        <v>1313</v>
      </c>
    </row>
    <row r="588" spans="1:6" ht="72">
      <c r="A588" s="405">
        <v>45933.386805555558</v>
      </c>
      <c r="B588" s="384" t="s">
        <v>1076</v>
      </c>
      <c r="C588" s="384" t="s">
        <v>1277</v>
      </c>
      <c r="D588" s="385" t="s">
        <v>2447</v>
      </c>
      <c r="E588" s="390" t="s">
        <v>1239</v>
      </c>
      <c r="F588" s="396" t="s">
        <v>1313</v>
      </c>
    </row>
    <row r="589" spans="1:6" ht="72">
      <c r="A589" s="405">
        <v>45933.386805555558</v>
      </c>
      <c r="B589" s="384" t="s">
        <v>1076</v>
      </c>
      <c r="C589" s="384" t="s">
        <v>1277</v>
      </c>
      <c r="D589" s="385" t="s">
        <v>2187</v>
      </c>
      <c r="E589" s="390" t="s">
        <v>1239</v>
      </c>
      <c r="F589" s="396" t="s">
        <v>1313</v>
      </c>
    </row>
    <row r="590" spans="1:6" ht="72">
      <c r="A590" s="405">
        <v>45933.386805555558</v>
      </c>
      <c r="B590" s="384" t="s">
        <v>1076</v>
      </c>
      <c r="C590" s="384" t="s">
        <v>1277</v>
      </c>
      <c r="D590" s="385" t="s">
        <v>2186</v>
      </c>
      <c r="E590" s="390" t="s">
        <v>1239</v>
      </c>
      <c r="F590" s="396" t="s">
        <v>1313</v>
      </c>
    </row>
    <row r="591" spans="1:6" ht="72">
      <c r="A591" s="405">
        <v>45933.386805555558</v>
      </c>
      <c r="B591" s="384" t="s">
        <v>1076</v>
      </c>
      <c r="C591" s="384" t="s">
        <v>1277</v>
      </c>
      <c r="D591" s="385" t="s">
        <v>2185</v>
      </c>
      <c r="E591" s="390" t="s">
        <v>1239</v>
      </c>
      <c r="F591" s="396" t="s">
        <v>1313</v>
      </c>
    </row>
    <row r="592" spans="1:6" ht="72">
      <c r="A592" s="405">
        <v>45933.386805555558</v>
      </c>
      <c r="B592" s="384" t="s">
        <v>1076</v>
      </c>
      <c r="C592" s="384" t="s">
        <v>1277</v>
      </c>
      <c r="D592" s="385" t="s">
        <v>2183</v>
      </c>
      <c r="E592" s="390" t="s">
        <v>1239</v>
      </c>
      <c r="F592" s="396" t="s">
        <v>1313</v>
      </c>
    </row>
    <row r="593" spans="1:6" ht="72">
      <c r="A593" s="405">
        <v>45933.386805555558</v>
      </c>
      <c r="B593" s="384" t="s">
        <v>1076</v>
      </c>
      <c r="C593" s="384" t="s">
        <v>1277</v>
      </c>
      <c r="D593" s="385" t="s">
        <v>2445</v>
      </c>
      <c r="E593" s="390" t="s">
        <v>1239</v>
      </c>
      <c r="F593" s="396" t="s">
        <v>1313</v>
      </c>
    </row>
    <row r="594" spans="1:6" ht="72">
      <c r="A594" s="405">
        <v>45933.386805555558</v>
      </c>
      <c r="B594" s="384" t="s">
        <v>1076</v>
      </c>
      <c r="C594" s="384" t="s">
        <v>1277</v>
      </c>
      <c r="D594" s="385" t="s">
        <v>2182</v>
      </c>
      <c r="E594" s="390" t="s">
        <v>1239</v>
      </c>
      <c r="F594" s="396" t="s">
        <v>1313</v>
      </c>
    </row>
    <row r="595" spans="1:6">
      <c r="A595" s="405"/>
      <c r="B595" s="384"/>
      <c r="C595" s="384"/>
      <c r="D595" s="386"/>
      <c r="E595" s="390"/>
      <c r="F595" s="396"/>
    </row>
    <row r="596" spans="1:6" ht="72">
      <c r="A596" s="405">
        <v>45933.379166666666</v>
      </c>
      <c r="B596" s="384" t="s">
        <v>1076</v>
      </c>
      <c r="C596" s="384" t="s">
        <v>1277</v>
      </c>
      <c r="D596" s="385" t="s">
        <v>2675</v>
      </c>
      <c r="E596" s="390" t="s">
        <v>1239</v>
      </c>
      <c r="F596" s="396" t="s">
        <v>1313</v>
      </c>
    </row>
    <row r="597" spans="1:6" ht="72">
      <c r="A597" s="405">
        <v>45933.379166666666</v>
      </c>
      <c r="B597" s="384" t="s">
        <v>1076</v>
      </c>
      <c r="C597" s="384" t="s">
        <v>1277</v>
      </c>
      <c r="D597" s="385" t="s">
        <v>2674</v>
      </c>
      <c r="E597" s="390" t="s">
        <v>1239</v>
      </c>
      <c r="F597" s="396" t="s">
        <v>1313</v>
      </c>
    </row>
    <row r="598" spans="1:6" ht="72">
      <c r="A598" s="405">
        <v>45933.379166666666</v>
      </c>
      <c r="B598" s="384" t="s">
        <v>1076</v>
      </c>
      <c r="C598" s="384" t="s">
        <v>1277</v>
      </c>
      <c r="D598" s="385" t="s">
        <v>2673</v>
      </c>
      <c r="E598" s="390" t="s">
        <v>1239</v>
      </c>
      <c r="F598" s="396" t="s">
        <v>1313</v>
      </c>
    </row>
    <row r="599" spans="1:6" ht="72">
      <c r="A599" s="405">
        <v>45933.379166666666</v>
      </c>
      <c r="B599" s="384" t="s">
        <v>1076</v>
      </c>
      <c r="C599" s="384" t="s">
        <v>1277</v>
      </c>
      <c r="D599" s="385" t="s">
        <v>2672</v>
      </c>
      <c r="E599" s="390" t="s">
        <v>1239</v>
      </c>
      <c r="F599" s="396" t="s">
        <v>1313</v>
      </c>
    </row>
    <row r="600" spans="1:6" ht="72">
      <c r="A600" s="405">
        <v>45933.379166666666</v>
      </c>
      <c r="B600" s="384" t="s">
        <v>1076</v>
      </c>
      <c r="C600" s="384" t="s">
        <v>1277</v>
      </c>
      <c r="D600" s="385" t="s">
        <v>2671</v>
      </c>
      <c r="E600" s="390" t="s">
        <v>1239</v>
      </c>
      <c r="F600" s="396" t="s">
        <v>1313</v>
      </c>
    </row>
    <row r="601" spans="1:6" ht="72">
      <c r="A601" s="405">
        <v>45933.379166666666</v>
      </c>
      <c r="B601" s="384" t="s">
        <v>1076</v>
      </c>
      <c r="C601" s="384" t="s">
        <v>1277</v>
      </c>
      <c r="D601" s="385" t="s">
        <v>2670</v>
      </c>
      <c r="E601" s="390" t="s">
        <v>1239</v>
      </c>
      <c r="F601" s="396" t="s">
        <v>1313</v>
      </c>
    </row>
    <row r="602" spans="1:6" ht="72">
      <c r="A602" s="405">
        <v>45933.379166666666</v>
      </c>
      <c r="B602" s="384" t="s">
        <v>1076</v>
      </c>
      <c r="C602" s="384" t="s">
        <v>1277</v>
      </c>
      <c r="D602" s="385" t="s">
        <v>2669</v>
      </c>
      <c r="E602" s="390" t="s">
        <v>1239</v>
      </c>
      <c r="F602" s="396" t="s">
        <v>1313</v>
      </c>
    </row>
    <row r="603" spans="1:6" ht="72">
      <c r="A603" s="405">
        <v>45933.379166666666</v>
      </c>
      <c r="B603" s="384" t="s">
        <v>1076</v>
      </c>
      <c r="C603" s="384" t="s">
        <v>1277</v>
      </c>
      <c r="D603" s="385" t="s">
        <v>2668</v>
      </c>
      <c r="E603" s="390" t="s">
        <v>1239</v>
      </c>
      <c r="F603" s="396" t="s">
        <v>1313</v>
      </c>
    </row>
    <row r="604" spans="1:6" ht="72">
      <c r="A604" s="405">
        <v>45933.379166666666</v>
      </c>
      <c r="B604" s="384" t="s">
        <v>1076</v>
      </c>
      <c r="C604" s="384" t="s">
        <v>1277</v>
      </c>
      <c r="D604" s="385" t="s">
        <v>2667</v>
      </c>
      <c r="E604" s="390" t="s">
        <v>1239</v>
      </c>
      <c r="F604" s="396" t="s">
        <v>1313</v>
      </c>
    </row>
    <row r="605" spans="1:6" ht="72">
      <c r="A605" s="405">
        <v>45933.379166666666</v>
      </c>
      <c r="B605" s="384" t="s">
        <v>1076</v>
      </c>
      <c r="C605" s="384" t="s">
        <v>1277</v>
      </c>
      <c r="D605" s="385" t="s">
        <v>2666</v>
      </c>
      <c r="E605" s="390" t="s">
        <v>1239</v>
      </c>
      <c r="F605" s="396" t="s">
        <v>1313</v>
      </c>
    </row>
    <row r="606" spans="1:6" ht="72">
      <c r="A606" s="405">
        <v>45933.379166666666</v>
      </c>
      <c r="B606" s="384" t="s">
        <v>1076</v>
      </c>
      <c r="C606" s="384" t="s">
        <v>1277</v>
      </c>
      <c r="D606" s="385" t="s">
        <v>2665</v>
      </c>
      <c r="E606" s="390" t="s">
        <v>1239</v>
      </c>
      <c r="F606" s="396" t="s">
        <v>1313</v>
      </c>
    </row>
    <row r="607" spans="1:6" ht="72">
      <c r="A607" s="405">
        <v>45933.379166666666</v>
      </c>
      <c r="B607" s="384" t="s">
        <v>1076</v>
      </c>
      <c r="C607" s="384" t="s">
        <v>1277</v>
      </c>
      <c r="D607" s="385" t="s">
        <v>2664</v>
      </c>
      <c r="E607" s="390" t="s">
        <v>1239</v>
      </c>
      <c r="F607" s="396" t="s">
        <v>1313</v>
      </c>
    </row>
    <row r="608" spans="1:6" ht="72">
      <c r="A608" s="405">
        <v>45933.379166666666</v>
      </c>
      <c r="B608" s="384" t="s">
        <v>1076</v>
      </c>
      <c r="C608" s="384" t="s">
        <v>1277</v>
      </c>
      <c r="D608" s="385" t="s">
        <v>2663</v>
      </c>
      <c r="E608" s="390" t="s">
        <v>1239</v>
      </c>
      <c r="F608" s="396" t="s">
        <v>1313</v>
      </c>
    </row>
    <row r="609" spans="1:6" ht="72">
      <c r="A609" s="405">
        <v>45933.379166666666</v>
      </c>
      <c r="B609" s="384" t="s">
        <v>1076</v>
      </c>
      <c r="C609" s="384" t="s">
        <v>1277</v>
      </c>
      <c r="D609" s="385" t="s">
        <v>2662</v>
      </c>
      <c r="E609" s="390" t="s">
        <v>1239</v>
      </c>
      <c r="F609" s="396" t="s">
        <v>1313</v>
      </c>
    </row>
    <row r="610" spans="1:6" ht="72">
      <c r="A610" s="405">
        <v>45933.379166666666</v>
      </c>
      <c r="B610" s="384" t="s">
        <v>1076</v>
      </c>
      <c r="C610" s="384" t="s">
        <v>1277</v>
      </c>
      <c r="D610" s="385" t="s">
        <v>2661</v>
      </c>
      <c r="E610" s="390" t="s">
        <v>1239</v>
      </c>
      <c r="F610" s="396" t="s">
        <v>1313</v>
      </c>
    </row>
    <row r="611" spans="1:6" ht="72">
      <c r="A611" s="405">
        <v>45933.379166666666</v>
      </c>
      <c r="B611" s="384" t="s">
        <v>1076</v>
      </c>
      <c r="C611" s="384" t="s">
        <v>1277</v>
      </c>
      <c r="D611" s="385" t="s">
        <v>2660</v>
      </c>
      <c r="E611" s="390" t="s">
        <v>1239</v>
      </c>
      <c r="F611" s="396" t="s">
        <v>1313</v>
      </c>
    </row>
    <row r="612" spans="1:6" ht="72">
      <c r="A612" s="405">
        <v>45933.379166666666</v>
      </c>
      <c r="B612" s="384" t="s">
        <v>1076</v>
      </c>
      <c r="C612" s="384" t="s">
        <v>1277</v>
      </c>
      <c r="D612" s="385" t="s">
        <v>2659</v>
      </c>
      <c r="E612" s="390" t="s">
        <v>1239</v>
      </c>
      <c r="F612" s="396" t="s">
        <v>1313</v>
      </c>
    </row>
    <row r="613" spans="1:6" ht="72">
      <c r="A613" s="405">
        <v>45933.379166666666</v>
      </c>
      <c r="B613" s="384" t="s">
        <v>1076</v>
      </c>
      <c r="C613" s="384" t="s">
        <v>1277</v>
      </c>
      <c r="D613" s="385" t="s">
        <v>2658</v>
      </c>
      <c r="E613" s="390" t="s">
        <v>1239</v>
      </c>
      <c r="F613" s="396" t="s">
        <v>1313</v>
      </c>
    </row>
    <row r="614" spans="1:6" ht="72">
      <c r="A614" s="405">
        <v>45933.379166666666</v>
      </c>
      <c r="B614" s="384" t="s">
        <v>1076</v>
      </c>
      <c r="C614" s="384" t="s">
        <v>1277</v>
      </c>
      <c r="D614" s="385" t="s">
        <v>2657</v>
      </c>
      <c r="E614" s="390" t="s">
        <v>1239</v>
      </c>
      <c r="F614" s="396" t="s">
        <v>1313</v>
      </c>
    </row>
    <row r="615" spans="1:6" ht="72">
      <c r="A615" s="405">
        <v>45933.379166666666</v>
      </c>
      <c r="B615" s="384" t="s">
        <v>1076</v>
      </c>
      <c r="C615" s="384" t="s">
        <v>1277</v>
      </c>
      <c r="D615" s="385" t="s">
        <v>2656</v>
      </c>
      <c r="E615" s="390" t="s">
        <v>1239</v>
      </c>
      <c r="F615" s="396" t="s">
        <v>1313</v>
      </c>
    </row>
    <row r="616" spans="1:6" ht="72">
      <c r="A616" s="405">
        <v>45933.379166666666</v>
      </c>
      <c r="B616" s="384" t="s">
        <v>1076</v>
      </c>
      <c r="C616" s="384" t="s">
        <v>1277</v>
      </c>
      <c r="D616" s="385" t="s">
        <v>2655</v>
      </c>
      <c r="E616" s="390" t="s">
        <v>1239</v>
      </c>
      <c r="F616" s="396" t="s">
        <v>1313</v>
      </c>
    </row>
    <row r="617" spans="1:6" ht="72">
      <c r="A617" s="405">
        <v>45933.379166666666</v>
      </c>
      <c r="B617" s="384" t="s">
        <v>1076</v>
      </c>
      <c r="C617" s="384" t="s">
        <v>1277</v>
      </c>
      <c r="D617" s="385" t="s">
        <v>2654</v>
      </c>
      <c r="E617" s="390" t="s">
        <v>1239</v>
      </c>
      <c r="F617" s="396" t="s">
        <v>1313</v>
      </c>
    </row>
    <row r="618" spans="1:6" ht="72">
      <c r="A618" s="405">
        <v>45933.379166666666</v>
      </c>
      <c r="B618" s="384" t="s">
        <v>1076</v>
      </c>
      <c r="C618" s="384" t="s">
        <v>1277</v>
      </c>
      <c r="D618" s="385" t="s">
        <v>2653</v>
      </c>
      <c r="E618" s="390" t="s">
        <v>1239</v>
      </c>
      <c r="F618" s="396" t="s">
        <v>1313</v>
      </c>
    </row>
    <row r="619" spans="1:6" ht="72">
      <c r="A619" s="405">
        <v>45933.379166666666</v>
      </c>
      <c r="B619" s="384" t="s">
        <v>1076</v>
      </c>
      <c r="C619" s="384" t="s">
        <v>1277</v>
      </c>
      <c r="D619" s="385" t="s">
        <v>2652</v>
      </c>
      <c r="E619" s="390" t="s">
        <v>1239</v>
      </c>
      <c r="F619" s="396" t="s">
        <v>1313</v>
      </c>
    </row>
    <row r="620" spans="1:6" ht="72">
      <c r="A620" s="405">
        <v>45933.379166666666</v>
      </c>
      <c r="B620" s="384" t="s">
        <v>1076</v>
      </c>
      <c r="C620" s="384" t="s">
        <v>1277</v>
      </c>
      <c r="D620" s="385" t="s">
        <v>2651</v>
      </c>
      <c r="E620" s="390" t="s">
        <v>1239</v>
      </c>
      <c r="F620" s="396" t="s">
        <v>1313</v>
      </c>
    </row>
    <row r="621" spans="1:6" ht="72">
      <c r="A621" s="405">
        <v>45933.379166666666</v>
      </c>
      <c r="B621" s="384" t="s">
        <v>1076</v>
      </c>
      <c r="C621" s="384" t="s">
        <v>1277</v>
      </c>
      <c r="D621" s="385" t="s">
        <v>2650</v>
      </c>
      <c r="E621" s="390" t="s">
        <v>1239</v>
      </c>
      <c r="F621" s="396" t="s">
        <v>1313</v>
      </c>
    </row>
    <row r="622" spans="1:6" ht="72">
      <c r="A622" s="405">
        <v>45933.379166666666</v>
      </c>
      <c r="B622" s="384" t="s">
        <v>1076</v>
      </c>
      <c r="C622" s="384" t="s">
        <v>1277</v>
      </c>
      <c r="D622" s="385" t="s">
        <v>2649</v>
      </c>
      <c r="E622" s="390" t="s">
        <v>1239</v>
      </c>
      <c r="F622" s="396" t="s">
        <v>1313</v>
      </c>
    </row>
    <row r="623" spans="1:6" ht="72">
      <c r="A623" s="405">
        <v>45933.379166666666</v>
      </c>
      <c r="B623" s="384" t="s">
        <v>1076</v>
      </c>
      <c r="C623" s="384" t="s">
        <v>1277</v>
      </c>
      <c r="D623" s="385" t="s">
        <v>2648</v>
      </c>
      <c r="E623" s="390" t="s">
        <v>1239</v>
      </c>
      <c r="F623" s="396" t="s">
        <v>1313</v>
      </c>
    </row>
    <row r="624" spans="1:6" ht="72">
      <c r="A624" s="405">
        <v>45933.379166666666</v>
      </c>
      <c r="B624" s="384" t="s">
        <v>1076</v>
      </c>
      <c r="C624" s="384" t="s">
        <v>1277</v>
      </c>
      <c r="D624" s="385" t="s">
        <v>2647</v>
      </c>
      <c r="E624" s="390" t="s">
        <v>1239</v>
      </c>
      <c r="F624" s="396" t="s">
        <v>1313</v>
      </c>
    </row>
    <row r="625" spans="1:6" ht="72">
      <c r="A625" s="405">
        <v>45933.379166666666</v>
      </c>
      <c r="B625" s="384" t="s">
        <v>1076</v>
      </c>
      <c r="C625" s="384" t="s">
        <v>1277</v>
      </c>
      <c r="D625" s="385" t="s">
        <v>2646</v>
      </c>
      <c r="E625" s="390" t="s">
        <v>1239</v>
      </c>
      <c r="F625" s="396" t="s">
        <v>1313</v>
      </c>
    </row>
    <row r="626" spans="1:6" ht="72">
      <c r="A626" s="405">
        <v>45933.379166666666</v>
      </c>
      <c r="B626" s="384" t="s">
        <v>1076</v>
      </c>
      <c r="C626" s="384" t="s">
        <v>1277</v>
      </c>
      <c r="D626" s="385" t="s">
        <v>2645</v>
      </c>
      <c r="E626" s="390" t="s">
        <v>1239</v>
      </c>
      <c r="F626" s="396" t="s">
        <v>1313</v>
      </c>
    </row>
    <row r="627" spans="1:6" ht="72">
      <c r="A627" s="405">
        <v>45933.379166666666</v>
      </c>
      <c r="B627" s="384" t="s">
        <v>1076</v>
      </c>
      <c r="C627" s="384" t="s">
        <v>1277</v>
      </c>
      <c r="D627" s="385" t="s">
        <v>2644</v>
      </c>
      <c r="E627" s="390" t="s">
        <v>1239</v>
      </c>
      <c r="F627" s="396" t="s">
        <v>1313</v>
      </c>
    </row>
    <row r="628" spans="1:6" ht="72">
      <c r="A628" s="405">
        <v>45933.379166666666</v>
      </c>
      <c r="B628" s="384" t="s">
        <v>1076</v>
      </c>
      <c r="C628" s="384" t="s">
        <v>1277</v>
      </c>
      <c r="D628" s="385" t="s">
        <v>2643</v>
      </c>
      <c r="E628" s="390" t="s">
        <v>1239</v>
      </c>
      <c r="F628" s="396" t="s">
        <v>1313</v>
      </c>
    </row>
    <row r="629" spans="1:6" ht="72">
      <c r="A629" s="405">
        <v>45933.379166666666</v>
      </c>
      <c r="B629" s="384" t="s">
        <v>1076</v>
      </c>
      <c r="C629" s="384" t="s">
        <v>1277</v>
      </c>
      <c r="D629" s="385" t="s">
        <v>2642</v>
      </c>
      <c r="E629" s="390" t="s">
        <v>1239</v>
      </c>
      <c r="F629" s="396" t="s">
        <v>1313</v>
      </c>
    </row>
    <row r="630" spans="1:6" ht="72">
      <c r="A630" s="405">
        <v>45933.379166666666</v>
      </c>
      <c r="B630" s="384" t="s">
        <v>1076</v>
      </c>
      <c r="C630" s="384" t="s">
        <v>1277</v>
      </c>
      <c r="D630" s="385" t="s">
        <v>2641</v>
      </c>
      <c r="E630" s="390" t="s">
        <v>1239</v>
      </c>
      <c r="F630" s="396" t="s">
        <v>1313</v>
      </c>
    </row>
    <row r="631" spans="1:6" ht="72">
      <c r="A631" s="405">
        <v>45933.379166666666</v>
      </c>
      <c r="B631" s="384" t="s">
        <v>1076</v>
      </c>
      <c r="C631" s="384" t="s">
        <v>1277</v>
      </c>
      <c r="D631" s="385" t="s">
        <v>2640</v>
      </c>
      <c r="E631" s="390" t="s">
        <v>1239</v>
      </c>
      <c r="F631" s="396" t="s">
        <v>1313</v>
      </c>
    </row>
    <row r="632" spans="1:6" ht="72">
      <c r="A632" s="405">
        <v>45933.379166666666</v>
      </c>
      <c r="B632" s="384" t="s">
        <v>1076</v>
      </c>
      <c r="C632" s="384" t="s">
        <v>1277</v>
      </c>
      <c r="D632" s="385" t="s">
        <v>2639</v>
      </c>
      <c r="E632" s="390" t="s">
        <v>1239</v>
      </c>
      <c r="F632" s="396" t="s">
        <v>1313</v>
      </c>
    </row>
    <row r="633" spans="1:6" ht="72">
      <c r="A633" s="405">
        <v>45933.379166666666</v>
      </c>
      <c r="B633" s="384" t="s">
        <v>1076</v>
      </c>
      <c r="C633" s="384" t="s">
        <v>1277</v>
      </c>
      <c r="D633" s="385" t="s">
        <v>2638</v>
      </c>
      <c r="E633" s="390" t="s">
        <v>1239</v>
      </c>
      <c r="F633" s="396" t="s">
        <v>1313</v>
      </c>
    </row>
    <row r="634" spans="1:6" ht="72">
      <c r="A634" s="405">
        <v>45933.379166666666</v>
      </c>
      <c r="B634" s="384" t="s">
        <v>1076</v>
      </c>
      <c r="C634" s="384" t="s">
        <v>1277</v>
      </c>
      <c r="D634" s="385" t="s">
        <v>2637</v>
      </c>
      <c r="E634" s="390" t="s">
        <v>1239</v>
      </c>
      <c r="F634" s="396" t="s">
        <v>1313</v>
      </c>
    </row>
    <row r="635" spans="1:6" ht="72">
      <c r="A635" s="405">
        <v>45933.379166666666</v>
      </c>
      <c r="B635" s="384" t="s">
        <v>1076</v>
      </c>
      <c r="C635" s="384" t="s">
        <v>1277</v>
      </c>
      <c r="D635" s="385" t="s">
        <v>2636</v>
      </c>
      <c r="E635" s="390" t="s">
        <v>1239</v>
      </c>
      <c r="F635" s="396" t="s">
        <v>1313</v>
      </c>
    </row>
    <row r="636" spans="1:6" ht="72">
      <c r="A636" s="405">
        <v>45933.379166666666</v>
      </c>
      <c r="B636" s="384" t="s">
        <v>1076</v>
      </c>
      <c r="C636" s="384" t="s">
        <v>1277</v>
      </c>
      <c r="D636" s="385" t="s">
        <v>2635</v>
      </c>
      <c r="E636" s="390" t="s">
        <v>1239</v>
      </c>
      <c r="F636" s="396" t="s">
        <v>1313</v>
      </c>
    </row>
    <row r="637" spans="1:6" ht="72">
      <c r="A637" s="405">
        <v>45933.379166666666</v>
      </c>
      <c r="B637" s="384" t="s">
        <v>1076</v>
      </c>
      <c r="C637" s="384" t="s">
        <v>1277</v>
      </c>
      <c r="D637" s="385" t="s">
        <v>2634</v>
      </c>
      <c r="E637" s="390" t="s">
        <v>1239</v>
      </c>
      <c r="F637" s="396" t="s">
        <v>1313</v>
      </c>
    </row>
    <row r="638" spans="1:6" ht="72">
      <c r="A638" s="405">
        <v>45933.379166666666</v>
      </c>
      <c r="B638" s="384" t="s">
        <v>1076</v>
      </c>
      <c r="C638" s="384" t="s">
        <v>1277</v>
      </c>
      <c r="D638" s="385" t="s">
        <v>2633</v>
      </c>
      <c r="E638" s="390" t="s">
        <v>1239</v>
      </c>
      <c r="F638" s="396" t="s">
        <v>1313</v>
      </c>
    </row>
    <row r="639" spans="1:6" ht="72">
      <c r="A639" s="405">
        <v>45933.379166666666</v>
      </c>
      <c r="B639" s="384" t="s">
        <v>1076</v>
      </c>
      <c r="C639" s="384" t="s">
        <v>1277</v>
      </c>
      <c r="D639" s="385" t="s">
        <v>2632</v>
      </c>
      <c r="E639" s="390" t="s">
        <v>1239</v>
      </c>
      <c r="F639" s="396" t="s">
        <v>1313</v>
      </c>
    </row>
    <row r="640" spans="1:6" ht="72">
      <c r="A640" s="405">
        <v>45933.379166666666</v>
      </c>
      <c r="B640" s="384" t="s">
        <v>1076</v>
      </c>
      <c r="C640" s="384" t="s">
        <v>1277</v>
      </c>
      <c r="D640" s="385" t="s">
        <v>2631</v>
      </c>
      <c r="E640" s="390" t="s">
        <v>1239</v>
      </c>
      <c r="F640" s="396" t="s">
        <v>1313</v>
      </c>
    </row>
    <row r="641" spans="1:6" ht="72">
      <c r="A641" s="405">
        <v>45933.379166666666</v>
      </c>
      <c r="B641" s="384" t="s">
        <v>1076</v>
      </c>
      <c r="C641" s="384" t="s">
        <v>1277</v>
      </c>
      <c r="D641" s="385" t="s">
        <v>2630</v>
      </c>
      <c r="E641" s="390" t="s">
        <v>1239</v>
      </c>
      <c r="F641" s="396" t="s">
        <v>1313</v>
      </c>
    </row>
    <row r="642" spans="1:6" ht="72">
      <c r="A642" s="405">
        <v>45933.379166666666</v>
      </c>
      <c r="B642" s="384" t="s">
        <v>1076</v>
      </c>
      <c r="C642" s="384" t="s">
        <v>1277</v>
      </c>
      <c r="D642" s="385" t="s">
        <v>2629</v>
      </c>
      <c r="E642" s="390" t="s">
        <v>1239</v>
      </c>
      <c r="F642" s="396" t="s">
        <v>1313</v>
      </c>
    </row>
    <row r="643" spans="1:6" ht="72">
      <c r="A643" s="405">
        <v>45933.379166666666</v>
      </c>
      <c r="B643" s="384" t="s">
        <v>1076</v>
      </c>
      <c r="C643" s="384" t="s">
        <v>1277</v>
      </c>
      <c r="D643" s="385" t="s">
        <v>2628</v>
      </c>
      <c r="E643" s="390" t="s">
        <v>1239</v>
      </c>
      <c r="F643" s="396" t="s">
        <v>1313</v>
      </c>
    </row>
    <row r="644" spans="1:6" ht="72">
      <c r="A644" s="405">
        <v>45933.379166666666</v>
      </c>
      <c r="B644" s="384" t="s">
        <v>1076</v>
      </c>
      <c r="C644" s="384" t="s">
        <v>1277</v>
      </c>
      <c r="D644" s="385" t="s">
        <v>2627</v>
      </c>
      <c r="E644" s="390" t="s">
        <v>1239</v>
      </c>
      <c r="F644" s="396" t="s">
        <v>1313</v>
      </c>
    </row>
    <row r="645" spans="1:6" ht="72">
      <c r="A645" s="405">
        <v>45933.379166666666</v>
      </c>
      <c r="B645" s="384" t="s">
        <v>1076</v>
      </c>
      <c r="C645" s="384" t="s">
        <v>1277</v>
      </c>
      <c r="D645" s="385" t="s">
        <v>2626</v>
      </c>
      <c r="E645" s="390" t="s">
        <v>1239</v>
      </c>
      <c r="F645" s="396" t="s">
        <v>1313</v>
      </c>
    </row>
    <row r="646" spans="1:6" ht="72">
      <c r="A646" s="405">
        <v>45933.379166666666</v>
      </c>
      <c r="B646" s="384" t="s">
        <v>1076</v>
      </c>
      <c r="C646" s="384" t="s">
        <v>1277</v>
      </c>
      <c r="D646" s="385" t="s">
        <v>2625</v>
      </c>
      <c r="E646" s="390" t="s">
        <v>1239</v>
      </c>
      <c r="F646" s="396" t="s">
        <v>1313</v>
      </c>
    </row>
    <row r="647" spans="1:6" ht="72">
      <c r="A647" s="405">
        <v>45933.379166666666</v>
      </c>
      <c r="B647" s="384" t="s">
        <v>1076</v>
      </c>
      <c r="C647" s="384" t="s">
        <v>1277</v>
      </c>
      <c r="D647" s="385" t="s">
        <v>2624</v>
      </c>
      <c r="E647" s="390" t="s">
        <v>1239</v>
      </c>
      <c r="F647" s="396" t="s">
        <v>1313</v>
      </c>
    </row>
    <row r="648" spans="1:6" ht="72">
      <c r="A648" s="405">
        <v>45933.379166666666</v>
      </c>
      <c r="B648" s="384" t="s">
        <v>1076</v>
      </c>
      <c r="C648" s="384" t="s">
        <v>1277</v>
      </c>
      <c r="D648" s="385" t="s">
        <v>2623</v>
      </c>
      <c r="E648" s="390" t="s">
        <v>1239</v>
      </c>
      <c r="F648" s="396" t="s">
        <v>1313</v>
      </c>
    </row>
    <row r="649" spans="1:6" ht="72">
      <c r="A649" s="405">
        <v>45933.379166666666</v>
      </c>
      <c r="B649" s="384" t="s">
        <v>1076</v>
      </c>
      <c r="C649" s="384" t="s">
        <v>1277</v>
      </c>
      <c r="D649" s="385" t="s">
        <v>2622</v>
      </c>
      <c r="E649" s="390" t="s">
        <v>1239</v>
      </c>
      <c r="F649" s="396" t="s">
        <v>1313</v>
      </c>
    </row>
    <row r="650" spans="1:6" ht="72">
      <c r="A650" s="405">
        <v>45933.379166666666</v>
      </c>
      <c r="B650" s="384" t="s">
        <v>1076</v>
      </c>
      <c r="C650" s="384" t="s">
        <v>1277</v>
      </c>
      <c r="D650" s="385" t="s">
        <v>2621</v>
      </c>
      <c r="E650" s="390" t="s">
        <v>1239</v>
      </c>
      <c r="F650" s="396" t="s">
        <v>1313</v>
      </c>
    </row>
    <row r="651" spans="1:6" ht="72">
      <c r="A651" s="405">
        <v>45933.379166666666</v>
      </c>
      <c r="B651" s="384" t="s">
        <v>1076</v>
      </c>
      <c r="C651" s="384" t="s">
        <v>1277</v>
      </c>
      <c r="D651" s="385" t="s">
        <v>2620</v>
      </c>
      <c r="E651" s="390" t="s">
        <v>1239</v>
      </c>
      <c r="F651" s="396" t="s">
        <v>1313</v>
      </c>
    </row>
    <row r="652" spans="1:6" ht="72">
      <c r="A652" s="405">
        <v>45933.379166666666</v>
      </c>
      <c r="B652" s="384" t="s">
        <v>1076</v>
      </c>
      <c r="C652" s="384" t="s">
        <v>1277</v>
      </c>
      <c r="D652" s="385" t="s">
        <v>2619</v>
      </c>
      <c r="E652" s="390" t="s">
        <v>1239</v>
      </c>
      <c r="F652" s="396" t="s">
        <v>1313</v>
      </c>
    </row>
    <row r="653" spans="1:6" ht="72">
      <c r="A653" s="405">
        <v>45933.379166666666</v>
      </c>
      <c r="B653" s="384" t="s">
        <v>1076</v>
      </c>
      <c r="C653" s="384" t="s">
        <v>1277</v>
      </c>
      <c r="D653" s="385" t="s">
        <v>2618</v>
      </c>
      <c r="E653" s="390" t="s">
        <v>1239</v>
      </c>
      <c r="F653" s="396" t="s">
        <v>1313</v>
      </c>
    </row>
    <row r="654" spans="1:6" ht="72">
      <c r="A654" s="405">
        <v>45933.379166666666</v>
      </c>
      <c r="B654" s="384" t="s">
        <v>1076</v>
      </c>
      <c r="C654" s="384" t="s">
        <v>1277</v>
      </c>
      <c r="D654" s="385" t="s">
        <v>2617</v>
      </c>
      <c r="E654" s="390" t="s">
        <v>1239</v>
      </c>
      <c r="F654" s="396" t="s">
        <v>1313</v>
      </c>
    </row>
    <row r="655" spans="1:6" ht="72">
      <c r="A655" s="405">
        <v>45933.379166666666</v>
      </c>
      <c r="B655" s="384" t="s">
        <v>1076</v>
      </c>
      <c r="C655" s="384" t="s">
        <v>1277</v>
      </c>
      <c r="D655" s="385" t="s">
        <v>2616</v>
      </c>
      <c r="E655" s="390" t="s">
        <v>1239</v>
      </c>
      <c r="F655" s="396" t="s">
        <v>1313</v>
      </c>
    </row>
    <row r="656" spans="1:6" ht="72">
      <c r="A656" s="405">
        <v>45933.379166666666</v>
      </c>
      <c r="B656" s="384" t="s">
        <v>1076</v>
      </c>
      <c r="C656" s="384" t="s">
        <v>1277</v>
      </c>
      <c r="D656" s="385" t="s">
        <v>2615</v>
      </c>
      <c r="E656" s="390" t="s">
        <v>1239</v>
      </c>
      <c r="F656" s="396" t="s">
        <v>1313</v>
      </c>
    </row>
    <row r="657" spans="1:6" ht="72">
      <c r="A657" s="405">
        <v>45933.379166666666</v>
      </c>
      <c r="B657" s="384" t="s">
        <v>1076</v>
      </c>
      <c r="C657" s="384" t="s">
        <v>1277</v>
      </c>
      <c r="D657" s="385" t="s">
        <v>2614</v>
      </c>
      <c r="E657" s="390" t="s">
        <v>1239</v>
      </c>
      <c r="F657" s="396" t="s">
        <v>1313</v>
      </c>
    </row>
    <row r="658" spans="1:6" ht="72">
      <c r="A658" s="405">
        <v>45933.379166666666</v>
      </c>
      <c r="B658" s="384" t="s">
        <v>1076</v>
      </c>
      <c r="C658" s="384" t="s">
        <v>1277</v>
      </c>
      <c r="D658" s="385" t="s">
        <v>2613</v>
      </c>
      <c r="E658" s="390" t="s">
        <v>1239</v>
      </c>
      <c r="F658" s="396" t="s">
        <v>1313</v>
      </c>
    </row>
    <row r="659" spans="1:6" ht="72">
      <c r="A659" s="405">
        <v>45933.379166666666</v>
      </c>
      <c r="B659" s="384" t="s">
        <v>1076</v>
      </c>
      <c r="C659" s="384" t="s">
        <v>1277</v>
      </c>
      <c r="D659" s="385" t="s">
        <v>2612</v>
      </c>
      <c r="E659" s="390" t="s">
        <v>1239</v>
      </c>
      <c r="F659" s="396" t="s">
        <v>1313</v>
      </c>
    </row>
    <row r="660" spans="1:6" ht="72">
      <c r="A660" s="405">
        <v>45933.379166666666</v>
      </c>
      <c r="B660" s="384" t="s">
        <v>1076</v>
      </c>
      <c r="C660" s="384" t="s">
        <v>1277</v>
      </c>
      <c r="D660" s="385" t="s">
        <v>2611</v>
      </c>
      <c r="E660" s="390" t="s">
        <v>1239</v>
      </c>
      <c r="F660" s="396" t="s">
        <v>1313</v>
      </c>
    </row>
    <row r="661" spans="1:6" ht="72">
      <c r="A661" s="405">
        <v>45933.379166666666</v>
      </c>
      <c r="B661" s="384" t="s">
        <v>1076</v>
      </c>
      <c r="C661" s="384" t="s">
        <v>1277</v>
      </c>
      <c r="D661" s="385" t="s">
        <v>2610</v>
      </c>
      <c r="E661" s="390" t="s">
        <v>1239</v>
      </c>
      <c r="F661" s="396" t="s">
        <v>1313</v>
      </c>
    </row>
    <row r="662" spans="1:6" ht="72">
      <c r="A662" s="405">
        <v>45933.379166666666</v>
      </c>
      <c r="B662" s="384" t="s">
        <v>1076</v>
      </c>
      <c r="C662" s="384" t="s">
        <v>1277</v>
      </c>
      <c r="D662" s="385" t="s">
        <v>2609</v>
      </c>
      <c r="E662" s="390" t="s">
        <v>1239</v>
      </c>
      <c r="F662" s="396" t="s">
        <v>1313</v>
      </c>
    </row>
    <row r="663" spans="1:6" ht="72">
      <c r="A663" s="405">
        <v>45933.379166666666</v>
      </c>
      <c r="B663" s="384" t="s">
        <v>1076</v>
      </c>
      <c r="C663" s="384" t="s">
        <v>1277</v>
      </c>
      <c r="D663" s="385" t="s">
        <v>2608</v>
      </c>
      <c r="E663" s="390" t="s">
        <v>1239</v>
      </c>
      <c r="F663" s="396" t="s">
        <v>1313</v>
      </c>
    </row>
    <row r="664" spans="1:6" ht="72">
      <c r="A664" s="405">
        <v>45933.379166666666</v>
      </c>
      <c r="B664" s="384" t="s">
        <v>1076</v>
      </c>
      <c r="C664" s="384" t="s">
        <v>1277</v>
      </c>
      <c r="D664" s="385" t="s">
        <v>2607</v>
      </c>
      <c r="E664" s="390" t="s">
        <v>1239</v>
      </c>
      <c r="F664" s="396" t="s">
        <v>1313</v>
      </c>
    </row>
    <row r="665" spans="1:6" ht="72">
      <c r="A665" s="405">
        <v>45933.379166666666</v>
      </c>
      <c r="B665" s="384" t="s">
        <v>1076</v>
      </c>
      <c r="C665" s="384" t="s">
        <v>1277</v>
      </c>
      <c r="D665" s="385" t="s">
        <v>2606</v>
      </c>
      <c r="E665" s="390" t="s">
        <v>1239</v>
      </c>
      <c r="F665" s="396" t="s">
        <v>1313</v>
      </c>
    </row>
    <row r="666" spans="1:6" ht="72">
      <c r="A666" s="405">
        <v>45933.379166666666</v>
      </c>
      <c r="B666" s="384" t="s">
        <v>1076</v>
      </c>
      <c r="C666" s="384" t="s">
        <v>1277</v>
      </c>
      <c r="D666" s="385" t="s">
        <v>2605</v>
      </c>
      <c r="E666" s="390" t="s">
        <v>1239</v>
      </c>
      <c r="F666" s="396" t="s">
        <v>1313</v>
      </c>
    </row>
    <row r="667" spans="1:6" ht="72">
      <c r="A667" s="405">
        <v>45933.379166666666</v>
      </c>
      <c r="B667" s="384" t="s">
        <v>1076</v>
      </c>
      <c r="C667" s="384" t="s">
        <v>1277</v>
      </c>
      <c r="D667" s="385" t="s">
        <v>2604</v>
      </c>
      <c r="E667" s="390" t="s">
        <v>1239</v>
      </c>
      <c r="F667" s="396" t="s">
        <v>1313</v>
      </c>
    </row>
    <row r="668" spans="1:6" ht="72">
      <c r="A668" s="405">
        <v>45933.379166666666</v>
      </c>
      <c r="B668" s="384" t="s">
        <v>1076</v>
      </c>
      <c r="C668" s="384" t="s">
        <v>1277</v>
      </c>
      <c r="D668" s="385" t="s">
        <v>2603</v>
      </c>
      <c r="E668" s="390" t="s">
        <v>1239</v>
      </c>
      <c r="F668" s="396" t="s">
        <v>1313</v>
      </c>
    </row>
    <row r="669" spans="1:6" ht="72">
      <c r="A669" s="405">
        <v>45933.379166666666</v>
      </c>
      <c r="B669" s="384" t="s">
        <v>1076</v>
      </c>
      <c r="C669" s="384" t="s">
        <v>1277</v>
      </c>
      <c r="D669" s="385" t="s">
        <v>2602</v>
      </c>
      <c r="E669" s="390" t="s">
        <v>1239</v>
      </c>
      <c r="F669" s="396" t="s">
        <v>1313</v>
      </c>
    </row>
    <row r="670" spans="1:6" ht="72">
      <c r="A670" s="405">
        <v>45933.379166666666</v>
      </c>
      <c r="B670" s="384" t="s">
        <v>1076</v>
      </c>
      <c r="C670" s="384" t="s">
        <v>1277</v>
      </c>
      <c r="D670" s="385" t="s">
        <v>2601</v>
      </c>
      <c r="E670" s="390" t="s">
        <v>1239</v>
      </c>
      <c r="F670" s="396" t="s">
        <v>1313</v>
      </c>
    </row>
    <row r="671" spans="1:6" ht="72">
      <c r="A671" s="405">
        <v>45933.379166666666</v>
      </c>
      <c r="B671" s="384" t="s">
        <v>1076</v>
      </c>
      <c r="C671" s="384" t="s">
        <v>1277</v>
      </c>
      <c r="D671" s="385" t="s">
        <v>2600</v>
      </c>
      <c r="E671" s="390" t="s">
        <v>1239</v>
      </c>
      <c r="F671" s="396" t="s">
        <v>1313</v>
      </c>
    </row>
    <row r="672" spans="1:6" ht="72">
      <c r="A672" s="405">
        <v>45933.379166666666</v>
      </c>
      <c r="B672" s="384" t="s">
        <v>1076</v>
      </c>
      <c r="C672" s="384" t="s">
        <v>1277</v>
      </c>
      <c r="D672" s="385" t="s">
        <v>2599</v>
      </c>
      <c r="E672" s="390" t="s">
        <v>1239</v>
      </c>
      <c r="F672" s="396" t="s">
        <v>1313</v>
      </c>
    </row>
    <row r="673" spans="1:6" ht="72">
      <c r="A673" s="405">
        <v>45933.379166666666</v>
      </c>
      <c r="B673" s="384" t="s">
        <v>1076</v>
      </c>
      <c r="C673" s="384" t="s">
        <v>1277</v>
      </c>
      <c r="D673" s="385" t="s">
        <v>2598</v>
      </c>
      <c r="E673" s="390" t="s">
        <v>1239</v>
      </c>
      <c r="F673" s="396" t="s">
        <v>1313</v>
      </c>
    </row>
    <row r="674" spans="1:6" ht="72">
      <c r="A674" s="405">
        <v>45933.379166666666</v>
      </c>
      <c r="B674" s="384" t="s">
        <v>1076</v>
      </c>
      <c r="C674" s="384" t="s">
        <v>1277</v>
      </c>
      <c r="D674" s="385" t="s">
        <v>2597</v>
      </c>
      <c r="E674" s="390" t="s">
        <v>1239</v>
      </c>
      <c r="F674" s="396" t="s">
        <v>1313</v>
      </c>
    </row>
    <row r="675" spans="1:6" ht="72">
      <c r="A675" s="405">
        <v>45933.379166666666</v>
      </c>
      <c r="B675" s="384" t="s">
        <v>1076</v>
      </c>
      <c r="C675" s="384" t="s">
        <v>1277</v>
      </c>
      <c r="D675" s="385" t="s">
        <v>2596</v>
      </c>
      <c r="E675" s="390" t="s">
        <v>1239</v>
      </c>
      <c r="F675" s="396" t="s">
        <v>1313</v>
      </c>
    </row>
    <row r="676" spans="1:6" ht="72">
      <c r="A676" s="405">
        <v>45933.379166666666</v>
      </c>
      <c r="B676" s="384" t="s">
        <v>1076</v>
      </c>
      <c r="C676" s="384" t="s">
        <v>1277</v>
      </c>
      <c r="D676" s="385" t="s">
        <v>2595</v>
      </c>
      <c r="E676" s="390" t="s">
        <v>1239</v>
      </c>
      <c r="F676" s="396" t="s">
        <v>1313</v>
      </c>
    </row>
    <row r="677" spans="1:6" ht="72">
      <c r="A677" s="405">
        <v>45933.379166666666</v>
      </c>
      <c r="B677" s="384" t="s">
        <v>1076</v>
      </c>
      <c r="C677" s="384" t="s">
        <v>1277</v>
      </c>
      <c r="D677" s="385" t="s">
        <v>2594</v>
      </c>
      <c r="E677" s="390" t="s">
        <v>1239</v>
      </c>
      <c r="F677" s="396" t="s">
        <v>1313</v>
      </c>
    </row>
    <row r="678" spans="1:6" ht="72">
      <c r="A678" s="405">
        <v>45933.379166666666</v>
      </c>
      <c r="B678" s="384" t="s">
        <v>1076</v>
      </c>
      <c r="C678" s="384" t="s">
        <v>1277</v>
      </c>
      <c r="D678" s="385" t="s">
        <v>2593</v>
      </c>
      <c r="E678" s="390" t="s">
        <v>1239</v>
      </c>
      <c r="F678" s="396" t="s">
        <v>1313</v>
      </c>
    </row>
    <row r="679" spans="1:6" ht="72">
      <c r="A679" s="405">
        <v>45933.379166666666</v>
      </c>
      <c r="B679" s="384" t="s">
        <v>1076</v>
      </c>
      <c r="C679" s="384" t="s">
        <v>1277</v>
      </c>
      <c r="D679" s="385" t="s">
        <v>2592</v>
      </c>
      <c r="E679" s="390" t="s">
        <v>1239</v>
      </c>
      <c r="F679" s="396" t="s">
        <v>1313</v>
      </c>
    </row>
    <row r="680" spans="1:6" ht="72">
      <c r="A680" s="405">
        <v>45933.379166666666</v>
      </c>
      <c r="B680" s="384" t="s">
        <v>1076</v>
      </c>
      <c r="C680" s="384" t="s">
        <v>1277</v>
      </c>
      <c r="D680" s="385" t="s">
        <v>2591</v>
      </c>
      <c r="E680" s="390" t="s">
        <v>1239</v>
      </c>
      <c r="F680" s="396" t="s">
        <v>1313</v>
      </c>
    </row>
    <row r="681" spans="1:6" ht="72">
      <c r="A681" s="405">
        <v>45933.379166666666</v>
      </c>
      <c r="B681" s="384" t="s">
        <v>1076</v>
      </c>
      <c r="C681" s="384" t="s">
        <v>1277</v>
      </c>
      <c r="D681" s="385" t="s">
        <v>2590</v>
      </c>
      <c r="E681" s="390" t="s">
        <v>1239</v>
      </c>
      <c r="F681" s="396" t="s">
        <v>1313</v>
      </c>
    </row>
    <row r="682" spans="1:6" ht="72">
      <c r="A682" s="405">
        <v>45933.379166666666</v>
      </c>
      <c r="B682" s="384" t="s">
        <v>1076</v>
      </c>
      <c r="C682" s="384" t="s">
        <v>1277</v>
      </c>
      <c r="D682" s="385" t="s">
        <v>2589</v>
      </c>
      <c r="E682" s="390" t="s">
        <v>1239</v>
      </c>
      <c r="F682" s="396" t="s">
        <v>1313</v>
      </c>
    </row>
    <row r="683" spans="1:6" ht="72">
      <c r="A683" s="405">
        <v>45933.379166666666</v>
      </c>
      <c r="B683" s="384" t="s">
        <v>1076</v>
      </c>
      <c r="C683" s="384" t="s">
        <v>1277</v>
      </c>
      <c r="D683" s="385" t="s">
        <v>2588</v>
      </c>
      <c r="E683" s="390" t="s">
        <v>1239</v>
      </c>
      <c r="F683" s="396" t="s">
        <v>1313</v>
      </c>
    </row>
    <row r="684" spans="1:6" ht="72">
      <c r="A684" s="405">
        <v>45933.379166666666</v>
      </c>
      <c r="B684" s="384" t="s">
        <v>1076</v>
      </c>
      <c r="C684" s="384" t="s">
        <v>1277</v>
      </c>
      <c r="D684" s="385" t="s">
        <v>2587</v>
      </c>
      <c r="E684" s="390" t="s">
        <v>1239</v>
      </c>
      <c r="F684" s="396" t="s">
        <v>1313</v>
      </c>
    </row>
    <row r="685" spans="1:6" ht="72">
      <c r="A685" s="405">
        <v>45933.379166666666</v>
      </c>
      <c r="B685" s="384" t="s">
        <v>1076</v>
      </c>
      <c r="C685" s="384" t="s">
        <v>1277</v>
      </c>
      <c r="D685" s="385" t="s">
        <v>2586</v>
      </c>
      <c r="E685" s="390" t="s">
        <v>1239</v>
      </c>
      <c r="F685" s="396" t="s">
        <v>1313</v>
      </c>
    </row>
    <row r="686" spans="1:6" ht="72">
      <c r="A686" s="405">
        <v>45933.379166666666</v>
      </c>
      <c r="B686" s="384" t="s">
        <v>1076</v>
      </c>
      <c r="C686" s="384" t="s">
        <v>1277</v>
      </c>
      <c r="D686" s="385" t="s">
        <v>2585</v>
      </c>
      <c r="E686" s="390" t="s">
        <v>1239</v>
      </c>
      <c r="F686" s="396" t="s">
        <v>1313</v>
      </c>
    </row>
    <row r="687" spans="1:6" ht="72">
      <c r="A687" s="405">
        <v>45933.379166666666</v>
      </c>
      <c r="B687" s="384" t="s">
        <v>1076</v>
      </c>
      <c r="C687" s="384" t="s">
        <v>1277</v>
      </c>
      <c r="D687" s="385" t="s">
        <v>2584</v>
      </c>
      <c r="E687" s="390" t="s">
        <v>1239</v>
      </c>
      <c r="F687" s="396" t="s">
        <v>1313</v>
      </c>
    </row>
    <row r="688" spans="1:6" ht="72">
      <c r="A688" s="405">
        <v>45933.379166666666</v>
      </c>
      <c r="B688" s="384" t="s">
        <v>1076</v>
      </c>
      <c r="C688" s="384" t="s">
        <v>1277</v>
      </c>
      <c r="D688" s="385" t="s">
        <v>2583</v>
      </c>
      <c r="E688" s="390" t="s">
        <v>1239</v>
      </c>
      <c r="F688" s="396" t="s">
        <v>1313</v>
      </c>
    </row>
    <row r="689" spans="1:6" ht="72">
      <c r="A689" s="405">
        <v>45933.379166666666</v>
      </c>
      <c r="B689" s="384" t="s">
        <v>1076</v>
      </c>
      <c r="C689" s="384" t="s">
        <v>1277</v>
      </c>
      <c r="D689" s="385" t="s">
        <v>2582</v>
      </c>
      <c r="E689" s="390" t="s">
        <v>1239</v>
      </c>
      <c r="F689" s="396" t="s">
        <v>1313</v>
      </c>
    </row>
    <row r="690" spans="1:6" ht="72">
      <c r="A690" s="405">
        <v>45933.379166666666</v>
      </c>
      <c r="B690" s="384" t="s">
        <v>1076</v>
      </c>
      <c r="C690" s="384" t="s">
        <v>1277</v>
      </c>
      <c r="D690" s="385" t="s">
        <v>2581</v>
      </c>
      <c r="E690" s="390" t="s">
        <v>1239</v>
      </c>
      <c r="F690" s="396" t="s">
        <v>1313</v>
      </c>
    </row>
    <row r="691" spans="1:6" ht="72">
      <c r="A691" s="405">
        <v>45933.379166666666</v>
      </c>
      <c r="B691" s="384" t="s">
        <v>1076</v>
      </c>
      <c r="C691" s="384" t="s">
        <v>1277</v>
      </c>
      <c r="D691" s="385" t="s">
        <v>2580</v>
      </c>
      <c r="E691" s="390" t="s">
        <v>1239</v>
      </c>
      <c r="F691" s="396" t="s">
        <v>1313</v>
      </c>
    </row>
    <row r="692" spans="1:6" ht="72">
      <c r="A692" s="405">
        <v>45933.379166666666</v>
      </c>
      <c r="B692" s="384" t="s">
        <v>1076</v>
      </c>
      <c r="C692" s="384" t="s">
        <v>1277</v>
      </c>
      <c r="D692" s="385" t="s">
        <v>2579</v>
      </c>
      <c r="E692" s="390" t="s">
        <v>1239</v>
      </c>
      <c r="F692" s="396" t="s">
        <v>1313</v>
      </c>
    </row>
    <row r="693" spans="1:6" ht="72">
      <c r="A693" s="405">
        <v>45933.379166666666</v>
      </c>
      <c r="B693" s="384" t="s">
        <v>1076</v>
      </c>
      <c r="C693" s="384" t="s">
        <v>1277</v>
      </c>
      <c r="D693" s="385" t="s">
        <v>2578</v>
      </c>
      <c r="E693" s="390" t="s">
        <v>1239</v>
      </c>
      <c r="F693" s="396" t="s">
        <v>1313</v>
      </c>
    </row>
    <row r="694" spans="1:6" ht="72">
      <c r="A694" s="405">
        <v>45933.379166666666</v>
      </c>
      <c r="B694" s="384" t="s">
        <v>1076</v>
      </c>
      <c r="C694" s="384" t="s">
        <v>1277</v>
      </c>
      <c r="D694" s="385" t="s">
        <v>2577</v>
      </c>
      <c r="E694" s="390" t="s">
        <v>1239</v>
      </c>
      <c r="F694" s="396" t="s">
        <v>1313</v>
      </c>
    </row>
    <row r="695" spans="1:6" ht="72">
      <c r="A695" s="405">
        <v>45933.379166666666</v>
      </c>
      <c r="B695" s="384" t="s">
        <v>1076</v>
      </c>
      <c r="C695" s="384" t="s">
        <v>1277</v>
      </c>
      <c r="D695" s="385" t="s">
        <v>2576</v>
      </c>
      <c r="E695" s="390" t="s">
        <v>1239</v>
      </c>
      <c r="F695" s="396" t="s">
        <v>1313</v>
      </c>
    </row>
    <row r="696" spans="1:6" ht="72">
      <c r="A696" s="405">
        <v>45933.379166666666</v>
      </c>
      <c r="B696" s="384" t="s">
        <v>1076</v>
      </c>
      <c r="C696" s="384" t="s">
        <v>1277</v>
      </c>
      <c r="D696" s="385" t="s">
        <v>2575</v>
      </c>
      <c r="E696" s="390" t="s">
        <v>1239</v>
      </c>
      <c r="F696" s="396" t="s">
        <v>1313</v>
      </c>
    </row>
    <row r="697" spans="1:6" ht="72">
      <c r="A697" s="405">
        <v>45933.379166666666</v>
      </c>
      <c r="B697" s="384" t="s">
        <v>1076</v>
      </c>
      <c r="C697" s="384" t="s">
        <v>1277</v>
      </c>
      <c r="D697" s="385" t="s">
        <v>2574</v>
      </c>
      <c r="E697" s="390" t="s">
        <v>1239</v>
      </c>
      <c r="F697" s="396" t="s">
        <v>1313</v>
      </c>
    </row>
    <row r="698" spans="1:6" ht="72">
      <c r="A698" s="405">
        <v>45933.379166666666</v>
      </c>
      <c r="B698" s="384" t="s">
        <v>1076</v>
      </c>
      <c r="C698" s="384" t="s">
        <v>1277</v>
      </c>
      <c r="D698" s="385" t="s">
        <v>2573</v>
      </c>
      <c r="E698" s="390" t="s">
        <v>1239</v>
      </c>
      <c r="F698" s="396" t="s">
        <v>1313</v>
      </c>
    </row>
    <row r="699" spans="1:6" ht="72">
      <c r="A699" s="405">
        <v>45933.379166666666</v>
      </c>
      <c r="B699" s="384" t="s">
        <v>1076</v>
      </c>
      <c r="C699" s="384" t="s">
        <v>1277</v>
      </c>
      <c r="D699" s="385" t="s">
        <v>2572</v>
      </c>
      <c r="E699" s="390" t="s">
        <v>1239</v>
      </c>
      <c r="F699" s="396" t="s">
        <v>1313</v>
      </c>
    </row>
    <row r="700" spans="1:6" ht="72">
      <c r="A700" s="405">
        <v>45933.379166666666</v>
      </c>
      <c r="B700" s="384" t="s">
        <v>1076</v>
      </c>
      <c r="C700" s="384" t="s">
        <v>1277</v>
      </c>
      <c r="D700" s="385" t="s">
        <v>2571</v>
      </c>
      <c r="E700" s="390" t="s">
        <v>1239</v>
      </c>
      <c r="F700" s="396" t="s">
        <v>1313</v>
      </c>
    </row>
    <row r="701" spans="1:6" ht="72">
      <c r="A701" s="405">
        <v>45933.379166666666</v>
      </c>
      <c r="B701" s="384" t="s">
        <v>1076</v>
      </c>
      <c r="C701" s="384" t="s">
        <v>1277</v>
      </c>
      <c r="D701" s="385" t="s">
        <v>2570</v>
      </c>
      <c r="E701" s="390" t="s">
        <v>1239</v>
      </c>
      <c r="F701" s="396" t="s">
        <v>1313</v>
      </c>
    </row>
    <row r="702" spans="1:6" ht="72">
      <c r="A702" s="405">
        <v>45933.379166666666</v>
      </c>
      <c r="B702" s="384" t="s">
        <v>1076</v>
      </c>
      <c r="C702" s="384" t="s">
        <v>1277</v>
      </c>
      <c r="D702" s="385" t="s">
        <v>2569</v>
      </c>
      <c r="E702" s="390" t="s">
        <v>1239</v>
      </c>
      <c r="F702" s="396" t="s">
        <v>1313</v>
      </c>
    </row>
    <row r="703" spans="1:6" ht="72">
      <c r="A703" s="405">
        <v>45933.379166666666</v>
      </c>
      <c r="B703" s="384" t="s">
        <v>1076</v>
      </c>
      <c r="C703" s="384" t="s">
        <v>1277</v>
      </c>
      <c r="D703" s="385" t="s">
        <v>2568</v>
      </c>
      <c r="E703" s="390" t="s">
        <v>1239</v>
      </c>
      <c r="F703" s="396" t="s">
        <v>1313</v>
      </c>
    </row>
    <row r="704" spans="1:6" ht="72">
      <c r="A704" s="405">
        <v>45933.379166666666</v>
      </c>
      <c r="B704" s="384" t="s">
        <v>1076</v>
      </c>
      <c r="C704" s="384" t="s">
        <v>1277</v>
      </c>
      <c r="D704" s="385" t="s">
        <v>2567</v>
      </c>
      <c r="E704" s="390" t="s">
        <v>1239</v>
      </c>
      <c r="F704" s="396" t="s">
        <v>1313</v>
      </c>
    </row>
    <row r="705" spans="1:6" ht="72">
      <c r="A705" s="405">
        <v>45933.379166666666</v>
      </c>
      <c r="B705" s="384" t="s">
        <v>1076</v>
      </c>
      <c r="C705" s="384" t="s">
        <v>1277</v>
      </c>
      <c r="D705" s="385" t="s">
        <v>2566</v>
      </c>
      <c r="E705" s="390" t="s">
        <v>1239</v>
      </c>
      <c r="F705" s="396" t="s">
        <v>1313</v>
      </c>
    </row>
    <row r="706" spans="1:6" ht="72">
      <c r="A706" s="405">
        <v>45933.379166666666</v>
      </c>
      <c r="B706" s="384" t="s">
        <v>1076</v>
      </c>
      <c r="C706" s="384" t="s">
        <v>1277</v>
      </c>
      <c r="D706" s="385" t="s">
        <v>2565</v>
      </c>
      <c r="E706" s="390" t="s">
        <v>1239</v>
      </c>
      <c r="F706" s="396" t="s">
        <v>1313</v>
      </c>
    </row>
    <row r="707" spans="1:6" ht="72">
      <c r="A707" s="405">
        <v>45933.379166666666</v>
      </c>
      <c r="B707" s="384" t="s">
        <v>1076</v>
      </c>
      <c r="C707" s="384" t="s">
        <v>1277</v>
      </c>
      <c r="D707" s="385" t="s">
        <v>2564</v>
      </c>
      <c r="E707" s="390" t="s">
        <v>1239</v>
      </c>
      <c r="F707" s="396" t="s">
        <v>1313</v>
      </c>
    </row>
    <row r="708" spans="1:6" ht="72">
      <c r="A708" s="405">
        <v>45933.379166666666</v>
      </c>
      <c r="B708" s="384" t="s">
        <v>1076</v>
      </c>
      <c r="C708" s="384" t="s">
        <v>1277</v>
      </c>
      <c r="D708" s="385" t="s">
        <v>2563</v>
      </c>
      <c r="E708" s="390" t="s">
        <v>1239</v>
      </c>
      <c r="F708" s="396" t="s">
        <v>1313</v>
      </c>
    </row>
    <row r="709" spans="1:6" ht="72">
      <c r="A709" s="405">
        <v>45933.379166666666</v>
      </c>
      <c r="B709" s="384" t="s">
        <v>1076</v>
      </c>
      <c r="C709" s="384" t="s">
        <v>1277</v>
      </c>
      <c r="D709" s="385" t="s">
        <v>2562</v>
      </c>
      <c r="E709" s="390" t="s">
        <v>1239</v>
      </c>
      <c r="F709" s="396" t="s">
        <v>1313</v>
      </c>
    </row>
    <row r="710" spans="1:6" ht="72">
      <c r="A710" s="405">
        <v>45933.379166666666</v>
      </c>
      <c r="B710" s="384" t="s">
        <v>1076</v>
      </c>
      <c r="C710" s="384" t="s">
        <v>1277</v>
      </c>
      <c r="D710" s="385" t="s">
        <v>2181</v>
      </c>
      <c r="E710" s="390" t="s">
        <v>1239</v>
      </c>
      <c r="F710" s="396" t="s">
        <v>1313</v>
      </c>
    </row>
    <row r="711" spans="1:6" ht="72">
      <c r="A711" s="405">
        <v>45933.379166666666</v>
      </c>
      <c r="B711" s="384" t="s">
        <v>1076</v>
      </c>
      <c r="C711" s="384" t="s">
        <v>1277</v>
      </c>
      <c r="D711" s="385" t="s">
        <v>2561</v>
      </c>
      <c r="E711" s="390" t="s">
        <v>1239</v>
      </c>
      <c r="F711" s="396" t="s">
        <v>1313</v>
      </c>
    </row>
    <row r="712" spans="1:6" ht="72">
      <c r="A712" s="405">
        <v>45933.379166666666</v>
      </c>
      <c r="B712" s="384" t="s">
        <v>1076</v>
      </c>
      <c r="C712" s="384" t="s">
        <v>1277</v>
      </c>
      <c r="D712" s="385" t="s">
        <v>2560</v>
      </c>
      <c r="E712" s="390" t="s">
        <v>1239</v>
      </c>
      <c r="F712" s="396" t="s">
        <v>1313</v>
      </c>
    </row>
    <row r="713" spans="1:6" ht="72">
      <c r="A713" s="405">
        <v>45933.379166666666</v>
      </c>
      <c r="B713" s="384" t="s">
        <v>1076</v>
      </c>
      <c r="C713" s="384" t="s">
        <v>1277</v>
      </c>
      <c r="D713" s="385" t="s">
        <v>2559</v>
      </c>
      <c r="E713" s="390" t="s">
        <v>1239</v>
      </c>
      <c r="F713" s="396" t="s">
        <v>1313</v>
      </c>
    </row>
    <row r="714" spans="1:6" ht="72">
      <c r="A714" s="405">
        <v>45933.379166666666</v>
      </c>
      <c r="B714" s="384" t="s">
        <v>1076</v>
      </c>
      <c r="C714" s="384" t="s">
        <v>1277</v>
      </c>
      <c r="D714" s="385" t="s">
        <v>2558</v>
      </c>
      <c r="E714" s="390" t="s">
        <v>1239</v>
      </c>
      <c r="F714" s="396" t="s">
        <v>1313</v>
      </c>
    </row>
    <row r="715" spans="1:6" ht="72">
      <c r="A715" s="405">
        <v>45933.379166666666</v>
      </c>
      <c r="B715" s="384" t="s">
        <v>1076</v>
      </c>
      <c r="C715" s="384" t="s">
        <v>1277</v>
      </c>
      <c r="D715" s="385" t="s">
        <v>2557</v>
      </c>
      <c r="E715" s="390" t="s">
        <v>1239</v>
      </c>
      <c r="F715" s="396" t="s">
        <v>1313</v>
      </c>
    </row>
    <row r="716" spans="1:6" ht="72">
      <c r="A716" s="405">
        <v>45933.379166666666</v>
      </c>
      <c r="B716" s="384" t="s">
        <v>1076</v>
      </c>
      <c r="C716" s="384" t="s">
        <v>1277</v>
      </c>
      <c r="D716" s="385" t="s">
        <v>2556</v>
      </c>
      <c r="E716" s="390" t="s">
        <v>1239</v>
      </c>
      <c r="F716" s="396" t="s">
        <v>1313</v>
      </c>
    </row>
    <row r="717" spans="1:6" ht="72">
      <c r="A717" s="405">
        <v>45933.379166666666</v>
      </c>
      <c r="B717" s="384" t="s">
        <v>1076</v>
      </c>
      <c r="C717" s="384" t="s">
        <v>1277</v>
      </c>
      <c r="D717" s="385" t="s">
        <v>2555</v>
      </c>
      <c r="E717" s="390" t="s">
        <v>1239</v>
      </c>
      <c r="F717" s="396" t="s">
        <v>1313</v>
      </c>
    </row>
    <row r="718" spans="1:6" ht="72">
      <c r="A718" s="405">
        <v>45933.379166666666</v>
      </c>
      <c r="B718" s="384" t="s">
        <v>1076</v>
      </c>
      <c r="C718" s="384" t="s">
        <v>1277</v>
      </c>
      <c r="D718" s="385" t="s">
        <v>2554</v>
      </c>
      <c r="E718" s="390" t="s">
        <v>1239</v>
      </c>
      <c r="F718" s="396" t="s">
        <v>1313</v>
      </c>
    </row>
    <row r="719" spans="1:6" ht="72">
      <c r="A719" s="405">
        <v>45933.379166666666</v>
      </c>
      <c r="B719" s="384" t="s">
        <v>1076</v>
      </c>
      <c r="C719" s="384" t="s">
        <v>1277</v>
      </c>
      <c r="D719" s="385" t="s">
        <v>2180</v>
      </c>
      <c r="E719" s="390" t="s">
        <v>1239</v>
      </c>
      <c r="F719" s="396" t="s">
        <v>1313</v>
      </c>
    </row>
    <row r="720" spans="1:6" ht="72">
      <c r="A720" s="405">
        <v>45933.379166666666</v>
      </c>
      <c r="B720" s="384" t="s">
        <v>1076</v>
      </c>
      <c r="C720" s="384" t="s">
        <v>1277</v>
      </c>
      <c r="D720" s="385" t="s">
        <v>2553</v>
      </c>
      <c r="E720" s="390" t="s">
        <v>1239</v>
      </c>
      <c r="F720" s="396" t="s">
        <v>1313</v>
      </c>
    </row>
    <row r="721" spans="1:6" ht="72">
      <c r="A721" s="405">
        <v>45933.379166666666</v>
      </c>
      <c r="B721" s="384" t="s">
        <v>1076</v>
      </c>
      <c r="C721" s="384" t="s">
        <v>1277</v>
      </c>
      <c r="D721" s="385" t="s">
        <v>2552</v>
      </c>
      <c r="E721" s="390" t="s">
        <v>1239</v>
      </c>
      <c r="F721" s="396" t="s">
        <v>1313</v>
      </c>
    </row>
    <row r="722" spans="1:6" ht="72">
      <c r="A722" s="405">
        <v>45933.379166666666</v>
      </c>
      <c r="B722" s="384" t="s">
        <v>1076</v>
      </c>
      <c r="C722" s="384" t="s">
        <v>1277</v>
      </c>
      <c r="D722" s="385" t="s">
        <v>2551</v>
      </c>
      <c r="E722" s="390" t="s">
        <v>1239</v>
      </c>
      <c r="F722" s="396" t="s">
        <v>1313</v>
      </c>
    </row>
    <row r="723" spans="1:6" ht="72">
      <c r="A723" s="405">
        <v>45933.379166666666</v>
      </c>
      <c r="B723" s="384" t="s">
        <v>1076</v>
      </c>
      <c r="C723" s="384" t="s">
        <v>1277</v>
      </c>
      <c r="D723" s="385" t="s">
        <v>2550</v>
      </c>
      <c r="E723" s="390" t="s">
        <v>1239</v>
      </c>
      <c r="F723" s="396" t="s">
        <v>1313</v>
      </c>
    </row>
    <row r="724" spans="1:6" ht="72">
      <c r="A724" s="405">
        <v>45933.379166666666</v>
      </c>
      <c r="B724" s="384" t="s">
        <v>1076</v>
      </c>
      <c r="C724" s="384" t="s">
        <v>1277</v>
      </c>
      <c r="D724" s="385" t="s">
        <v>2310</v>
      </c>
      <c r="E724" s="390" t="s">
        <v>1239</v>
      </c>
      <c r="F724" s="396" t="s">
        <v>1313</v>
      </c>
    </row>
    <row r="725" spans="1:6" ht="72">
      <c r="A725" s="405">
        <v>45933.379166666666</v>
      </c>
      <c r="B725" s="384" t="s">
        <v>1076</v>
      </c>
      <c r="C725" s="384" t="s">
        <v>1277</v>
      </c>
      <c r="D725" s="385" t="s">
        <v>2549</v>
      </c>
      <c r="E725" s="390" t="s">
        <v>1239</v>
      </c>
      <c r="F725" s="396" t="s">
        <v>1313</v>
      </c>
    </row>
    <row r="726" spans="1:6" ht="72">
      <c r="A726" s="405">
        <v>45933.379166666666</v>
      </c>
      <c r="B726" s="384" t="s">
        <v>1076</v>
      </c>
      <c r="C726" s="384" t="s">
        <v>1277</v>
      </c>
      <c r="D726" s="385" t="s">
        <v>2548</v>
      </c>
      <c r="E726" s="390" t="s">
        <v>1239</v>
      </c>
      <c r="F726" s="396" t="s">
        <v>1313</v>
      </c>
    </row>
    <row r="727" spans="1:6" ht="72">
      <c r="A727" s="405">
        <v>45933.379166666666</v>
      </c>
      <c r="B727" s="384" t="s">
        <v>1076</v>
      </c>
      <c r="C727" s="384" t="s">
        <v>1277</v>
      </c>
      <c r="D727" s="385" t="s">
        <v>2547</v>
      </c>
      <c r="E727" s="390" t="s">
        <v>1239</v>
      </c>
      <c r="F727" s="396" t="s">
        <v>1313</v>
      </c>
    </row>
    <row r="728" spans="1:6" ht="72">
      <c r="A728" s="405">
        <v>45933.379166666666</v>
      </c>
      <c r="B728" s="384" t="s">
        <v>1076</v>
      </c>
      <c r="C728" s="384" t="s">
        <v>1277</v>
      </c>
      <c r="D728" s="385" t="s">
        <v>2546</v>
      </c>
      <c r="E728" s="390" t="s">
        <v>1239</v>
      </c>
      <c r="F728" s="396" t="s">
        <v>1313</v>
      </c>
    </row>
    <row r="729" spans="1:6" ht="72">
      <c r="A729" s="405">
        <v>45933.379166666666</v>
      </c>
      <c r="B729" s="384" t="s">
        <v>1076</v>
      </c>
      <c r="C729" s="384" t="s">
        <v>1277</v>
      </c>
      <c r="D729" s="385" t="s">
        <v>2545</v>
      </c>
      <c r="E729" s="390" t="s">
        <v>1239</v>
      </c>
      <c r="F729" s="396" t="s">
        <v>1313</v>
      </c>
    </row>
    <row r="730" spans="1:6" ht="72">
      <c r="A730" s="405">
        <v>45933.379166666666</v>
      </c>
      <c r="B730" s="384" t="s">
        <v>1076</v>
      </c>
      <c r="C730" s="384" t="s">
        <v>1277</v>
      </c>
      <c r="D730" s="385" t="s">
        <v>2544</v>
      </c>
      <c r="E730" s="390" t="s">
        <v>1239</v>
      </c>
      <c r="F730" s="396" t="s">
        <v>1313</v>
      </c>
    </row>
    <row r="731" spans="1:6" ht="72">
      <c r="A731" s="405">
        <v>45933.379166666666</v>
      </c>
      <c r="B731" s="384" t="s">
        <v>1076</v>
      </c>
      <c r="C731" s="384" t="s">
        <v>1277</v>
      </c>
      <c r="D731" s="385" t="s">
        <v>2543</v>
      </c>
      <c r="E731" s="390" t="s">
        <v>1239</v>
      </c>
      <c r="F731" s="396" t="s">
        <v>1313</v>
      </c>
    </row>
    <row r="732" spans="1:6" ht="72">
      <c r="A732" s="405">
        <v>45933.379166666666</v>
      </c>
      <c r="B732" s="384" t="s">
        <v>1076</v>
      </c>
      <c r="C732" s="384" t="s">
        <v>1277</v>
      </c>
      <c r="D732" s="385" t="s">
        <v>2542</v>
      </c>
      <c r="E732" s="390" t="s">
        <v>1239</v>
      </c>
      <c r="F732" s="396" t="s">
        <v>1313</v>
      </c>
    </row>
    <row r="733" spans="1:6" ht="72">
      <c r="A733" s="405">
        <v>45933.379166666666</v>
      </c>
      <c r="B733" s="384" t="s">
        <v>1076</v>
      </c>
      <c r="C733" s="384" t="s">
        <v>1277</v>
      </c>
      <c r="D733" s="385" t="s">
        <v>2541</v>
      </c>
      <c r="E733" s="390" t="s">
        <v>1239</v>
      </c>
      <c r="F733" s="396" t="s">
        <v>1313</v>
      </c>
    </row>
    <row r="734" spans="1:6" ht="72">
      <c r="A734" s="405">
        <v>45933.379166666666</v>
      </c>
      <c r="B734" s="384" t="s">
        <v>1076</v>
      </c>
      <c r="C734" s="384" t="s">
        <v>1277</v>
      </c>
      <c r="D734" s="385" t="s">
        <v>2540</v>
      </c>
      <c r="E734" s="390" t="s">
        <v>1239</v>
      </c>
      <c r="F734" s="396" t="s">
        <v>1313</v>
      </c>
    </row>
    <row r="735" spans="1:6" ht="72">
      <c r="A735" s="405">
        <v>45933.379166666666</v>
      </c>
      <c r="B735" s="384" t="s">
        <v>1076</v>
      </c>
      <c r="C735" s="384" t="s">
        <v>1277</v>
      </c>
      <c r="D735" s="385" t="s">
        <v>2539</v>
      </c>
      <c r="E735" s="390" t="s">
        <v>1239</v>
      </c>
      <c r="F735" s="396" t="s">
        <v>1313</v>
      </c>
    </row>
    <row r="736" spans="1:6" ht="72">
      <c r="A736" s="405">
        <v>45933.379166666666</v>
      </c>
      <c r="B736" s="384" t="s">
        <v>1076</v>
      </c>
      <c r="C736" s="384" t="s">
        <v>1277</v>
      </c>
      <c r="D736" s="385" t="s">
        <v>2538</v>
      </c>
      <c r="E736" s="390" t="s">
        <v>1239</v>
      </c>
      <c r="F736" s="396" t="s">
        <v>1313</v>
      </c>
    </row>
    <row r="737" spans="1:6" ht="72">
      <c r="A737" s="405">
        <v>45933.379166666666</v>
      </c>
      <c r="B737" s="384" t="s">
        <v>1076</v>
      </c>
      <c r="C737" s="384" t="s">
        <v>1277</v>
      </c>
      <c r="D737" s="385" t="s">
        <v>1578</v>
      </c>
      <c r="E737" s="390" t="s">
        <v>1239</v>
      </c>
      <c r="F737" s="396" t="s">
        <v>1313</v>
      </c>
    </row>
    <row r="738" spans="1:6" ht="72">
      <c r="A738" s="405">
        <v>45933.379166666666</v>
      </c>
      <c r="B738" s="384" t="s">
        <v>1076</v>
      </c>
      <c r="C738" s="384" t="s">
        <v>1277</v>
      </c>
      <c r="D738" s="385" t="s">
        <v>2415</v>
      </c>
      <c r="E738" s="390" t="s">
        <v>1239</v>
      </c>
      <c r="F738" s="396" t="s">
        <v>1313</v>
      </c>
    </row>
    <row r="739" spans="1:6" ht="72">
      <c r="A739" s="405">
        <v>45933.379166666666</v>
      </c>
      <c r="B739" s="384" t="s">
        <v>1076</v>
      </c>
      <c r="C739" s="384" t="s">
        <v>1277</v>
      </c>
      <c r="D739" s="385" t="s">
        <v>2537</v>
      </c>
      <c r="E739" s="390" t="s">
        <v>1239</v>
      </c>
      <c r="F739" s="396" t="s">
        <v>1313</v>
      </c>
    </row>
    <row r="740" spans="1:6" ht="72">
      <c r="A740" s="405">
        <v>45933.379166666666</v>
      </c>
      <c r="B740" s="384" t="s">
        <v>1076</v>
      </c>
      <c r="C740" s="384" t="s">
        <v>1277</v>
      </c>
      <c r="D740" s="385" t="s">
        <v>2536</v>
      </c>
      <c r="E740" s="390" t="s">
        <v>1239</v>
      </c>
      <c r="F740" s="396" t="s">
        <v>1313</v>
      </c>
    </row>
    <row r="741" spans="1:6" ht="72">
      <c r="A741" s="405">
        <v>45933.379166666666</v>
      </c>
      <c r="B741" s="384" t="s">
        <v>1076</v>
      </c>
      <c r="C741" s="384" t="s">
        <v>1277</v>
      </c>
      <c r="D741" s="385" t="s">
        <v>2535</v>
      </c>
      <c r="E741" s="390" t="s">
        <v>1239</v>
      </c>
      <c r="F741" s="396" t="s">
        <v>1313</v>
      </c>
    </row>
    <row r="742" spans="1:6" ht="72">
      <c r="A742" s="405">
        <v>45933.379166666666</v>
      </c>
      <c r="B742" s="384" t="s">
        <v>1076</v>
      </c>
      <c r="C742" s="384" t="s">
        <v>1277</v>
      </c>
      <c r="D742" s="385" t="s">
        <v>2534</v>
      </c>
      <c r="E742" s="390" t="s">
        <v>1239</v>
      </c>
      <c r="F742" s="396" t="s">
        <v>1313</v>
      </c>
    </row>
    <row r="743" spans="1:6" ht="72">
      <c r="A743" s="405">
        <v>45933.379166666666</v>
      </c>
      <c r="B743" s="384" t="s">
        <v>1076</v>
      </c>
      <c r="C743" s="384" t="s">
        <v>1277</v>
      </c>
      <c r="D743" s="385" t="s">
        <v>2533</v>
      </c>
      <c r="E743" s="390" t="s">
        <v>1239</v>
      </c>
      <c r="F743" s="396" t="s">
        <v>1313</v>
      </c>
    </row>
    <row r="744" spans="1:6" ht="72">
      <c r="A744" s="405">
        <v>45933.379166666666</v>
      </c>
      <c r="B744" s="384" t="s">
        <v>1076</v>
      </c>
      <c r="C744" s="384" t="s">
        <v>1277</v>
      </c>
      <c r="D744" s="385" t="s">
        <v>2532</v>
      </c>
      <c r="E744" s="390" t="s">
        <v>1239</v>
      </c>
      <c r="F744" s="396" t="s">
        <v>1313</v>
      </c>
    </row>
    <row r="745" spans="1:6" ht="72">
      <c r="A745" s="405">
        <v>45933.379166666666</v>
      </c>
      <c r="B745" s="384" t="s">
        <v>1076</v>
      </c>
      <c r="C745" s="384" t="s">
        <v>1277</v>
      </c>
      <c r="D745" s="385" t="s">
        <v>2414</v>
      </c>
      <c r="E745" s="390" t="s">
        <v>1239</v>
      </c>
      <c r="F745" s="396" t="s">
        <v>1313</v>
      </c>
    </row>
    <row r="746" spans="1:6" ht="72">
      <c r="A746" s="405">
        <v>45933.379166666666</v>
      </c>
      <c r="B746" s="384" t="s">
        <v>1076</v>
      </c>
      <c r="C746" s="384" t="s">
        <v>1277</v>
      </c>
      <c r="D746" s="385" t="s">
        <v>2531</v>
      </c>
      <c r="E746" s="390" t="s">
        <v>1239</v>
      </c>
      <c r="F746" s="396" t="s">
        <v>1313</v>
      </c>
    </row>
    <row r="747" spans="1:6" ht="72">
      <c r="A747" s="405">
        <v>45933.379166666666</v>
      </c>
      <c r="B747" s="384" t="s">
        <v>1076</v>
      </c>
      <c r="C747" s="384" t="s">
        <v>1277</v>
      </c>
      <c r="D747" s="385" t="s">
        <v>2530</v>
      </c>
      <c r="E747" s="390" t="s">
        <v>1239</v>
      </c>
      <c r="F747" s="396" t="s">
        <v>1313</v>
      </c>
    </row>
    <row r="748" spans="1:6" ht="72">
      <c r="A748" s="405">
        <v>45933.379166666666</v>
      </c>
      <c r="B748" s="384" t="s">
        <v>1076</v>
      </c>
      <c r="C748" s="384" t="s">
        <v>1277</v>
      </c>
      <c r="D748" s="385" t="s">
        <v>2529</v>
      </c>
      <c r="E748" s="390" t="s">
        <v>1239</v>
      </c>
      <c r="F748" s="396" t="s">
        <v>1313</v>
      </c>
    </row>
    <row r="749" spans="1:6" ht="72">
      <c r="A749" s="405">
        <v>45933.379166666666</v>
      </c>
      <c r="B749" s="384" t="s">
        <v>1076</v>
      </c>
      <c r="C749" s="384" t="s">
        <v>1277</v>
      </c>
      <c r="D749" s="385" t="s">
        <v>2528</v>
      </c>
      <c r="E749" s="390" t="s">
        <v>1239</v>
      </c>
      <c r="F749" s="396" t="s">
        <v>1313</v>
      </c>
    </row>
    <row r="750" spans="1:6" ht="72">
      <c r="A750" s="405">
        <v>45933.379166666666</v>
      </c>
      <c r="B750" s="384" t="s">
        <v>1076</v>
      </c>
      <c r="C750" s="384" t="s">
        <v>1277</v>
      </c>
      <c r="D750" s="385" t="s">
        <v>2179</v>
      </c>
      <c r="E750" s="390" t="s">
        <v>1239</v>
      </c>
      <c r="F750" s="396" t="s">
        <v>1313</v>
      </c>
    </row>
    <row r="751" spans="1:6" ht="72">
      <c r="A751" s="405">
        <v>45933.379166666666</v>
      </c>
      <c r="B751" s="384" t="s">
        <v>1076</v>
      </c>
      <c r="C751" s="384" t="s">
        <v>1277</v>
      </c>
      <c r="D751" s="385" t="s">
        <v>2527</v>
      </c>
      <c r="E751" s="390" t="s">
        <v>1239</v>
      </c>
      <c r="F751" s="396" t="s">
        <v>1313</v>
      </c>
    </row>
    <row r="752" spans="1:6" ht="72">
      <c r="A752" s="405">
        <v>45933.379166666666</v>
      </c>
      <c r="B752" s="384" t="s">
        <v>1076</v>
      </c>
      <c r="C752" s="384" t="s">
        <v>1277</v>
      </c>
      <c r="D752" s="385" t="s">
        <v>2526</v>
      </c>
      <c r="E752" s="390" t="s">
        <v>1239</v>
      </c>
      <c r="F752" s="396" t="s">
        <v>1313</v>
      </c>
    </row>
    <row r="753" spans="1:6" ht="72">
      <c r="A753" s="405">
        <v>45933.379166666666</v>
      </c>
      <c r="B753" s="384" t="s">
        <v>1076</v>
      </c>
      <c r="C753" s="384" t="s">
        <v>1277</v>
      </c>
      <c r="D753" s="385" t="s">
        <v>2525</v>
      </c>
      <c r="E753" s="390" t="s">
        <v>1239</v>
      </c>
      <c r="F753" s="396" t="s">
        <v>1313</v>
      </c>
    </row>
    <row r="754" spans="1:6" ht="72">
      <c r="A754" s="405">
        <v>45933.379166666666</v>
      </c>
      <c r="B754" s="384" t="s">
        <v>1076</v>
      </c>
      <c r="C754" s="384" t="s">
        <v>1277</v>
      </c>
      <c r="D754" s="385" t="s">
        <v>2524</v>
      </c>
      <c r="E754" s="390" t="s">
        <v>1239</v>
      </c>
      <c r="F754" s="396" t="s">
        <v>1313</v>
      </c>
    </row>
    <row r="755" spans="1:6" ht="72">
      <c r="A755" s="405">
        <v>45933.379166666666</v>
      </c>
      <c r="B755" s="384" t="s">
        <v>1076</v>
      </c>
      <c r="C755" s="384" t="s">
        <v>1277</v>
      </c>
      <c r="D755" s="385" t="s">
        <v>2523</v>
      </c>
      <c r="E755" s="390" t="s">
        <v>1239</v>
      </c>
      <c r="F755" s="396" t="s">
        <v>1313</v>
      </c>
    </row>
    <row r="756" spans="1:6" ht="72">
      <c r="A756" s="405">
        <v>45933.379166666666</v>
      </c>
      <c r="B756" s="384" t="s">
        <v>1076</v>
      </c>
      <c r="C756" s="384" t="s">
        <v>1277</v>
      </c>
      <c r="D756" s="385" t="s">
        <v>2332</v>
      </c>
      <c r="E756" s="390" t="s">
        <v>1239</v>
      </c>
      <c r="F756" s="396" t="s">
        <v>1313</v>
      </c>
    </row>
    <row r="757" spans="1:6" ht="72">
      <c r="A757" s="405">
        <v>45933.379166666666</v>
      </c>
      <c r="B757" s="384" t="s">
        <v>1076</v>
      </c>
      <c r="C757" s="384" t="s">
        <v>1277</v>
      </c>
      <c r="D757" s="385" t="s">
        <v>2522</v>
      </c>
      <c r="E757" s="390" t="s">
        <v>1239</v>
      </c>
      <c r="F757" s="396" t="s">
        <v>1313</v>
      </c>
    </row>
    <row r="758" spans="1:6" ht="72">
      <c r="A758" s="405">
        <v>45933.379166666666</v>
      </c>
      <c r="B758" s="384" t="s">
        <v>1076</v>
      </c>
      <c r="C758" s="384" t="s">
        <v>1277</v>
      </c>
      <c r="D758" s="385" t="s">
        <v>2521</v>
      </c>
      <c r="E758" s="390" t="s">
        <v>1239</v>
      </c>
      <c r="F758" s="396" t="s">
        <v>1313</v>
      </c>
    </row>
    <row r="759" spans="1:6" ht="72">
      <c r="A759" s="405">
        <v>45933.379166666666</v>
      </c>
      <c r="B759" s="384" t="s">
        <v>1076</v>
      </c>
      <c r="C759" s="384" t="s">
        <v>1277</v>
      </c>
      <c r="D759" s="385" t="s">
        <v>2520</v>
      </c>
      <c r="E759" s="390" t="s">
        <v>1239</v>
      </c>
      <c r="F759" s="396" t="s">
        <v>1313</v>
      </c>
    </row>
    <row r="760" spans="1:6" ht="72">
      <c r="A760" s="405">
        <v>45933.379166666666</v>
      </c>
      <c r="B760" s="384" t="s">
        <v>1076</v>
      </c>
      <c r="C760" s="384" t="s">
        <v>1277</v>
      </c>
      <c r="D760" s="385" t="s">
        <v>2519</v>
      </c>
      <c r="E760" s="390" t="s">
        <v>1239</v>
      </c>
      <c r="F760" s="396" t="s">
        <v>1313</v>
      </c>
    </row>
    <row r="761" spans="1:6" ht="72">
      <c r="A761" s="405">
        <v>45933.379166666666</v>
      </c>
      <c r="B761" s="384" t="s">
        <v>1076</v>
      </c>
      <c r="C761" s="384" t="s">
        <v>1277</v>
      </c>
      <c r="D761" s="385" t="s">
        <v>2518</v>
      </c>
      <c r="E761" s="390" t="s">
        <v>1239</v>
      </c>
      <c r="F761" s="396" t="s">
        <v>1313</v>
      </c>
    </row>
    <row r="762" spans="1:6" ht="72">
      <c r="A762" s="405">
        <v>45933.379166666666</v>
      </c>
      <c r="B762" s="384" t="s">
        <v>1076</v>
      </c>
      <c r="C762" s="384" t="s">
        <v>1277</v>
      </c>
      <c r="D762" s="385" t="s">
        <v>2517</v>
      </c>
      <c r="E762" s="390" t="s">
        <v>1239</v>
      </c>
      <c r="F762" s="396" t="s">
        <v>1313</v>
      </c>
    </row>
    <row r="763" spans="1:6" ht="72">
      <c r="A763" s="405">
        <v>45933.379166666666</v>
      </c>
      <c r="B763" s="384" t="s">
        <v>1076</v>
      </c>
      <c r="C763" s="384" t="s">
        <v>1277</v>
      </c>
      <c r="D763" s="385" t="s">
        <v>2401</v>
      </c>
      <c r="E763" s="390" t="s">
        <v>1239</v>
      </c>
      <c r="F763" s="396" t="s">
        <v>1313</v>
      </c>
    </row>
    <row r="764" spans="1:6" ht="72">
      <c r="A764" s="405">
        <v>45933.379166666666</v>
      </c>
      <c r="B764" s="384" t="s">
        <v>1076</v>
      </c>
      <c r="C764" s="384" t="s">
        <v>1277</v>
      </c>
      <c r="D764" s="385" t="s">
        <v>2516</v>
      </c>
      <c r="E764" s="390" t="s">
        <v>1239</v>
      </c>
      <c r="F764" s="396" t="s">
        <v>1313</v>
      </c>
    </row>
    <row r="765" spans="1:6" ht="72">
      <c r="A765" s="405">
        <v>45933.379166666666</v>
      </c>
      <c r="B765" s="384" t="s">
        <v>1076</v>
      </c>
      <c r="C765" s="384" t="s">
        <v>1277</v>
      </c>
      <c r="D765" s="385" t="s">
        <v>2515</v>
      </c>
      <c r="E765" s="390" t="s">
        <v>1239</v>
      </c>
      <c r="F765" s="396" t="s">
        <v>1313</v>
      </c>
    </row>
    <row r="766" spans="1:6" ht="72">
      <c r="A766" s="405">
        <v>45933.379166666666</v>
      </c>
      <c r="B766" s="384" t="s">
        <v>1076</v>
      </c>
      <c r="C766" s="384" t="s">
        <v>1277</v>
      </c>
      <c r="D766" s="385" t="s">
        <v>2514</v>
      </c>
      <c r="E766" s="390" t="s">
        <v>1239</v>
      </c>
      <c r="F766" s="396" t="s">
        <v>1313</v>
      </c>
    </row>
    <row r="767" spans="1:6" ht="72">
      <c r="A767" s="405">
        <v>45933.379166666666</v>
      </c>
      <c r="B767" s="384" t="s">
        <v>1076</v>
      </c>
      <c r="C767" s="384" t="s">
        <v>1277</v>
      </c>
      <c r="D767" s="385" t="s">
        <v>2513</v>
      </c>
      <c r="E767" s="390" t="s">
        <v>1239</v>
      </c>
      <c r="F767" s="396" t="s">
        <v>1313</v>
      </c>
    </row>
    <row r="768" spans="1:6" ht="72">
      <c r="A768" s="405">
        <v>45933.379166666666</v>
      </c>
      <c r="B768" s="384" t="s">
        <v>1076</v>
      </c>
      <c r="C768" s="384" t="s">
        <v>1277</v>
      </c>
      <c r="D768" s="385" t="s">
        <v>2512</v>
      </c>
      <c r="E768" s="390" t="s">
        <v>1239</v>
      </c>
      <c r="F768" s="396" t="s">
        <v>1313</v>
      </c>
    </row>
    <row r="769" spans="1:6" ht="72">
      <c r="A769" s="405">
        <v>45933.379166666666</v>
      </c>
      <c r="B769" s="384" t="s">
        <v>1076</v>
      </c>
      <c r="C769" s="384" t="s">
        <v>1277</v>
      </c>
      <c r="D769" s="385" t="s">
        <v>2511</v>
      </c>
      <c r="E769" s="390" t="s">
        <v>1239</v>
      </c>
      <c r="F769" s="396" t="s">
        <v>1313</v>
      </c>
    </row>
    <row r="770" spans="1:6" ht="72">
      <c r="A770" s="405">
        <v>45933.379166666666</v>
      </c>
      <c r="B770" s="384" t="s">
        <v>1076</v>
      </c>
      <c r="C770" s="384" t="s">
        <v>1277</v>
      </c>
      <c r="D770" s="385" t="s">
        <v>2331</v>
      </c>
      <c r="E770" s="390" t="s">
        <v>1239</v>
      </c>
      <c r="F770" s="396" t="s">
        <v>1313</v>
      </c>
    </row>
    <row r="771" spans="1:6" ht="72">
      <c r="A771" s="405">
        <v>45933.379166666666</v>
      </c>
      <c r="B771" s="384" t="s">
        <v>1076</v>
      </c>
      <c r="C771" s="384" t="s">
        <v>1277</v>
      </c>
      <c r="D771" s="385" t="s">
        <v>2510</v>
      </c>
      <c r="E771" s="390" t="s">
        <v>1239</v>
      </c>
      <c r="F771" s="396" t="s">
        <v>1313</v>
      </c>
    </row>
    <row r="772" spans="1:6" ht="72">
      <c r="A772" s="405">
        <v>45933.379166666666</v>
      </c>
      <c r="B772" s="384" t="s">
        <v>1076</v>
      </c>
      <c r="C772" s="384" t="s">
        <v>1277</v>
      </c>
      <c r="D772" s="385" t="s">
        <v>2509</v>
      </c>
      <c r="E772" s="390" t="s">
        <v>1239</v>
      </c>
      <c r="F772" s="396" t="s">
        <v>1313</v>
      </c>
    </row>
    <row r="773" spans="1:6" ht="72">
      <c r="A773" s="405">
        <v>45933.379166666666</v>
      </c>
      <c r="B773" s="384" t="s">
        <v>1076</v>
      </c>
      <c r="C773" s="384" t="s">
        <v>1277</v>
      </c>
      <c r="D773" s="385" t="s">
        <v>2269</v>
      </c>
      <c r="E773" s="390" t="s">
        <v>1239</v>
      </c>
      <c r="F773" s="396" t="s">
        <v>1313</v>
      </c>
    </row>
    <row r="774" spans="1:6" ht="72">
      <c r="A774" s="405">
        <v>45933.379166666666</v>
      </c>
      <c r="B774" s="384" t="s">
        <v>1076</v>
      </c>
      <c r="C774" s="384" t="s">
        <v>1277</v>
      </c>
      <c r="D774" s="385" t="s">
        <v>2508</v>
      </c>
      <c r="E774" s="390" t="s">
        <v>1239</v>
      </c>
      <c r="F774" s="396" t="s">
        <v>1313</v>
      </c>
    </row>
    <row r="775" spans="1:6" ht="72">
      <c r="A775" s="405">
        <v>45933.379166666666</v>
      </c>
      <c r="B775" s="384" t="s">
        <v>1076</v>
      </c>
      <c r="C775" s="384" t="s">
        <v>1277</v>
      </c>
      <c r="D775" s="385" t="s">
        <v>2507</v>
      </c>
      <c r="E775" s="390" t="s">
        <v>1239</v>
      </c>
      <c r="F775" s="396" t="s">
        <v>1313</v>
      </c>
    </row>
    <row r="776" spans="1:6" ht="72">
      <c r="A776" s="405">
        <v>45933.379166666666</v>
      </c>
      <c r="B776" s="384" t="s">
        <v>1076</v>
      </c>
      <c r="C776" s="384" t="s">
        <v>1277</v>
      </c>
      <c r="D776" s="385" t="s">
        <v>2354</v>
      </c>
      <c r="E776" s="390" t="s">
        <v>1239</v>
      </c>
      <c r="F776" s="396" t="s">
        <v>1313</v>
      </c>
    </row>
    <row r="777" spans="1:6" ht="72">
      <c r="A777" s="405">
        <v>45933.379166666666</v>
      </c>
      <c r="B777" s="384" t="s">
        <v>1076</v>
      </c>
      <c r="C777" s="384" t="s">
        <v>1277</v>
      </c>
      <c r="D777" s="385" t="s">
        <v>2506</v>
      </c>
      <c r="E777" s="390" t="s">
        <v>1239</v>
      </c>
      <c r="F777" s="396" t="s">
        <v>1313</v>
      </c>
    </row>
    <row r="778" spans="1:6" ht="72">
      <c r="A778" s="405">
        <v>45933.379166666666</v>
      </c>
      <c r="B778" s="384" t="s">
        <v>1076</v>
      </c>
      <c r="C778" s="384" t="s">
        <v>1277</v>
      </c>
      <c r="D778" s="385" t="s">
        <v>2505</v>
      </c>
      <c r="E778" s="390" t="s">
        <v>1239</v>
      </c>
      <c r="F778" s="396" t="s">
        <v>1313</v>
      </c>
    </row>
    <row r="779" spans="1:6" ht="72">
      <c r="A779" s="405">
        <v>45933.379166666666</v>
      </c>
      <c r="B779" s="384" t="s">
        <v>1076</v>
      </c>
      <c r="C779" s="384" t="s">
        <v>1277</v>
      </c>
      <c r="D779" s="385" t="s">
        <v>2504</v>
      </c>
      <c r="E779" s="390" t="s">
        <v>1239</v>
      </c>
      <c r="F779" s="396" t="s">
        <v>1313</v>
      </c>
    </row>
    <row r="780" spans="1:6" ht="72">
      <c r="A780" s="405">
        <v>45933.379166666666</v>
      </c>
      <c r="B780" s="384" t="s">
        <v>1076</v>
      </c>
      <c r="C780" s="384" t="s">
        <v>1277</v>
      </c>
      <c r="D780" s="385" t="s">
        <v>2503</v>
      </c>
      <c r="E780" s="390" t="s">
        <v>1239</v>
      </c>
      <c r="F780" s="396" t="s">
        <v>1313</v>
      </c>
    </row>
    <row r="781" spans="1:6" ht="72">
      <c r="A781" s="405">
        <v>45933.379166666666</v>
      </c>
      <c r="B781" s="384" t="s">
        <v>1076</v>
      </c>
      <c r="C781" s="384" t="s">
        <v>1277</v>
      </c>
      <c r="D781" s="385" t="s">
        <v>2502</v>
      </c>
      <c r="E781" s="390" t="s">
        <v>1239</v>
      </c>
      <c r="F781" s="396" t="s">
        <v>1313</v>
      </c>
    </row>
    <row r="782" spans="1:6" ht="72">
      <c r="A782" s="405">
        <v>45933.379166666666</v>
      </c>
      <c r="B782" s="384" t="s">
        <v>1076</v>
      </c>
      <c r="C782" s="384" t="s">
        <v>1277</v>
      </c>
      <c r="D782" s="385" t="s">
        <v>2501</v>
      </c>
      <c r="E782" s="390" t="s">
        <v>1239</v>
      </c>
      <c r="F782" s="396" t="s">
        <v>1313</v>
      </c>
    </row>
    <row r="783" spans="1:6" ht="72">
      <c r="A783" s="405">
        <v>45933.379166666666</v>
      </c>
      <c r="B783" s="384" t="s">
        <v>1076</v>
      </c>
      <c r="C783" s="384" t="s">
        <v>1277</v>
      </c>
      <c r="D783" s="385" t="s">
        <v>2500</v>
      </c>
      <c r="E783" s="390" t="s">
        <v>1239</v>
      </c>
      <c r="F783" s="396" t="s">
        <v>1313</v>
      </c>
    </row>
    <row r="784" spans="1:6" ht="72">
      <c r="A784" s="405">
        <v>45933.379166666666</v>
      </c>
      <c r="B784" s="384" t="s">
        <v>1076</v>
      </c>
      <c r="C784" s="384" t="s">
        <v>1277</v>
      </c>
      <c r="D784" s="385" t="s">
        <v>2178</v>
      </c>
      <c r="E784" s="390" t="s">
        <v>1239</v>
      </c>
      <c r="F784" s="396" t="s">
        <v>1313</v>
      </c>
    </row>
    <row r="785" spans="1:6" ht="72">
      <c r="A785" s="405">
        <v>45933.379166666666</v>
      </c>
      <c r="B785" s="384" t="s">
        <v>1076</v>
      </c>
      <c r="C785" s="384" t="s">
        <v>1277</v>
      </c>
      <c r="D785" s="385" t="s">
        <v>2499</v>
      </c>
      <c r="E785" s="390" t="s">
        <v>1239</v>
      </c>
      <c r="F785" s="396" t="s">
        <v>1313</v>
      </c>
    </row>
    <row r="786" spans="1:6" ht="72">
      <c r="A786" s="405">
        <v>45933.379166666666</v>
      </c>
      <c r="B786" s="384" t="s">
        <v>1076</v>
      </c>
      <c r="C786" s="384" t="s">
        <v>1277</v>
      </c>
      <c r="D786" s="385" t="s">
        <v>2353</v>
      </c>
      <c r="E786" s="390" t="s">
        <v>1239</v>
      </c>
      <c r="F786" s="396" t="s">
        <v>1313</v>
      </c>
    </row>
    <row r="787" spans="1:6" ht="72">
      <c r="A787" s="405">
        <v>45933.379166666666</v>
      </c>
      <c r="B787" s="384" t="s">
        <v>1076</v>
      </c>
      <c r="C787" s="384" t="s">
        <v>1277</v>
      </c>
      <c r="D787" s="385" t="s">
        <v>2498</v>
      </c>
      <c r="E787" s="390" t="s">
        <v>1239</v>
      </c>
      <c r="F787" s="396" t="s">
        <v>1313</v>
      </c>
    </row>
    <row r="788" spans="1:6" ht="72">
      <c r="A788" s="405">
        <v>45933.379166666666</v>
      </c>
      <c r="B788" s="384" t="s">
        <v>1076</v>
      </c>
      <c r="C788" s="384" t="s">
        <v>1277</v>
      </c>
      <c r="D788" s="385" t="s">
        <v>1852</v>
      </c>
      <c r="E788" s="390" t="s">
        <v>1239</v>
      </c>
      <c r="F788" s="396" t="s">
        <v>1313</v>
      </c>
    </row>
    <row r="789" spans="1:6" ht="72">
      <c r="A789" s="405">
        <v>45933.379166666666</v>
      </c>
      <c r="B789" s="384" t="s">
        <v>1076</v>
      </c>
      <c r="C789" s="384" t="s">
        <v>1277</v>
      </c>
      <c r="D789" s="385" t="s">
        <v>2497</v>
      </c>
      <c r="E789" s="390" t="s">
        <v>1239</v>
      </c>
      <c r="F789" s="396" t="s">
        <v>1313</v>
      </c>
    </row>
    <row r="790" spans="1:6" ht="72">
      <c r="A790" s="405">
        <v>45933.379166666666</v>
      </c>
      <c r="B790" s="384" t="s">
        <v>1076</v>
      </c>
      <c r="C790" s="384" t="s">
        <v>1277</v>
      </c>
      <c r="D790" s="385" t="s">
        <v>2496</v>
      </c>
      <c r="E790" s="390" t="s">
        <v>1239</v>
      </c>
      <c r="F790" s="396" t="s">
        <v>1313</v>
      </c>
    </row>
    <row r="791" spans="1:6" ht="72">
      <c r="A791" s="405">
        <v>45933.379166666666</v>
      </c>
      <c r="B791" s="384" t="s">
        <v>1076</v>
      </c>
      <c r="C791" s="384" t="s">
        <v>1277</v>
      </c>
      <c r="D791" s="385" t="s">
        <v>2288</v>
      </c>
      <c r="E791" s="390" t="s">
        <v>1239</v>
      </c>
      <c r="F791" s="396" t="s">
        <v>1313</v>
      </c>
    </row>
    <row r="792" spans="1:6" ht="72">
      <c r="A792" s="405">
        <v>45933.379166666666</v>
      </c>
      <c r="B792" s="384" t="s">
        <v>1076</v>
      </c>
      <c r="C792" s="384" t="s">
        <v>1277</v>
      </c>
      <c r="D792" s="385" t="s">
        <v>2495</v>
      </c>
      <c r="E792" s="390" t="s">
        <v>1239</v>
      </c>
      <c r="F792" s="396" t="s">
        <v>1313</v>
      </c>
    </row>
    <row r="793" spans="1:6" ht="72">
      <c r="A793" s="405">
        <v>45933.224999999999</v>
      </c>
      <c r="B793" s="384" t="s">
        <v>88</v>
      </c>
      <c r="C793" s="384" t="s">
        <v>1277</v>
      </c>
      <c r="D793" s="385" t="s">
        <v>2494</v>
      </c>
      <c r="E793" s="390" t="s">
        <v>1239</v>
      </c>
      <c r="F793" s="396" t="s">
        <v>1313</v>
      </c>
    </row>
    <row r="794" spans="1:6">
      <c r="A794" s="405">
        <v>45903.736805555556</v>
      </c>
      <c r="B794" s="384" t="s">
        <v>88</v>
      </c>
      <c r="C794" s="384" t="s">
        <v>1277</v>
      </c>
      <c r="D794" s="385" t="s">
        <v>2490</v>
      </c>
      <c r="E794" s="390" t="s">
        <v>1239</v>
      </c>
      <c r="F794" s="396" t="s">
        <v>1313</v>
      </c>
    </row>
    <row r="795" spans="1:6">
      <c r="A795" s="405">
        <v>45903.736805555556</v>
      </c>
      <c r="B795" s="384" t="s">
        <v>88</v>
      </c>
      <c r="C795" s="384" t="s">
        <v>1277</v>
      </c>
      <c r="D795" s="385" t="s">
        <v>2489</v>
      </c>
      <c r="E795" s="390" t="s">
        <v>1239</v>
      </c>
      <c r="F795" s="396" t="s">
        <v>1313</v>
      </c>
    </row>
    <row r="796" spans="1:6" ht="72">
      <c r="A796" s="405">
        <v>45903.293749999997</v>
      </c>
      <c r="B796" s="384" t="s">
        <v>23</v>
      </c>
      <c r="C796" s="384" t="s">
        <v>1277</v>
      </c>
      <c r="D796" s="385" t="s">
        <v>2480</v>
      </c>
      <c r="E796" s="390" t="s">
        <v>1239</v>
      </c>
      <c r="F796" s="396" t="s">
        <v>1313</v>
      </c>
    </row>
    <row r="797" spans="1:6" ht="48">
      <c r="A797" s="405">
        <v>45903.293749999997</v>
      </c>
      <c r="B797" s="384" t="s">
        <v>23</v>
      </c>
      <c r="C797" s="384" t="s">
        <v>1277</v>
      </c>
      <c r="D797" s="385" t="s">
        <v>2479</v>
      </c>
      <c r="E797" s="390" t="s">
        <v>1239</v>
      </c>
      <c r="F797" s="396" t="s">
        <v>1313</v>
      </c>
    </row>
    <row r="798" spans="1:6" ht="48">
      <c r="A798" s="405">
        <v>45903.293749999997</v>
      </c>
      <c r="B798" s="384" t="s">
        <v>23</v>
      </c>
      <c r="C798" s="384" t="s">
        <v>1277</v>
      </c>
      <c r="D798" s="385" t="s">
        <v>2478</v>
      </c>
      <c r="E798" s="390" t="s">
        <v>1239</v>
      </c>
      <c r="F798" s="396" t="s">
        <v>1313</v>
      </c>
    </row>
    <row r="799" spans="1:6" ht="48">
      <c r="A799" s="405">
        <v>45903.291666666664</v>
      </c>
      <c r="B799" s="384" t="s">
        <v>88</v>
      </c>
      <c r="C799" s="384" t="s">
        <v>1238</v>
      </c>
      <c r="D799" s="385" t="s">
        <v>2477</v>
      </c>
      <c r="E799" s="390" t="s">
        <v>1239</v>
      </c>
      <c r="F799" s="396" t="s">
        <v>1313</v>
      </c>
    </row>
    <row r="800" spans="1:6" ht="72">
      <c r="A800" s="405">
        <v>45872.293055555558</v>
      </c>
      <c r="B800" s="384" t="s">
        <v>23</v>
      </c>
      <c r="C800" s="384" t="s">
        <v>1277</v>
      </c>
      <c r="D800" s="385" t="s">
        <v>2476</v>
      </c>
      <c r="E800" s="390" t="s">
        <v>1239</v>
      </c>
      <c r="F800" s="396" t="s">
        <v>1313</v>
      </c>
    </row>
    <row r="801" spans="1:6" ht="48">
      <c r="A801" s="405">
        <v>45872.293055555558</v>
      </c>
      <c r="B801" s="384" t="s">
        <v>23</v>
      </c>
      <c r="C801" s="384" t="s">
        <v>1277</v>
      </c>
      <c r="D801" s="385" t="s">
        <v>2475</v>
      </c>
      <c r="E801" s="390" t="s">
        <v>1239</v>
      </c>
      <c r="F801" s="396" t="s">
        <v>1313</v>
      </c>
    </row>
    <row r="802" spans="1:6" ht="48">
      <c r="A802" s="405">
        <v>45872.293055555558</v>
      </c>
      <c r="B802" s="384" t="s">
        <v>23</v>
      </c>
      <c r="C802" s="384" t="s">
        <v>1277</v>
      </c>
      <c r="D802" s="385" t="s">
        <v>2474</v>
      </c>
      <c r="E802" s="390" t="s">
        <v>1239</v>
      </c>
      <c r="F802" s="396" t="s">
        <v>1313</v>
      </c>
    </row>
    <row r="803" spans="1:6" ht="72">
      <c r="A803" s="405">
        <v>45841.404166666667</v>
      </c>
      <c r="B803" s="384" t="s">
        <v>1076</v>
      </c>
      <c r="C803" s="384" t="s">
        <v>1277</v>
      </c>
      <c r="D803" s="385" t="s">
        <v>2469</v>
      </c>
      <c r="E803" s="390" t="s">
        <v>1239</v>
      </c>
      <c r="F803" s="396" t="s">
        <v>1313</v>
      </c>
    </row>
    <row r="804" spans="1:6" ht="72">
      <c r="A804" s="405">
        <v>45841.404166666667</v>
      </c>
      <c r="B804" s="384" t="s">
        <v>1076</v>
      </c>
      <c r="C804" s="384" t="s">
        <v>1277</v>
      </c>
      <c r="D804" s="385" t="s">
        <v>2468</v>
      </c>
      <c r="E804" s="390" t="s">
        <v>1239</v>
      </c>
      <c r="F804" s="396" t="s">
        <v>1313</v>
      </c>
    </row>
    <row r="805" spans="1:6" ht="72">
      <c r="A805" s="405">
        <v>45841.404166666667</v>
      </c>
      <c r="B805" s="384" t="s">
        <v>1076</v>
      </c>
      <c r="C805" s="384" t="s">
        <v>1277</v>
      </c>
      <c r="D805" s="385" t="s">
        <v>2235</v>
      </c>
      <c r="E805" s="390" t="s">
        <v>1239</v>
      </c>
      <c r="F805" s="396" t="s">
        <v>1313</v>
      </c>
    </row>
    <row r="806" spans="1:6" ht="72">
      <c r="A806" s="405">
        <v>45841.404166666667</v>
      </c>
      <c r="B806" s="384" t="s">
        <v>1076</v>
      </c>
      <c r="C806" s="384" t="s">
        <v>1277</v>
      </c>
      <c r="D806" s="385" t="s">
        <v>2234</v>
      </c>
      <c r="E806" s="390" t="s">
        <v>1239</v>
      </c>
      <c r="F806" s="396" t="s">
        <v>1313</v>
      </c>
    </row>
    <row r="807" spans="1:6" ht="72">
      <c r="A807" s="405">
        <v>45841.404166666667</v>
      </c>
      <c r="B807" s="384" t="s">
        <v>1076</v>
      </c>
      <c r="C807" s="384" t="s">
        <v>1277</v>
      </c>
      <c r="D807" s="385" t="s">
        <v>2233</v>
      </c>
      <c r="E807" s="390" t="s">
        <v>1239</v>
      </c>
      <c r="F807" s="396" t="s">
        <v>1313</v>
      </c>
    </row>
    <row r="808" spans="1:6" ht="72">
      <c r="A808" s="405">
        <v>45841.404166666667</v>
      </c>
      <c r="B808" s="384" t="s">
        <v>1076</v>
      </c>
      <c r="C808" s="384" t="s">
        <v>1277</v>
      </c>
      <c r="D808" s="385" t="s">
        <v>2232</v>
      </c>
      <c r="E808" s="390" t="s">
        <v>1239</v>
      </c>
      <c r="F808" s="396" t="s">
        <v>1313</v>
      </c>
    </row>
    <row r="809" spans="1:6" ht="72">
      <c r="A809" s="405">
        <v>45841.404166666667</v>
      </c>
      <c r="B809" s="384" t="s">
        <v>1076</v>
      </c>
      <c r="C809" s="384" t="s">
        <v>1277</v>
      </c>
      <c r="D809" s="385" t="s">
        <v>2231</v>
      </c>
      <c r="E809" s="390" t="s">
        <v>1239</v>
      </c>
      <c r="F809" s="396" t="s">
        <v>1313</v>
      </c>
    </row>
    <row r="810" spans="1:6" ht="72">
      <c r="A810" s="405">
        <v>45841.404166666667</v>
      </c>
      <c r="B810" s="384" t="s">
        <v>1076</v>
      </c>
      <c r="C810" s="384" t="s">
        <v>1277</v>
      </c>
      <c r="D810" s="385" t="s">
        <v>2230</v>
      </c>
      <c r="E810" s="390" t="s">
        <v>1239</v>
      </c>
      <c r="F810" s="396" t="s">
        <v>1313</v>
      </c>
    </row>
    <row r="811" spans="1:6" ht="72">
      <c r="A811" s="405">
        <v>45841.404166666667</v>
      </c>
      <c r="B811" s="384" t="s">
        <v>1076</v>
      </c>
      <c r="C811" s="384" t="s">
        <v>1277</v>
      </c>
      <c r="D811" s="385" t="s">
        <v>2229</v>
      </c>
      <c r="E811" s="390" t="s">
        <v>1239</v>
      </c>
      <c r="F811" s="396" t="s">
        <v>1313</v>
      </c>
    </row>
    <row r="812" spans="1:6" ht="72">
      <c r="A812" s="405">
        <v>45841.404166666667</v>
      </c>
      <c r="B812" s="384" t="s">
        <v>1076</v>
      </c>
      <c r="C812" s="384" t="s">
        <v>1277</v>
      </c>
      <c r="D812" s="385" t="s">
        <v>2467</v>
      </c>
      <c r="E812" s="390" t="s">
        <v>1239</v>
      </c>
      <c r="F812" s="396" t="s">
        <v>1313</v>
      </c>
    </row>
    <row r="813" spans="1:6" ht="72">
      <c r="A813" s="405">
        <v>45841.404166666667</v>
      </c>
      <c r="B813" s="384" t="s">
        <v>1076</v>
      </c>
      <c r="C813" s="384" t="s">
        <v>1277</v>
      </c>
      <c r="D813" s="385" t="s">
        <v>2466</v>
      </c>
      <c r="E813" s="390" t="s">
        <v>1239</v>
      </c>
      <c r="F813" s="396" t="s">
        <v>1313</v>
      </c>
    </row>
    <row r="814" spans="1:6" ht="72">
      <c r="A814" s="405">
        <v>45841.404166666667</v>
      </c>
      <c r="B814" s="384" t="s">
        <v>1076</v>
      </c>
      <c r="C814" s="384" t="s">
        <v>1277</v>
      </c>
      <c r="D814" s="385" t="s">
        <v>2228</v>
      </c>
      <c r="E814" s="390" t="s">
        <v>1239</v>
      </c>
      <c r="F814" s="396" t="s">
        <v>1313</v>
      </c>
    </row>
    <row r="815" spans="1:6" ht="72">
      <c r="A815" s="405">
        <v>45841.404166666667</v>
      </c>
      <c r="B815" s="384" t="s">
        <v>1076</v>
      </c>
      <c r="C815" s="384" t="s">
        <v>1277</v>
      </c>
      <c r="D815" s="385" t="s">
        <v>2227</v>
      </c>
      <c r="E815" s="390" t="s">
        <v>1239</v>
      </c>
      <c r="F815" s="396" t="s">
        <v>1313</v>
      </c>
    </row>
    <row r="816" spans="1:6" ht="72">
      <c r="A816" s="405">
        <v>45841.404166666667</v>
      </c>
      <c r="B816" s="384" t="s">
        <v>1076</v>
      </c>
      <c r="C816" s="384" t="s">
        <v>1277</v>
      </c>
      <c r="D816" s="385" t="s">
        <v>2226</v>
      </c>
      <c r="E816" s="390" t="s">
        <v>1239</v>
      </c>
      <c r="F816" s="396" t="s">
        <v>1313</v>
      </c>
    </row>
    <row r="817" spans="1:6" ht="72">
      <c r="A817" s="405">
        <v>45841.404166666667</v>
      </c>
      <c r="B817" s="384" t="s">
        <v>1076</v>
      </c>
      <c r="C817" s="384" t="s">
        <v>1277</v>
      </c>
      <c r="D817" s="385" t="s">
        <v>2465</v>
      </c>
      <c r="E817" s="390" t="s">
        <v>1239</v>
      </c>
      <c r="F817" s="396" t="s">
        <v>1313</v>
      </c>
    </row>
    <row r="818" spans="1:6" ht="72">
      <c r="A818" s="405">
        <v>45841.404166666667</v>
      </c>
      <c r="B818" s="384" t="s">
        <v>1076</v>
      </c>
      <c r="C818" s="384" t="s">
        <v>1277</v>
      </c>
      <c r="D818" s="385" t="s">
        <v>2464</v>
      </c>
      <c r="E818" s="390" t="s">
        <v>1239</v>
      </c>
      <c r="F818" s="396" t="s">
        <v>1313</v>
      </c>
    </row>
    <row r="819" spans="1:6" ht="72">
      <c r="A819" s="405">
        <v>45841.404166666667</v>
      </c>
      <c r="B819" s="384" t="s">
        <v>1076</v>
      </c>
      <c r="C819" s="384" t="s">
        <v>1277</v>
      </c>
      <c r="D819" s="385" t="s">
        <v>2224</v>
      </c>
      <c r="E819" s="390" t="s">
        <v>1239</v>
      </c>
      <c r="F819" s="396" t="s">
        <v>1313</v>
      </c>
    </row>
    <row r="820" spans="1:6" ht="72">
      <c r="A820" s="405">
        <v>45841.404166666667</v>
      </c>
      <c r="B820" s="384" t="s">
        <v>1076</v>
      </c>
      <c r="C820" s="384" t="s">
        <v>1277</v>
      </c>
      <c r="D820" s="385" t="s">
        <v>2223</v>
      </c>
      <c r="E820" s="390" t="s">
        <v>1239</v>
      </c>
      <c r="F820" s="396" t="s">
        <v>1313</v>
      </c>
    </row>
    <row r="821" spans="1:6" ht="72">
      <c r="A821" s="405">
        <v>45841.404166666667</v>
      </c>
      <c r="B821" s="384" t="s">
        <v>1076</v>
      </c>
      <c r="C821" s="384" t="s">
        <v>1277</v>
      </c>
      <c r="D821" s="385" t="s">
        <v>2463</v>
      </c>
      <c r="E821" s="390" t="s">
        <v>1239</v>
      </c>
      <c r="F821" s="396" t="s">
        <v>1313</v>
      </c>
    </row>
    <row r="822" spans="1:6" ht="72">
      <c r="A822" s="405">
        <v>45841.404166666667</v>
      </c>
      <c r="B822" s="384" t="s">
        <v>1076</v>
      </c>
      <c r="C822" s="384" t="s">
        <v>1277</v>
      </c>
      <c r="D822" s="385" t="s">
        <v>2221</v>
      </c>
      <c r="E822" s="390" t="s">
        <v>1239</v>
      </c>
      <c r="F822" s="396" t="s">
        <v>1313</v>
      </c>
    </row>
    <row r="823" spans="1:6" ht="72">
      <c r="A823" s="405">
        <v>45841.404166666667</v>
      </c>
      <c r="B823" s="384" t="s">
        <v>1076</v>
      </c>
      <c r="C823" s="384" t="s">
        <v>1277</v>
      </c>
      <c r="D823" s="385" t="s">
        <v>2220</v>
      </c>
      <c r="E823" s="390" t="s">
        <v>1239</v>
      </c>
      <c r="F823" s="396" t="s">
        <v>1313</v>
      </c>
    </row>
    <row r="824" spans="1:6" ht="72">
      <c r="A824" s="405">
        <v>45841.404166666667</v>
      </c>
      <c r="B824" s="384" t="s">
        <v>1076</v>
      </c>
      <c r="C824" s="384" t="s">
        <v>1277</v>
      </c>
      <c r="D824" s="385" t="s">
        <v>2462</v>
      </c>
      <c r="E824" s="390" t="s">
        <v>1239</v>
      </c>
      <c r="F824" s="396" t="s">
        <v>1313</v>
      </c>
    </row>
    <row r="825" spans="1:6" ht="72">
      <c r="A825" s="405">
        <v>45841.404166666667</v>
      </c>
      <c r="B825" s="384" t="s">
        <v>1076</v>
      </c>
      <c r="C825" s="384" t="s">
        <v>1277</v>
      </c>
      <c r="D825" s="385" t="s">
        <v>2219</v>
      </c>
      <c r="E825" s="390" t="s">
        <v>1239</v>
      </c>
      <c r="F825" s="396" t="s">
        <v>1313</v>
      </c>
    </row>
    <row r="826" spans="1:6" ht="72">
      <c r="A826" s="405">
        <v>45841.404166666667</v>
      </c>
      <c r="B826" s="384" t="s">
        <v>1076</v>
      </c>
      <c r="C826" s="384" t="s">
        <v>1277</v>
      </c>
      <c r="D826" s="385" t="s">
        <v>2461</v>
      </c>
      <c r="E826" s="390" t="s">
        <v>1239</v>
      </c>
      <c r="F826" s="396" t="s">
        <v>1313</v>
      </c>
    </row>
    <row r="827" spans="1:6" ht="72">
      <c r="A827" s="405">
        <v>45841.404166666667</v>
      </c>
      <c r="B827" s="384" t="s">
        <v>1076</v>
      </c>
      <c r="C827" s="384" t="s">
        <v>1277</v>
      </c>
      <c r="D827" s="385" t="s">
        <v>2217</v>
      </c>
      <c r="E827" s="390" t="s">
        <v>1239</v>
      </c>
      <c r="F827" s="396" t="s">
        <v>1313</v>
      </c>
    </row>
    <row r="828" spans="1:6" ht="72">
      <c r="A828" s="405">
        <v>45841.404166666667</v>
      </c>
      <c r="B828" s="384" t="s">
        <v>1076</v>
      </c>
      <c r="C828" s="384" t="s">
        <v>1277</v>
      </c>
      <c r="D828" s="385" t="s">
        <v>2460</v>
      </c>
      <c r="E828" s="390" t="s">
        <v>1239</v>
      </c>
      <c r="F828" s="396" t="s">
        <v>1313</v>
      </c>
    </row>
    <row r="829" spans="1:6" ht="72">
      <c r="A829" s="405">
        <v>45841.404166666667</v>
      </c>
      <c r="B829" s="384" t="s">
        <v>1076</v>
      </c>
      <c r="C829" s="384" t="s">
        <v>1277</v>
      </c>
      <c r="D829" s="385" t="s">
        <v>2459</v>
      </c>
      <c r="E829" s="390" t="s">
        <v>1239</v>
      </c>
      <c r="F829" s="396" t="s">
        <v>1313</v>
      </c>
    </row>
    <row r="830" spans="1:6" ht="72">
      <c r="A830" s="405">
        <v>45841.404166666667</v>
      </c>
      <c r="B830" s="384" t="s">
        <v>1076</v>
      </c>
      <c r="C830" s="384" t="s">
        <v>1277</v>
      </c>
      <c r="D830" s="385" t="s">
        <v>2215</v>
      </c>
      <c r="E830" s="390" t="s">
        <v>1239</v>
      </c>
      <c r="F830" s="396" t="s">
        <v>1313</v>
      </c>
    </row>
    <row r="831" spans="1:6" ht="72">
      <c r="A831" s="405">
        <v>45841.404166666667</v>
      </c>
      <c r="B831" s="384" t="s">
        <v>1076</v>
      </c>
      <c r="C831" s="384" t="s">
        <v>1277</v>
      </c>
      <c r="D831" s="385" t="s">
        <v>2214</v>
      </c>
      <c r="E831" s="390" t="s">
        <v>1239</v>
      </c>
      <c r="F831" s="396" t="s">
        <v>1313</v>
      </c>
    </row>
    <row r="832" spans="1:6" ht="72">
      <c r="A832" s="405">
        <v>45841.404166666667</v>
      </c>
      <c r="B832" s="384" t="s">
        <v>1076</v>
      </c>
      <c r="C832" s="384" t="s">
        <v>1277</v>
      </c>
      <c r="D832" s="385" t="s">
        <v>2213</v>
      </c>
      <c r="E832" s="390" t="s">
        <v>1239</v>
      </c>
      <c r="F832" s="396" t="s">
        <v>1313</v>
      </c>
    </row>
    <row r="833" spans="1:6" ht="72">
      <c r="A833" s="405">
        <v>45841.404166666667</v>
      </c>
      <c r="B833" s="384" t="s">
        <v>1076</v>
      </c>
      <c r="C833" s="384" t="s">
        <v>1277</v>
      </c>
      <c r="D833" s="385" t="s">
        <v>2212</v>
      </c>
      <c r="E833" s="390" t="s">
        <v>1239</v>
      </c>
      <c r="F833" s="396" t="s">
        <v>1313</v>
      </c>
    </row>
    <row r="834" spans="1:6" ht="72">
      <c r="A834" s="405">
        <v>45841.404166666667</v>
      </c>
      <c r="B834" s="384" t="s">
        <v>1076</v>
      </c>
      <c r="C834" s="384" t="s">
        <v>1277</v>
      </c>
      <c r="D834" s="385" t="s">
        <v>2211</v>
      </c>
      <c r="E834" s="390" t="s">
        <v>1239</v>
      </c>
      <c r="F834" s="396" t="s">
        <v>1313</v>
      </c>
    </row>
    <row r="835" spans="1:6" ht="72">
      <c r="A835" s="405">
        <v>45841.404166666667</v>
      </c>
      <c r="B835" s="384" t="s">
        <v>1076</v>
      </c>
      <c r="C835" s="384" t="s">
        <v>1277</v>
      </c>
      <c r="D835" s="385" t="s">
        <v>2458</v>
      </c>
      <c r="E835" s="390" t="s">
        <v>1239</v>
      </c>
      <c r="F835" s="396" t="s">
        <v>1313</v>
      </c>
    </row>
    <row r="836" spans="1:6" ht="72">
      <c r="A836" s="405">
        <v>45841.404166666667</v>
      </c>
      <c r="B836" s="384" t="s">
        <v>1076</v>
      </c>
      <c r="C836" s="384" t="s">
        <v>1277</v>
      </c>
      <c r="D836" s="385" t="s">
        <v>2210</v>
      </c>
      <c r="E836" s="390" t="s">
        <v>1239</v>
      </c>
      <c r="F836" s="396" t="s">
        <v>1313</v>
      </c>
    </row>
    <row r="837" spans="1:6" ht="72">
      <c r="A837" s="405">
        <v>45841.404166666667</v>
      </c>
      <c r="B837" s="384" t="s">
        <v>1076</v>
      </c>
      <c r="C837" s="384" t="s">
        <v>1277</v>
      </c>
      <c r="D837" s="385" t="s">
        <v>2457</v>
      </c>
      <c r="E837" s="390" t="s">
        <v>1239</v>
      </c>
      <c r="F837" s="396" t="s">
        <v>1313</v>
      </c>
    </row>
    <row r="838" spans="1:6" ht="72">
      <c r="A838" s="405">
        <v>45841.404166666667</v>
      </c>
      <c r="B838" s="384" t="s">
        <v>1076</v>
      </c>
      <c r="C838" s="384" t="s">
        <v>1277</v>
      </c>
      <c r="D838" s="385" t="s">
        <v>2208</v>
      </c>
      <c r="E838" s="390" t="s">
        <v>1239</v>
      </c>
      <c r="F838" s="396" t="s">
        <v>1313</v>
      </c>
    </row>
    <row r="839" spans="1:6" ht="72">
      <c r="A839" s="405">
        <v>45841.404166666667</v>
      </c>
      <c r="B839" s="384" t="s">
        <v>1076</v>
      </c>
      <c r="C839" s="384" t="s">
        <v>1277</v>
      </c>
      <c r="D839" s="385" t="s">
        <v>2207</v>
      </c>
      <c r="E839" s="390" t="s">
        <v>1239</v>
      </c>
      <c r="F839" s="396" t="s">
        <v>1313</v>
      </c>
    </row>
    <row r="840" spans="1:6" ht="72">
      <c r="A840" s="405">
        <v>45841.404166666667</v>
      </c>
      <c r="B840" s="384" t="s">
        <v>1076</v>
      </c>
      <c r="C840" s="384" t="s">
        <v>1277</v>
      </c>
      <c r="D840" s="385" t="s">
        <v>2206</v>
      </c>
      <c r="E840" s="390" t="s">
        <v>1239</v>
      </c>
      <c r="F840" s="396" t="s">
        <v>1313</v>
      </c>
    </row>
    <row r="841" spans="1:6" ht="72">
      <c r="A841" s="405">
        <v>45841.404166666667</v>
      </c>
      <c r="B841" s="384" t="s">
        <v>1076</v>
      </c>
      <c r="C841" s="384" t="s">
        <v>1277</v>
      </c>
      <c r="D841" s="385" t="s">
        <v>2456</v>
      </c>
      <c r="E841" s="390" t="s">
        <v>1239</v>
      </c>
      <c r="F841" s="396" t="s">
        <v>1313</v>
      </c>
    </row>
    <row r="842" spans="1:6" ht="72">
      <c r="A842" s="405">
        <v>45841.404166666667</v>
      </c>
      <c r="B842" s="384" t="s">
        <v>1076</v>
      </c>
      <c r="C842" s="384" t="s">
        <v>1277</v>
      </c>
      <c r="D842" s="385" t="s">
        <v>2205</v>
      </c>
      <c r="E842" s="390" t="s">
        <v>1239</v>
      </c>
      <c r="F842" s="396" t="s">
        <v>1313</v>
      </c>
    </row>
    <row r="843" spans="1:6" ht="72">
      <c r="A843" s="405">
        <v>45841.404166666667</v>
      </c>
      <c r="B843" s="384" t="s">
        <v>1076</v>
      </c>
      <c r="C843" s="384" t="s">
        <v>1277</v>
      </c>
      <c r="D843" s="385" t="s">
        <v>2203</v>
      </c>
      <c r="E843" s="390" t="s">
        <v>1239</v>
      </c>
      <c r="F843" s="396" t="s">
        <v>1313</v>
      </c>
    </row>
    <row r="844" spans="1:6" ht="72">
      <c r="A844" s="405">
        <v>45841.404166666667</v>
      </c>
      <c r="B844" s="384" t="s">
        <v>1076</v>
      </c>
      <c r="C844" s="384" t="s">
        <v>1277</v>
      </c>
      <c r="D844" s="385" t="s">
        <v>2204</v>
      </c>
      <c r="E844" s="390" t="s">
        <v>1239</v>
      </c>
      <c r="F844" s="396" t="s">
        <v>1313</v>
      </c>
    </row>
    <row r="845" spans="1:6" ht="72">
      <c r="A845" s="405">
        <v>45841.404166666667</v>
      </c>
      <c r="B845" s="384" t="s">
        <v>1076</v>
      </c>
      <c r="C845" s="384" t="s">
        <v>1277</v>
      </c>
      <c r="D845" s="385" t="s">
        <v>2202</v>
      </c>
      <c r="E845" s="390" t="s">
        <v>1239</v>
      </c>
      <c r="F845" s="396" t="s">
        <v>1313</v>
      </c>
    </row>
    <row r="846" spans="1:6" ht="72">
      <c r="A846" s="405">
        <v>45841.404166666667</v>
      </c>
      <c r="B846" s="384" t="s">
        <v>1076</v>
      </c>
      <c r="C846" s="384" t="s">
        <v>1277</v>
      </c>
      <c r="D846" s="385" t="s">
        <v>2201</v>
      </c>
      <c r="E846" s="390" t="s">
        <v>1239</v>
      </c>
      <c r="F846" s="396" t="s">
        <v>1313</v>
      </c>
    </row>
    <row r="847" spans="1:6" ht="72">
      <c r="A847" s="405">
        <v>45841.404166666667</v>
      </c>
      <c r="B847" s="384" t="s">
        <v>1076</v>
      </c>
      <c r="C847" s="384" t="s">
        <v>1277</v>
      </c>
      <c r="D847" s="385" t="s">
        <v>2200</v>
      </c>
      <c r="E847" s="390" t="s">
        <v>1239</v>
      </c>
      <c r="F847" s="396" t="s">
        <v>1313</v>
      </c>
    </row>
    <row r="848" spans="1:6" ht="72">
      <c r="A848" s="405">
        <v>45841.404166666667</v>
      </c>
      <c r="B848" s="384" t="s">
        <v>1076</v>
      </c>
      <c r="C848" s="384" t="s">
        <v>1277</v>
      </c>
      <c r="D848" s="385" t="s">
        <v>2455</v>
      </c>
      <c r="E848" s="390" t="s">
        <v>1239</v>
      </c>
      <c r="F848" s="396" t="s">
        <v>1313</v>
      </c>
    </row>
    <row r="849" spans="1:6" ht="72">
      <c r="A849" s="405">
        <v>45841.404166666667</v>
      </c>
      <c r="B849" s="384" t="s">
        <v>1076</v>
      </c>
      <c r="C849" s="384" t="s">
        <v>1277</v>
      </c>
      <c r="D849" s="385" t="s">
        <v>2199</v>
      </c>
      <c r="E849" s="390" t="s">
        <v>1239</v>
      </c>
      <c r="F849" s="396" t="s">
        <v>1313</v>
      </c>
    </row>
    <row r="850" spans="1:6" ht="72">
      <c r="A850" s="405">
        <v>45841.404166666667</v>
      </c>
      <c r="B850" s="384" t="s">
        <v>1076</v>
      </c>
      <c r="C850" s="384" t="s">
        <v>1277</v>
      </c>
      <c r="D850" s="385" t="s">
        <v>2198</v>
      </c>
      <c r="E850" s="390" t="s">
        <v>1239</v>
      </c>
      <c r="F850" s="396" t="s">
        <v>1313</v>
      </c>
    </row>
    <row r="851" spans="1:6" ht="72">
      <c r="A851" s="405">
        <v>45841.404166666667</v>
      </c>
      <c r="B851" s="384" t="s">
        <v>1076</v>
      </c>
      <c r="C851" s="384" t="s">
        <v>1277</v>
      </c>
      <c r="D851" s="385" t="s">
        <v>2197</v>
      </c>
      <c r="E851" s="390" t="s">
        <v>1239</v>
      </c>
      <c r="F851" s="396" t="s">
        <v>1313</v>
      </c>
    </row>
    <row r="852" spans="1:6" ht="72">
      <c r="A852" s="405">
        <v>45841.404166666667</v>
      </c>
      <c r="B852" s="384" t="s">
        <v>1076</v>
      </c>
      <c r="C852" s="384" t="s">
        <v>1277</v>
      </c>
      <c r="D852" s="385" t="s">
        <v>2196</v>
      </c>
      <c r="E852" s="390" t="s">
        <v>1239</v>
      </c>
      <c r="F852" s="396" t="s">
        <v>1313</v>
      </c>
    </row>
    <row r="853" spans="1:6" ht="72">
      <c r="A853" s="405">
        <v>45841.404166666667</v>
      </c>
      <c r="B853" s="384" t="s">
        <v>1076</v>
      </c>
      <c r="C853" s="384" t="s">
        <v>1277</v>
      </c>
      <c r="D853" s="385" t="s">
        <v>2194</v>
      </c>
      <c r="E853" s="390" t="s">
        <v>1239</v>
      </c>
      <c r="F853" s="396" t="s">
        <v>1313</v>
      </c>
    </row>
    <row r="854" spans="1:6" ht="72">
      <c r="A854" s="405">
        <v>45841.404166666667</v>
      </c>
      <c r="B854" s="384" t="s">
        <v>1076</v>
      </c>
      <c r="C854" s="384" t="s">
        <v>1277</v>
      </c>
      <c r="D854" s="385" t="s">
        <v>2193</v>
      </c>
      <c r="E854" s="390" t="s">
        <v>1239</v>
      </c>
      <c r="F854" s="396" t="s">
        <v>1313</v>
      </c>
    </row>
    <row r="855" spans="1:6" ht="72">
      <c r="A855" s="405">
        <v>45841.404166666667</v>
      </c>
      <c r="B855" s="384" t="s">
        <v>1076</v>
      </c>
      <c r="C855" s="384" t="s">
        <v>1277</v>
      </c>
      <c r="D855" s="385" t="s">
        <v>2192</v>
      </c>
      <c r="E855" s="390" t="s">
        <v>1239</v>
      </c>
      <c r="F855" s="396" t="s">
        <v>1313</v>
      </c>
    </row>
    <row r="856" spans="1:6" ht="72">
      <c r="A856" s="405">
        <v>45841.404166666667</v>
      </c>
      <c r="B856" s="384" t="s">
        <v>1076</v>
      </c>
      <c r="C856" s="384" t="s">
        <v>1277</v>
      </c>
      <c r="D856" s="385" t="s">
        <v>2454</v>
      </c>
      <c r="E856" s="390" t="s">
        <v>1239</v>
      </c>
      <c r="F856" s="396" t="s">
        <v>1313</v>
      </c>
    </row>
    <row r="857" spans="1:6" ht="72">
      <c r="A857" s="405">
        <v>45841.404166666667</v>
      </c>
      <c r="B857" s="384" t="s">
        <v>1076</v>
      </c>
      <c r="C857" s="384" t="s">
        <v>1277</v>
      </c>
      <c r="D857" s="385" t="s">
        <v>2453</v>
      </c>
      <c r="E857" s="390" t="s">
        <v>1239</v>
      </c>
      <c r="F857" s="396" t="s">
        <v>1313</v>
      </c>
    </row>
    <row r="858" spans="1:6" ht="72">
      <c r="A858" s="405">
        <v>45841.404166666667</v>
      </c>
      <c r="B858" s="384" t="s">
        <v>1076</v>
      </c>
      <c r="C858" s="384" t="s">
        <v>1277</v>
      </c>
      <c r="D858" s="385" t="s">
        <v>2452</v>
      </c>
      <c r="E858" s="390" t="s">
        <v>1239</v>
      </c>
      <c r="F858" s="396" t="s">
        <v>1313</v>
      </c>
    </row>
    <row r="859" spans="1:6" ht="72">
      <c r="A859" s="405">
        <v>45841.404166666667</v>
      </c>
      <c r="B859" s="384" t="s">
        <v>1076</v>
      </c>
      <c r="C859" s="384" t="s">
        <v>1277</v>
      </c>
      <c r="D859" s="385" t="s">
        <v>2451</v>
      </c>
      <c r="E859" s="390" t="s">
        <v>1239</v>
      </c>
      <c r="F859" s="396" t="s">
        <v>1313</v>
      </c>
    </row>
    <row r="860" spans="1:6" ht="72">
      <c r="A860" s="405">
        <v>45841.404166666667</v>
      </c>
      <c r="B860" s="384" t="s">
        <v>1076</v>
      </c>
      <c r="C860" s="384" t="s">
        <v>1277</v>
      </c>
      <c r="D860" s="385" t="s">
        <v>2191</v>
      </c>
      <c r="E860" s="390" t="s">
        <v>1239</v>
      </c>
      <c r="F860" s="396" t="s">
        <v>1313</v>
      </c>
    </row>
    <row r="861" spans="1:6" ht="72">
      <c r="A861" s="405">
        <v>45841.404166666667</v>
      </c>
      <c r="B861" s="384" t="s">
        <v>1076</v>
      </c>
      <c r="C861" s="384" t="s">
        <v>1277</v>
      </c>
      <c r="D861" s="385" t="s">
        <v>2190</v>
      </c>
      <c r="E861" s="390" t="s">
        <v>1239</v>
      </c>
      <c r="F861" s="396" t="s">
        <v>1313</v>
      </c>
    </row>
    <row r="862" spans="1:6" ht="72">
      <c r="A862" s="405">
        <v>45841.404166666667</v>
      </c>
      <c r="B862" s="384" t="s">
        <v>1076</v>
      </c>
      <c r="C862" s="384" t="s">
        <v>1277</v>
      </c>
      <c r="D862" s="385" t="s">
        <v>2450</v>
      </c>
      <c r="E862" s="390" t="s">
        <v>1239</v>
      </c>
      <c r="F862" s="396" t="s">
        <v>1313</v>
      </c>
    </row>
    <row r="863" spans="1:6" ht="72">
      <c r="A863" s="405">
        <v>45841.404166666667</v>
      </c>
      <c r="B863" s="384" t="s">
        <v>1076</v>
      </c>
      <c r="C863" s="384" t="s">
        <v>1277</v>
      </c>
      <c r="D863" s="385" t="s">
        <v>2189</v>
      </c>
      <c r="E863" s="390" t="s">
        <v>1239</v>
      </c>
      <c r="F863" s="396" t="s">
        <v>1313</v>
      </c>
    </row>
    <row r="864" spans="1:6" ht="72">
      <c r="A864" s="405">
        <v>45841.404166666667</v>
      </c>
      <c r="B864" s="384" t="s">
        <v>1076</v>
      </c>
      <c r="C864" s="384" t="s">
        <v>1277</v>
      </c>
      <c r="D864" s="385" t="s">
        <v>2449</v>
      </c>
      <c r="E864" s="390" t="s">
        <v>1239</v>
      </c>
      <c r="F864" s="396" t="s">
        <v>1313</v>
      </c>
    </row>
    <row r="865" spans="1:6" ht="72">
      <c r="A865" s="405">
        <v>45841.404166666667</v>
      </c>
      <c r="B865" s="384" t="s">
        <v>1076</v>
      </c>
      <c r="C865" s="384" t="s">
        <v>1277</v>
      </c>
      <c r="D865" s="385" t="s">
        <v>2448</v>
      </c>
      <c r="E865" s="390" t="s">
        <v>1239</v>
      </c>
      <c r="F865" s="396" t="s">
        <v>1313</v>
      </c>
    </row>
    <row r="866" spans="1:6" ht="72">
      <c r="A866" s="405">
        <v>45841.404166666667</v>
      </c>
      <c r="B866" s="384" t="s">
        <v>1076</v>
      </c>
      <c r="C866" s="384" t="s">
        <v>1277</v>
      </c>
      <c r="D866" s="385" t="s">
        <v>2188</v>
      </c>
      <c r="E866" s="390" t="s">
        <v>1239</v>
      </c>
      <c r="F866" s="396" t="s">
        <v>1313</v>
      </c>
    </row>
    <row r="867" spans="1:6" ht="72">
      <c r="A867" s="405">
        <v>45841.404166666667</v>
      </c>
      <c r="B867" s="384" t="s">
        <v>1076</v>
      </c>
      <c r="C867" s="384" t="s">
        <v>1277</v>
      </c>
      <c r="D867" s="385" t="s">
        <v>2447</v>
      </c>
      <c r="E867" s="390" t="s">
        <v>1239</v>
      </c>
      <c r="F867" s="396" t="s">
        <v>1313</v>
      </c>
    </row>
    <row r="868" spans="1:6" ht="72">
      <c r="A868" s="405">
        <v>45841.404166666667</v>
      </c>
      <c r="B868" s="384" t="s">
        <v>1076</v>
      </c>
      <c r="C868" s="384" t="s">
        <v>1277</v>
      </c>
      <c r="D868" s="385" t="s">
        <v>2187</v>
      </c>
      <c r="E868" s="390" t="s">
        <v>1239</v>
      </c>
      <c r="F868" s="396" t="s">
        <v>1313</v>
      </c>
    </row>
    <row r="869" spans="1:6" ht="72">
      <c r="A869" s="405">
        <v>45841.404166666667</v>
      </c>
      <c r="B869" s="384" t="s">
        <v>1076</v>
      </c>
      <c r="C869" s="384" t="s">
        <v>1277</v>
      </c>
      <c r="D869" s="385" t="s">
        <v>2186</v>
      </c>
      <c r="E869" s="390" t="s">
        <v>1239</v>
      </c>
      <c r="F869" s="396" t="s">
        <v>1313</v>
      </c>
    </row>
    <row r="870" spans="1:6" ht="72">
      <c r="A870" s="405">
        <v>45841.404166666667</v>
      </c>
      <c r="B870" s="384" t="s">
        <v>1076</v>
      </c>
      <c r="C870" s="384" t="s">
        <v>1277</v>
      </c>
      <c r="D870" s="385" t="s">
        <v>2185</v>
      </c>
      <c r="E870" s="390" t="s">
        <v>1239</v>
      </c>
      <c r="F870" s="396" t="s">
        <v>1313</v>
      </c>
    </row>
    <row r="871" spans="1:6" ht="72">
      <c r="A871" s="405">
        <v>45841.404166666667</v>
      </c>
      <c r="B871" s="384" t="s">
        <v>1076</v>
      </c>
      <c r="C871" s="384" t="s">
        <v>1277</v>
      </c>
      <c r="D871" s="385" t="s">
        <v>2446</v>
      </c>
      <c r="E871" s="390" t="s">
        <v>1239</v>
      </c>
      <c r="F871" s="396" t="s">
        <v>1313</v>
      </c>
    </row>
    <row r="872" spans="1:6" ht="72">
      <c r="A872" s="405">
        <v>45841.404166666667</v>
      </c>
      <c r="B872" s="384" t="s">
        <v>1076</v>
      </c>
      <c r="C872" s="384" t="s">
        <v>1277</v>
      </c>
      <c r="D872" s="385" t="s">
        <v>2183</v>
      </c>
      <c r="E872" s="390" t="s">
        <v>1239</v>
      </c>
      <c r="F872" s="396" t="s">
        <v>1313</v>
      </c>
    </row>
    <row r="873" spans="1:6" ht="72">
      <c r="A873" s="405">
        <v>45841.404166666667</v>
      </c>
      <c r="B873" s="384" t="s">
        <v>1076</v>
      </c>
      <c r="C873" s="384" t="s">
        <v>1277</v>
      </c>
      <c r="D873" s="385" t="s">
        <v>2445</v>
      </c>
      <c r="E873" s="390" t="s">
        <v>1239</v>
      </c>
      <c r="F873" s="396" t="s">
        <v>1313</v>
      </c>
    </row>
    <row r="874" spans="1:6" ht="72">
      <c r="A874" s="405">
        <v>45841.404166666667</v>
      </c>
      <c r="B874" s="384" t="s">
        <v>1076</v>
      </c>
      <c r="C874" s="384" t="s">
        <v>1277</v>
      </c>
      <c r="D874" s="385" t="s">
        <v>2182</v>
      </c>
      <c r="E874" s="390" t="s">
        <v>1239</v>
      </c>
      <c r="F874" s="396" t="s">
        <v>1313</v>
      </c>
    </row>
    <row r="875" spans="1:6" ht="72">
      <c r="A875" s="405">
        <v>45811.807638888888</v>
      </c>
      <c r="B875" s="384" t="s">
        <v>88</v>
      </c>
      <c r="C875" s="384" t="s">
        <v>1277</v>
      </c>
      <c r="D875" s="385" t="s">
        <v>2444</v>
      </c>
      <c r="E875" s="390" t="s">
        <v>1239</v>
      </c>
      <c r="F875" s="396" t="s">
        <v>1313</v>
      </c>
    </row>
    <row r="876" spans="1:6" ht="72">
      <c r="A876" s="405">
        <v>45811.616666666669</v>
      </c>
      <c r="B876" s="384" t="s">
        <v>88</v>
      </c>
      <c r="C876" s="384" t="s">
        <v>1255</v>
      </c>
      <c r="D876" s="385" t="s">
        <v>2440</v>
      </c>
      <c r="E876" s="390" t="s">
        <v>1239</v>
      </c>
      <c r="F876" s="396" t="s">
        <v>1313</v>
      </c>
    </row>
    <row r="877" spans="1:6" ht="72">
      <c r="A877" s="405">
        <v>45811.616666666669</v>
      </c>
      <c r="B877" s="384" t="s">
        <v>88</v>
      </c>
      <c r="C877" s="384" t="s">
        <v>1255</v>
      </c>
      <c r="D877" s="385" t="s">
        <v>2439</v>
      </c>
      <c r="E877" s="390" t="s">
        <v>1239</v>
      </c>
      <c r="F877" s="396" t="s">
        <v>1313</v>
      </c>
    </row>
    <row r="878" spans="1:6" ht="72">
      <c r="A878" s="405">
        <v>45811.291666666664</v>
      </c>
      <c r="B878" s="384" t="s">
        <v>88</v>
      </c>
      <c r="C878" s="384" t="s">
        <v>1277</v>
      </c>
      <c r="D878" s="385" t="s">
        <v>2438</v>
      </c>
      <c r="E878" s="390" t="s">
        <v>1239</v>
      </c>
      <c r="F878" s="396" t="s">
        <v>1313</v>
      </c>
    </row>
    <row r="879" spans="1:6" ht="48">
      <c r="A879" s="405">
        <v>45780.383333333331</v>
      </c>
      <c r="B879" s="384" t="s">
        <v>23</v>
      </c>
      <c r="C879" s="384" t="s">
        <v>1277</v>
      </c>
      <c r="D879" s="385" t="s">
        <v>2437</v>
      </c>
      <c r="E879" s="390" t="s">
        <v>1239</v>
      </c>
      <c r="F879" s="396" t="s">
        <v>1313</v>
      </c>
    </row>
    <row r="880" spans="1:6" ht="48">
      <c r="A880" s="405">
        <v>45780.291666666664</v>
      </c>
      <c r="B880" s="384" t="s">
        <v>88</v>
      </c>
      <c r="C880" s="384" t="s">
        <v>1238</v>
      </c>
      <c r="D880" s="385" t="s">
        <v>2436</v>
      </c>
      <c r="E880" s="390" t="s">
        <v>1239</v>
      </c>
      <c r="F880" s="396" t="s">
        <v>1313</v>
      </c>
    </row>
    <row r="881" spans="1:6">
      <c r="A881" s="405">
        <v>45780.291666666664</v>
      </c>
      <c r="B881" s="384" t="s">
        <v>88</v>
      </c>
      <c r="C881" s="384" t="s">
        <v>1277</v>
      </c>
      <c r="D881" s="385" t="s">
        <v>2435</v>
      </c>
      <c r="E881" s="390" t="s">
        <v>1239</v>
      </c>
      <c r="F881" s="396" t="s">
        <v>1313</v>
      </c>
    </row>
    <row r="882" spans="1:6" ht="48">
      <c r="A882" s="405">
        <v>45750.293055555558</v>
      </c>
      <c r="B882" s="384" t="s">
        <v>23</v>
      </c>
      <c r="C882" s="384" t="s">
        <v>1277</v>
      </c>
      <c r="D882" s="385" t="s">
        <v>2434</v>
      </c>
      <c r="E882" s="390" t="s">
        <v>1239</v>
      </c>
      <c r="F882" s="396" t="s">
        <v>1313</v>
      </c>
    </row>
    <row r="883" spans="1:6" ht="96">
      <c r="A883" s="405">
        <v>45719.294444444444</v>
      </c>
      <c r="B883" s="384" t="s">
        <v>23</v>
      </c>
      <c r="C883" s="384" t="s">
        <v>1255</v>
      </c>
      <c r="D883" s="385" t="s">
        <v>2430</v>
      </c>
      <c r="E883" s="390" t="s">
        <v>1239</v>
      </c>
      <c r="F883" s="396" t="s">
        <v>1313</v>
      </c>
    </row>
    <row r="884" spans="1:6" ht="48">
      <c r="A884" s="405">
        <v>45691.717361111114</v>
      </c>
      <c r="B884" s="384" t="s">
        <v>23</v>
      </c>
      <c r="C884" s="384" t="s">
        <v>1277</v>
      </c>
      <c r="D884" s="385" t="s">
        <v>2429</v>
      </c>
      <c r="E884" s="390" t="s">
        <v>1239</v>
      </c>
      <c r="F884" s="396" t="s">
        <v>1313</v>
      </c>
    </row>
    <row r="885" spans="1:6" ht="72">
      <c r="A885" s="405">
        <v>45691.292361111111</v>
      </c>
      <c r="B885" s="384" t="s">
        <v>88</v>
      </c>
      <c r="C885" s="384" t="s">
        <v>1255</v>
      </c>
      <c r="D885" s="385" t="s">
        <v>2424</v>
      </c>
      <c r="E885" s="390" t="s">
        <v>1239</v>
      </c>
      <c r="F885" s="396" t="s">
        <v>1313</v>
      </c>
    </row>
    <row r="886" spans="1:6" ht="72">
      <c r="A886" s="405">
        <v>45691.292361111111</v>
      </c>
      <c r="B886" s="384" t="s">
        <v>88</v>
      </c>
      <c r="C886" s="384" t="s">
        <v>1255</v>
      </c>
      <c r="D886" s="385" t="s">
        <v>2422</v>
      </c>
      <c r="E886" s="390" t="s">
        <v>1239</v>
      </c>
      <c r="F886" s="396" t="s">
        <v>1313</v>
      </c>
    </row>
    <row r="887" spans="1:6" ht="96">
      <c r="A887" s="405">
        <v>45660.759027777778</v>
      </c>
      <c r="B887" s="384" t="s">
        <v>23</v>
      </c>
      <c r="C887" s="384" t="s">
        <v>1255</v>
      </c>
      <c r="D887" s="385" t="s">
        <v>2421</v>
      </c>
      <c r="E887" s="390" t="s">
        <v>1239</v>
      </c>
      <c r="F887" s="396" t="s">
        <v>1313</v>
      </c>
    </row>
    <row r="888" spans="1:6" ht="96">
      <c r="A888" s="405">
        <v>45660.759027777778</v>
      </c>
      <c r="B888" s="384" t="s">
        <v>23</v>
      </c>
      <c r="C888" s="384" t="s">
        <v>1255</v>
      </c>
      <c r="D888" s="385" t="s">
        <v>2420</v>
      </c>
      <c r="E888" s="390" t="s">
        <v>1239</v>
      </c>
      <c r="F888" s="396" t="s">
        <v>1313</v>
      </c>
    </row>
    <row r="889" spans="1:6" ht="48">
      <c r="A889" s="405">
        <v>45660.737500000003</v>
      </c>
      <c r="B889" s="384" t="s">
        <v>23</v>
      </c>
      <c r="C889" s="384" t="s">
        <v>1277</v>
      </c>
      <c r="D889" s="385" t="s">
        <v>2419</v>
      </c>
      <c r="E889" s="390" t="s">
        <v>1239</v>
      </c>
      <c r="F889" s="396" t="s">
        <v>1313</v>
      </c>
    </row>
    <row r="890" spans="1:6" ht="48">
      <c r="A890" s="405">
        <v>45660.737500000003</v>
      </c>
      <c r="B890" s="384" t="s">
        <v>23</v>
      </c>
      <c r="C890" s="384" t="s">
        <v>1277</v>
      </c>
      <c r="D890" s="385" t="s">
        <v>2418</v>
      </c>
      <c r="E890" s="390" t="s">
        <v>1239</v>
      </c>
      <c r="F890" s="396" t="s">
        <v>1313</v>
      </c>
    </row>
    <row r="891" spans="1:6" ht="72">
      <c r="A891" s="405">
        <v>45660.730555555558</v>
      </c>
      <c r="B891" s="384" t="s">
        <v>1076</v>
      </c>
      <c r="C891" s="384" t="s">
        <v>1277</v>
      </c>
      <c r="D891" s="385" t="s">
        <v>2415</v>
      </c>
      <c r="E891" s="390" t="s">
        <v>1239</v>
      </c>
      <c r="F891" s="396" t="s">
        <v>1313</v>
      </c>
    </row>
    <row r="892" spans="1:6" ht="72">
      <c r="A892" s="405">
        <v>45660.730555555558</v>
      </c>
      <c r="B892" s="384" t="s">
        <v>1076</v>
      </c>
      <c r="C892" s="384" t="s">
        <v>1277</v>
      </c>
      <c r="D892" s="385" t="s">
        <v>2414</v>
      </c>
      <c r="E892" s="390" t="s">
        <v>1239</v>
      </c>
      <c r="F892" s="396" t="s">
        <v>1313</v>
      </c>
    </row>
    <row r="893" spans="1:6" ht="72">
      <c r="A893" s="405">
        <v>45660.558333333334</v>
      </c>
      <c r="B893" s="384" t="s">
        <v>23</v>
      </c>
      <c r="C893" s="384" t="s">
        <v>1277</v>
      </c>
      <c r="D893" s="385" t="s">
        <v>2413</v>
      </c>
      <c r="E893" s="390" t="s">
        <v>1239</v>
      </c>
      <c r="F893" s="396" t="s">
        <v>1313</v>
      </c>
    </row>
    <row r="894" spans="1:6" ht="48">
      <c r="A894" s="405">
        <v>45660.558333333334</v>
      </c>
      <c r="B894" s="384" t="s">
        <v>23</v>
      </c>
      <c r="C894" s="384" t="s">
        <v>1277</v>
      </c>
      <c r="D894" s="385" t="s">
        <v>2359</v>
      </c>
      <c r="E894" s="390" t="s">
        <v>1239</v>
      </c>
      <c r="F894" s="396" t="s">
        <v>1313</v>
      </c>
    </row>
    <row r="895" spans="1:6" ht="48">
      <c r="A895" s="405">
        <v>45660.558333333334</v>
      </c>
      <c r="B895" s="384" t="s">
        <v>23</v>
      </c>
      <c r="C895" s="384" t="s">
        <v>1277</v>
      </c>
      <c r="D895" s="385" t="s">
        <v>2412</v>
      </c>
      <c r="E895" s="390" t="s">
        <v>1239</v>
      </c>
      <c r="F895" s="396" t="s">
        <v>1313</v>
      </c>
    </row>
    <row r="896" spans="1:6" ht="48">
      <c r="A896" s="405">
        <v>45660.445138888892</v>
      </c>
      <c r="B896" s="384" t="s">
        <v>23</v>
      </c>
      <c r="C896" s="384" t="s">
        <v>1277</v>
      </c>
      <c r="D896" s="385" t="s">
        <v>2411</v>
      </c>
      <c r="E896" s="390" t="s">
        <v>1239</v>
      </c>
      <c r="F896" s="396" t="s">
        <v>1313</v>
      </c>
    </row>
    <row r="897" spans="1:6" ht="48">
      <c r="A897" s="405">
        <v>45660.293749999997</v>
      </c>
      <c r="B897" s="384" t="s">
        <v>23</v>
      </c>
      <c r="C897" s="384" t="s">
        <v>1277</v>
      </c>
      <c r="D897" s="385" t="s">
        <v>2410</v>
      </c>
      <c r="E897" s="390" t="s">
        <v>1239</v>
      </c>
      <c r="F897" s="396" t="s">
        <v>1313</v>
      </c>
    </row>
    <row r="898" spans="1:6" ht="48">
      <c r="A898" s="405">
        <v>45660.293055555558</v>
      </c>
      <c r="B898" s="384" t="s">
        <v>23</v>
      </c>
      <c r="C898" s="384" t="s">
        <v>1277</v>
      </c>
      <c r="D898" s="385" t="s">
        <v>2409</v>
      </c>
      <c r="E898" s="390" t="s">
        <v>1239</v>
      </c>
      <c r="F898" s="396" t="s">
        <v>1313</v>
      </c>
    </row>
    <row r="899" spans="1:6" ht="72">
      <c r="A899" s="405">
        <v>45660.292361111111</v>
      </c>
      <c r="B899" s="384" t="s">
        <v>88</v>
      </c>
      <c r="C899" s="384" t="s">
        <v>1255</v>
      </c>
      <c r="D899" s="385" t="s">
        <v>1564</v>
      </c>
      <c r="E899" s="390" t="s">
        <v>1239</v>
      </c>
      <c r="F899" s="396" t="s">
        <v>1313</v>
      </c>
    </row>
    <row r="900" spans="1:6" ht="72">
      <c r="A900" s="405" t="s">
        <v>2408</v>
      </c>
      <c r="B900" s="384" t="s">
        <v>88</v>
      </c>
      <c r="C900" s="384" t="s">
        <v>1255</v>
      </c>
      <c r="D900" s="385" t="s">
        <v>1564</v>
      </c>
      <c r="E900" s="390" t="s">
        <v>1239</v>
      </c>
      <c r="F900" s="396" t="s">
        <v>1313</v>
      </c>
    </row>
    <row r="901" spans="1:6" ht="48">
      <c r="A901" s="405" t="s">
        <v>2406</v>
      </c>
      <c r="B901" s="384" t="s">
        <v>23</v>
      </c>
      <c r="C901" s="384" t="s">
        <v>1277</v>
      </c>
      <c r="D901" s="385" t="s">
        <v>2407</v>
      </c>
      <c r="E901" s="390" t="s">
        <v>1239</v>
      </c>
      <c r="F901" s="396" t="s">
        <v>1313</v>
      </c>
    </row>
    <row r="902" spans="1:6" ht="72">
      <c r="A902" s="405" t="s">
        <v>2404</v>
      </c>
      <c r="B902" s="384" t="s">
        <v>1076</v>
      </c>
      <c r="C902" s="384" t="s">
        <v>1277</v>
      </c>
      <c r="D902" s="385" t="s">
        <v>2401</v>
      </c>
      <c r="E902" s="390" t="s">
        <v>1239</v>
      </c>
      <c r="F902" s="396" t="s">
        <v>1313</v>
      </c>
    </row>
    <row r="903" spans="1:6" ht="72">
      <c r="A903" s="405" t="s">
        <v>2404</v>
      </c>
      <c r="B903" s="384" t="s">
        <v>88</v>
      </c>
      <c r="C903" s="384" t="s">
        <v>1255</v>
      </c>
      <c r="D903" s="385" t="s">
        <v>2405</v>
      </c>
      <c r="E903" s="390" t="s">
        <v>1239</v>
      </c>
      <c r="F903" s="396" t="s">
        <v>1313</v>
      </c>
    </row>
    <row r="904" spans="1:6">
      <c r="A904" s="405" t="s">
        <v>2402</v>
      </c>
      <c r="B904" s="384" t="s">
        <v>88</v>
      </c>
      <c r="C904" s="384" t="s">
        <v>1277</v>
      </c>
      <c r="D904" s="385" t="s">
        <v>2403</v>
      </c>
      <c r="E904" s="390" t="s">
        <v>1239</v>
      </c>
      <c r="F904" s="396" t="s">
        <v>1313</v>
      </c>
    </row>
    <row r="905" spans="1:6" ht="72">
      <c r="A905" s="405" t="s">
        <v>2400</v>
      </c>
      <c r="B905" s="384" t="s">
        <v>1076</v>
      </c>
      <c r="C905" s="384" t="s">
        <v>1277</v>
      </c>
      <c r="D905" s="385" t="s">
        <v>2222</v>
      </c>
      <c r="E905" s="390" t="s">
        <v>1239</v>
      </c>
      <c r="F905" s="396" t="s">
        <v>1313</v>
      </c>
    </row>
    <row r="906" spans="1:6" ht="72">
      <c r="A906" s="405" t="s">
        <v>2400</v>
      </c>
      <c r="B906" s="384" t="s">
        <v>1076</v>
      </c>
      <c r="C906" s="384" t="s">
        <v>1277</v>
      </c>
      <c r="D906" s="385" t="s">
        <v>2401</v>
      </c>
      <c r="E906" s="390" t="s">
        <v>1239</v>
      </c>
      <c r="F906" s="396" t="s">
        <v>1313</v>
      </c>
    </row>
    <row r="907" spans="1:6" ht="72">
      <c r="A907" s="405" t="s">
        <v>2396</v>
      </c>
      <c r="B907" s="384" t="s">
        <v>23</v>
      </c>
      <c r="C907" s="384" t="s">
        <v>1277</v>
      </c>
      <c r="D907" s="385" t="s">
        <v>2399</v>
      </c>
      <c r="E907" s="390" t="s">
        <v>1239</v>
      </c>
      <c r="F907" s="396" t="s">
        <v>1313</v>
      </c>
    </row>
    <row r="908" spans="1:6" ht="48">
      <c r="A908" s="405" t="s">
        <v>2396</v>
      </c>
      <c r="B908" s="384" t="s">
        <v>23</v>
      </c>
      <c r="C908" s="384" t="s">
        <v>1277</v>
      </c>
      <c r="D908" s="385" t="s">
        <v>2398</v>
      </c>
      <c r="E908" s="390" t="s">
        <v>1239</v>
      </c>
      <c r="F908" s="396" t="s">
        <v>1313</v>
      </c>
    </row>
    <row r="909" spans="1:6" ht="48">
      <c r="A909" s="405" t="s">
        <v>2396</v>
      </c>
      <c r="B909" s="384" t="s">
        <v>23</v>
      </c>
      <c r="C909" s="384" t="s">
        <v>1277</v>
      </c>
      <c r="D909" s="385" t="s">
        <v>2397</v>
      </c>
      <c r="E909" s="390" t="s">
        <v>1239</v>
      </c>
      <c r="F909" s="396" t="s">
        <v>1313</v>
      </c>
    </row>
    <row r="910" spans="1:6" ht="48">
      <c r="A910" s="405" t="s">
        <v>2392</v>
      </c>
      <c r="B910" s="384" t="s">
        <v>23</v>
      </c>
      <c r="C910" s="384" t="s">
        <v>1238</v>
      </c>
      <c r="D910" s="385" t="s">
        <v>2393</v>
      </c>
      <c r="E910" s="390" t="s">
        <v>1239</v>
      </c>
      <c r="F910" s="396" t="s">
        <v>1313</v>
      </c>
    </row>
    <row r="911" spans="1:6" ht="48">
      <c r="A911" s="405" t="s">
        <v>2390</v>
      </c>
      <c r="B911" s="384" t="s">
        <v>23</v>
      </c>
      <c r="C911" s="384" t="s">
        <v>1277</v>
      </c>
      <c r="D911" s="385" t="s">
        <v>2391</v>
      </c>
      <c r="E911" s="390" t="s">
        <v>1239</v>
      </c>
      <c r="F911" s="396" t="s">
        <v>1313</v>
      </c>
    </row>
    <row r="912" spans="1:6" ht="72">
      <c r="A912" s="405" t="s">
        <v>2389</v>
      </c>
      <c r="B912" s="384" t="s">
        <v>88</v>
      </c>
      <c r="C912" s="384" t="s">
        <v>1255</v>
      </c>
      <c r="D912" s="385" t="s">
        <v>1564</v>
      </c>
      <c r="E912" s="390" t="s">
        <v>1239</v>
      </c>
      <c r="F912" s="396" t="s">
        <v>1313</v>
      </c>
    </row>
    <row r="913" spans="1:6" ht="72">
      <c r="A913" s="405" t="s">
        <v>2388</v>
      </c>
      <c r="B913" s="384" t="s">
        <v>88</v>
      </c>
      <c r="C913" s="384" t="s">
        <v>1255</v>
      </c>
      <c r="D913" s="385" t="s">
        <v>1564</v>
      </c>
      <c r="E913" s="390" t="s">
        <v>1239</v>
      </c>
      <c r="F913" s="396" t="s">
        <v>1313</v>
      </c>
    </row>
    <row r="914" spans="1:6" ht="48">
      <c r="A914" s="405" t="s">
        <v>2386</v>
      </c>
      <c r="B914" s="384" t="s">
        <v>88</v>
      </c>
      <c r="C914" s="384" t="s">
        <v>1238</v>
      </c>
      <c r="D914" s="385" t="s">
        <v>2387</v>
      </c>
      <c r="E914" s="390" t="s">
        <v>1239</v>
      </c>
      <c r="F914" s="396" t="s">
        <v>1313</v>
      </c>
    </row>
    <row r="915" spans="1:6" ht="72">
      <c r="A915" s="405" t="s">
        <v>2385</v>
      </c>
      <c r="B915" s="384" t="s">
        <v>88</v>
      </c>
      <c r="C915" s="384" t="s">
        <v>1255</v>
      </c>
      <c r="D915" s="385" t="s">
        <v>1564</v>
      </c>
      <c r="E915" s="390" t="s">
        <v>1239</v>
      </c>
      <c r="F915" s="396" t="s">
        <v>1313</v>
      </c>
    </row>
    <row r="916" spans="1:6" ht="72">
      <c r="A916" s="405" t="s">
        <v>2383</v>
      </c>
      <c r="B916" s="384" t="s">
        <v>88</v>
      </c>
      <c r="C916" s="384" t="s">
        <v>1277</v>
      </c>
      <c r="D916" s="385" t="s">
        <v>2384</v>
      </c>
      <c r="E916" s="390" t="s">
        <v>1239</v>
      </c>
      <c r="F916" s="396" t="s">
        <v>1313</v>
      </c>
    </row>
    <row r="917" spans="1:6" ht="72">
      <c r="A917" s="405" t="s">
        <v>2381</v>
      </c>
      <c r="B917" s="384" t="s">
        <v>88</v>
      </c>
      <c r="C917" s="384" t="s">
        <v>1255</v>
      </c>
      <c r="D917" s="385" t="s">
        <v>2382</v>
      </c>
      <c r="E917" s="390" t="s">
        <v>1239</v>
      </c>
      <c r="F917" s="396" t="s">
        <v>1313</v>
      </c>
    </row>
    <row r="918" spans="1:6" ht="48">
      <c r="A918" s="405" t="s">
        <v>2377</v>
      </c>
      <c r="B918" s="384" t="s">
        <v>88</v>
      </c>
      <c r="C918" s="384" t="s">
        <v>1238</v>
      </c>
      <c r="D918" s="385" t="s">
        <v>2379</v>
      </c>
      <c r="E918" s="390" t="s">
        <v>1239</v>
      </c>
      <c r="F918" s="396" t="s">
        <v>1313</v>
      </c>
    </row>
    <row r="919" spans="1:6" ht="72">
      <c r="A919" s="405" t="s">
        <v>2377</v>
      </c>
      <c r="B919" s="384" t="s">
        <v>88</v>
      </c>
      <c r="C919" s="384" t="s">
        <v>1277</v>
      </c>
      <c r="D919" s="385" t="s">
        <v>2378</v>
      </c>
      <c r="E919" s="390" t="s">
        <v>1239</v>
      </c>
      <c r="F919" s="396" t="s">
        <v>1313</v>
      </c>
    </row>
    <row r="920" spans="1:6" ht="72">
      <c r="A920" s="405" t="s">
        <v>2374</v>
      </c>
      <c r="B920" s="384" t="s">
        <v>88</v>
      </c>
      <c r="C920" s="384" t="s">
        <v>1255</v>
      </c>
      <c r="D920" s="385" t="s">
        <v>1565</v>
      </c>
      <c r="E920" s="390" t="s">
        <v>1239</v>
      </c>
      <c r="F920" s="396" t="s">
        <v>1313</v>
      </c>
    </row>
    <row r="921" spans="1:6" ht="72">
      <c r="A921" s="405" t="s">
        <v>2374</v>
      </c>
      <c r="B921" s="384" t="s">
        <v>88</v>
      </c>
      <c r="C921" s="384" t="s">
        <v>1255</v>
      </c>
      <c r="D921" s="385" t="s">
        <v>1564</v>
      </c>
      <c r="E921" s="390" t="s">
        <v>1239</v>
      </c>
      <c r="F921" s="396" t="s">
        <v>1313</v>
      </c>
    </row>
    <row r="922" spans="1:6" ht="48">
      <c r="A922" s="405" t="s">
        <v>2372</v>
      </c>
      <c r="B922" s="384" t="s">
        <v>23</v>
      </c>
      <c r="C922" s="384" t="s">
        <v>1277</v>
      </c>
      <c r="D922" s="385" t="s">
        <v>2373</v>
      </c>
      <c r="E922" s="390" t="s">
        <v>1239</v>
      </c>
      <c r="F922" s="396" t="s">
        <v>1313</v>
      </c>
    </row>
    <row r="923" spans="1:6" ht="72">
      <c r="A923" s="405" t="s">
        <v>2369</v>
      </c>
      <c r="B923" s="384" t="s">
        <v>88</v>
      </c>
      <c r="C923" s="384" t="s">
        <v>1255</v>
      </c>
      <c r="D923" s="385" t="s">
        <v>2371</v>
      </c>
      <c r="E923" s="390" t="s">
        <v>1239</v>
      </c>
      <c r="F923" s="396" t="s">
        <v>1313</v>
      </c>
    </row>
    <row r="924" spans="1:6" ht="72">
      <c r="A924" s="405" t="s">
        <v>2369</v>
      </c>
      <c r="B924" s="384" t="s">
        <v>88</v>
      </c>
      <c r="C924" s="384" t="s">
        <v>1255</v>
      </c>
      <c r="D924" s="385" t="s">
        <v>2370</v>
      </c>
      <c r="E924" s="390" t="s">
        <v>1239</v>
      </c>
      <c r="F924" s="396" t="s">
        <v>1313</v>
      </c>
    </row>
    <row r="925" spans="1:6" ht="48">
      <c r="A925" s="405" t="s">
        <v>2367</v>
      </c>
      <c r="B925" s="384" t="s">
        <v>88</v>
      </c>
      <c r="C925" s="384" t="s">
        <v>1238</v>
      </c>
      <c r="D925" s="385" t="s">
        <v>2368</v>
      </c>
      <c r="E925" s="390" t="s">
        <v>1239</v>
      </c>
      <c r="F925" s="396" t="s">
        <v>1313</v>
      </c>
    </row>
    <row r="926" spans="1:6" ht="48">
      <c r="A926" s="405" t="s">
        <v>2364</v>
      </c>
      <c r="B926" s="384" t="s">
        <v>88</v>
      </c>
      <c r="C926" s="384" t="s">
        <v>1238</v>
      </c>
      <c r="D926" s="385" t="s">
        <v>2366</v>
      </c>
      <c r="E926" s="390" t="s">
        <v>1239</v>
      </c>
      <c r="F926" s="396" t="s">
        <v>1313</v>
      </c>
    </row>
    <row r="927" spans="1:6">
      <c r="A927" s="405" t="s">
        <v>2364</v>
      </c>
      <c r="B927" s="384" t="s">
        <v>88</v>
      </c>
      <c r="C927" s="384" t="s">
        <v>1277</v>
      </c>
      <c r="D927" s="385" t="s">
        <v>2365</v>
      </c>
      <c r="E927" s="390" t="s">
        <v>1239</v>
      </c>
      <c r="F927" s="396" t="s">
        <v>1313</v>
      </c>
    </row>
    <row r="928" spans="1:6" ht="72">
      <c r="A928" s="405" t="s">
        <v>2362</v>
      </c>
      <c r="B928" s="384" t="s">
        <v>88</v>
      </c>
      <c r="C928" s="384" t="s">
        <v>1277</v>
      </c>
      <c r="D928" s="385" t="s">
        <v>2363</v>
      </c>
      <c r="E928" s="390" t="s">
        <v>1239</v>
      </c>
      <c r="F928" s="396" t="s">
        <v>1313</v>
      </c>
    </row>
    <row r="929" spans="1:6" ht="48">
      <c r="A929" s="405" t="s">
        <v>2358</v>
      </c>
      <c r="B929" s="384" t="s">
        <v>23</v>
      </c>
      <c r="C929" s="384" t="s">
        <v>1277</v>
      </c>
      <c r="D929" s="385" t="s">
        <v>2359</v>
      </c>
      <c r="E929" s="390" t="s">
        <v>1239</v>
      </c>
      <c r="F929" s="396" t="s">
        <v>1313</v>
      </c>
    </row>
    <row r="930" spans="1:6" ht="72">
      <c r="A930" s="405" t="s">
        <v>2356</v>
      </c>
      <c r="B930" s="384" t="s">
        <v>88</v>
      </c>
      <c r="C930" s="384" t="s">
        <v>1277</v>
      </c>
      <c r="D930" s="385" t="s">
        <v>2357</v>
      </c>
      <c r="E930" s="390" t="s">
        <v>1239</v>
      </c>
      <c r="F930" s="396" t="s">
        <v>1313</v>
      </c>
    </row>
    <row r="931" spans="1:6" ht="72">
      <c r="A931" s="405" t="s">
        <v>2352</v>
      </c>
      <c r="B931" s="384" t="s">
        <v>1076</v>
      </c>
      <c r="C931" s="384" t="s">
        <v>1277</v>
      </c>
      <c r="D931" s="385" t="s">
        <v>2354</v>
      </c>
      <c r="E931" s="390" t="s">
        <v>1239</v>
      </c>
      <c r="F931" s="396" t="s">
        <v>1313</v>
      </c>
    </row>
    <row r="932" spans="1:6" ht="72">
      <c r="A932" s="405" t="s">
        <v>2352</v>
      </c>
      <c r="B932" s="384" t="s">
        <v>1076</v>
      </c>
      <c r="C932" s="384" t="s">
        <v>1277</v>
      </c>
      <c r="D932" s="385" t="s">
        <v>2353</v>
      </c>
      <c r="E932" s="390" t="s">
        <v>1239</v>
      </c>
      <c r="F932" s="396" t="s">
        <v>1313</v>
      </c>
    </row>
    <row r="933" spans="1:6" ht="72">
      <c r="A933" s="405" t="s">
        <v>2349</v>
      </c>
      <c r="B933" s="384" t="s">
        <v>88</v>
      </c>
      <c r="C933" s="384" t="s">
        <v>1277</v>
      </c>
      <c r="D933" s="385" t="s">
        <v>2351</v>
      </c>
      <c r="E933" s="390" t="s">
        <v>1239</v>
      </c>
      <c r="F933" s="396" t="s">
        <v>1313</v>
      </c>
    </row>
    <row r="934" spans="1:6" ht="72">
      <c r="A934" s="405" t="s">
        <v>2349</v>
      </c>
      <c r="B934" s="384" t="s">
        <v>88</v>
      </c>
      <c r="C934" s="384" t="s">
        <v>1277</v>
      </c>
      <c r="D934" s="385" t="s">
        <v>2350</v>
      </c>
      <c r="E934" s="390" t="s">
        <v>1239</v>
      </c>
      <c r="F934" s="396" t="s">
        <v>1313</v>
      </c>
    </row>
    <row r="935" spans="1:6" ht="48">
      <c r="A935" s="405" t="s">
        <v>2339</v>
      </c>
      <c r="B935" s="384" t="s">
        <v>88</v>
      </c>
      <c r="C935" s="384" t="s">
        <v>1238</v>
      </c>
      <c r="D935" s="385" t="s">
        <v>2340</v>
      </c>
      <c r="E935" s="390" t="s">
        <v>1239</v>
      </c>
      <c r="F935" s="396" t="s">
        <v>1313</v>
      </c>
    </row>
    <row r="936" spans="1:6" ht="72">
      <c r="A936" s="405" t="s">
        <v>2337</v>
      </c>
      <c r="B936" s="384" t="s">
        <v>88</v>
      </c>
      <c r="C936" s="384" t="s">
        <v>1277</v>
      </c>
      <c r="D936" s="385" t="s">
        <v>2338</v>
      </c>
      <c r="E936" s="390" t="s">
        <v>1239</v>
      </c>
      <c r="F936" s="396" t="s">
        <v>1313</v>
      </c>
    </row>
    <row r="937" spans="1:6" ht="72">
      <c r="A937" s="405" t="s">
        <v>2337</v>
      </c>
      <c r="B937" s="384" t="s">
        <v>1076</v>
      </c>
      <c r="C937" s="384" t="s">
        <v>1277</v>
      </c>
      <c r="D937" s="385" t="s">
        <v>2331</v>
      </c>
      <c r="E937" s="390" t="s">
        <v>1239</v>
      </c>
      <c r="F937" s="396" t="s">
        <v>1313</v>
      </c>
    </row>
    <row r="938" spans="1:6" ht="72">
      <c r="A938" s="405" t="s">
        <v>2334</v>
      </c>
      <c r="B938" s="384" t="s">
        <v>23</v>
      </c>
      <c r="C938" s="384" t="s">
        <v>1277</v>
      </c>
      <c r="D938" s="385" t="s">
        <v>2330</v>
      </c>
      <c r="E938" s="390" t="s">
        <v>1239</v>
      </c>
      <c r="F938" s="396" t="s">
        <v>1313</v>
      </c>
    </row>
    <row r="939" spans="1:6" ht="48">
      <c r="A939" s="405" t="s">
        <v>2334</v>
      </c>
      <c r="B939" s="384" t="s">
        <v>23</v>
      </c>
      <c r="C939" s="384" t="s">
        <v>1277</v>
      </c>
      <c r="D939" s="385" t="s">
        <v>2336</v>
      </c>
      <c r="E939" s="390" t="s">
        <v>1239</v>
      </c>
      <c r="F939" s="396" t="s">
        <v>1313</v>
      </c>
    </row>
    <row r="940" spans="1:6" ht="48">
      <c r="A940" s="405" t="s">
        <v>2334</v>
      </c>
      <c r="B940" s="384" t="s">
        <v>23</v>
      </c>
      <c r="C940" s="384" t="s">
        <v>1277</v>
      </c>
      <c r="D940" s="385" t="s">
        <v>2326</v>
      </c>
      <c r="E940" s="390" t="s">
        <v>1239</v>
      </c>
      <c r="F940" s="396" t="s">
        <v>1313</v>
      </c>
    </row>
    <row r="941" spans="1:6" ht="48">
      <c r="A941" s="405" t="s">
        <v>2334</v>
      </c>
      <c r="B941" s="384" t="s">
        <v>23</v>
      </c>
      <c r="C941" s="384" t="s">
        <v>1277</v>
      </c>
      <c r="D941" s="385" t="s">
        <v>2335</v>
      </c>
      <c r="E941" s="390" t="s">
        <v>1239</v>
      </c>
      <c r="F941" s="396" t="s">
        <v>1313</v>
      </c>
    </row>
    <row r="942" spans="1:6" ht="72">
      <c r="A942" s="405" t="s">
        <v>2333</v>
      </c>
      <c r="B942" s="384" t="s">
        <v>1076</v>
      </c>
      <c r="C942" s="384" t="s">
        <v>1277</v>
      </c>
      <c r="D942" s="385" t="s">
        <v>2209</v>
      </c>
      <c r="E942" s="390" t="s">
        <v>1239</v>
      </c>
      <c r="F942" s="396" t="s">
        <v>1313</v>
      </c>
    </row>
    <row r="943" spans="1:6" ht="72">
      <c r="A943" s="405" t="s">
        <v>2333</v>
      </c>
      <c r="B943" s="384" t="s">
        <v>1076</v>
      </c>
      <c r="C943" s="384" t="s">
        <v>1277</v>
      </c>
      <c r="D943" s="385" t="s">
        <v>2332</v>
      </c>
      <c r="E943" s="390" t="s">
        <v>1239</v>
      </c>
      <c r="F943" s="396" t="s">
        <v>1313</v>
      </c>
    </row>
    <row r="944" spans="1:6" ht="72">
      <c r="A944" s="405" t="s">
        <v>2333</v>
      </c>
      <c r="B944" s="384" t="s">
        <v>1076</v>
      </c>
      <c r="C944" s="384" t="s">
        <v>1277</v>
      </c>
      <c r="D944" s="385" t="s">
        <v>2331</v>
      </c>
      <c r="E944" s="390" t="s">
        <v>1239</v>
      </c>
      <c r="F944" s="396" t="s">
        <v>1313</v>
      </c>
    </row>
    <row r="945" spans="1:6" ht="72">
      <c r="A945" s="405" t="s">
        <v>2333</v>
      </c>
      <c r="B945" s="384" t="s">
        <v>1076</v>
      </c>
      <c r="C945" s="384" t="s">
        <v>1277</v>
      </c>
      <c r="D945" s="385" t="s">
        <v>2209</v>
      </c>
      <c r="E945" s="390" t="s">
        <v>1239</v>
      </c>
      <c r="F945" s="396" t="s">
        <v>1313</v>
      </c>
    </row>
    <row r="946" spans="1:6" ht="72">
      <c r="A946" s="405" t="s">
        <v>2325</v>
      </c>
      <c r="B946" s="384" t="s">
        <v>1076</v>
      </c>
      <c r="C946" s="384" t="s">
        <v>1277</v>
      </c>
      <c r="D946" s="385" t="s">
        <v>2332</v>
      </c>
      <c r="E946" s="390" t="s">
        <v>1239</v>
      </c>
      <c r="F946" s="396" t="s">
        <v>1313</v>
      </c>
    </row>
    <row r="947" spans="1:6" ht="72">
      <c r="A947" s="405" t="s">
        <v>2325</v>
      </c>
      <c r="B947" s="384" t="s">
        <v>1076</v>
      </c>
      <c r="C947" s="384" t="s">
        <v>1277</v>
      </c>
      <c r="D947" s="385" t="s">
        <v>2331</v>
      </c>
      <c r="E947" s="390" t="s">
        <v>1239</v>
      </c>
      <c r="F947" s="396" t="s">
        <v>1313</v>
      </c>
    </row>
    <row r="948" spans="1:6" ht="72">
      <c r="A948" s="405" t="s">
        <v>2325</v>
      </c>
      <c r="B948" s="384" t="s">
        <v>23</v>
      </c>
      <c r="C948" s="384" t="s">
        <v>1277</v>
      </c>
      <c r="D948" s="385" t="s">
        <v>2330</v>
      </c>
      <c r="E948" s="390" t="s">
        <v>1239</v>
      </c>
      <c r="F948" s="396" t="s">
        <v>1313</v>
      </c>
    </row>
    <row r="949" spans="1:6" ht="72">
      <c r="A949" s="405" t="s">
        <v>2325</v>
      </c>
      <c r="B949" s="384" t="s">
        <v>23</v>
      </c>
      <c r="C949" s="384" t="s">
        <v>1277</v>
      </c>
      <c r="D949" s="385" t="s">
        <v>2329</v>
      </c>
      <c r="E949" s="390" t="s">
        <v>1239</v>
      </c>
      <c r="F949" s="396" t="s">
        <v>1313</v>
      </c>
    </row>
    <row r="950" spans="1:6" ht="48">
      <c r="A950" s="405" t="s">
        <v>2325</v>
      </c>
      <c r="B950" s="384" t="s">
        <v>23</v>
      </c>
      <c r="C950" s="384" t="s">
        <v>1277</v>
      </c>
      <c r="D950" s="385" t="s">
        <v>2328</v>
      </c>
      <c r="E950" s="390" t="s">
        <v>1239</v>
      </c>
      <c r="F950" s="396" t="s">
        <v>1313</v>
      </c>
    </row>
    <row r="951" spans="1:6" ht="48">
      <c r="A951" s="405" t="s">
        <v>2325</v>
      </c>
      <c r="B951" s="384" t="s">
        <v>23</v>
      </c>
      <c r="C951" s="384" t="s">
        <v>1277</v>
      </c>
      <c r="D951" s="385" t="s">
        <v>2327</v>
      </c>
      <c r="E951" s="390" t="s">
        <v>1239</v>
      </c>
      <c r="F951" s="396" t="s">
        <v>1313</v>
      </c>
    </row>
    <row r="952" spans="1:6" ht="48">
      <c r="A952" s="405" t="s">
        <v>2325</v>
      </c>
      <c r="B952" s="384" t="s">
        <v>23</v>
      </c>
      <c r="C952" s="384" t="s">
        <v>1277</v>
      </c>
      <c r="D952" s="385" t="s">
        <v>2326</v>
      </c>
      <c r="E952" s="390" t="s">
        <v>1239</v>
      </c>
      <c r="F952" s="396" t="s">
        <v>1313</v>
      </c>
    </row>
    <row r="953" spans="1:6" ht="72">
      <c r="A953" s="405" t="s">
        <v>2323</v>
      </c>
      <c r="B953" s="384" t="s">
        <v>88</v>
      </c>
      <c r="C953" s="384" t="s">
        <v>1277</v>
      </c>
      <c r="D953" s="385" t="s">
        <v>2324</v>
      </c>
      <c r="E953" s="390" t="s">
        <v>1239</v>
      </c>
      <c r="F953" s="396" t="s">
        <v>1313</v>
      </c>
    </row>
    <row r="954" spans="1:6" ht="48">
      <c r="A954" s="405" t="s">
        <v>2318</v>
      </c>
      <c r="B954" s="384" t="s">
        <v>23</v>
      </c>
      <c r="C954" s="384" t="s">
        <v>1277</v>
      </c>
      <c r="D954" s="385" t="s">
        <v>2319</v>
      </c>
      <c r="E954" s="390" t="s">
        <v>1239</v>
      </c>
      <c r="F954" s="396" t="s">
        <v>1313</v>
      </c>
    </row>
    <row r="955" spans="1:6" ht="72">
      <c r="A955" s="405" t="s">
        <v>2313</v>
      </c>
      <c r="B955" s="384" t="s">
        <v>88</v>
      </c>
      <c r="C955" s="384" t="s">
        <v>1277</v>
      </c>
      <c r="D955" s="385" t="s">
        <v>2314</v>
      </c>
      <c r="E955" s="390" t="s">
        <v>1239</v>
      </c>
      <c r="F955" s="396" t="s">
        <v>1313</v>
      </c>
    </row>
    <row r="956" spans="1:6" ht="72">
      <c r="A956" s="405" t="s">
        <v>2308</v>
      </c>
      <c r="B956" s="384" t="s">
        <v>1076</v>
      </c>
      <c r="C956" s="384" t="s">
        <v>1277</v>
      </c>
      <c r="D956" s="385" t="s">
        <v>2310</v>
      </c>
      <c r="E956" s="390" t="s">
        <v>1239</v>
      </c>
      <c r="F956" s="396" t="s">
        <v>1313</v>
      </c>
    </row>
    <row r="957" spans="1:6" ht="72">
      <c r="A957" s="405" t="s">
        <v>2308</v>
      </c>
      <c r="B957" s="384" t="s">
        <v>1076</v>
      </c>
      <c r="C957" s="384" t="s">
        <v>1277</v>
      </c>
      <c r="D957" s="385" t="s">
        <v>2309</v>
      </c>
      <c r="E957" s="390" t="s">
        <v>1239</v>
      </c>
      <c r="F957" s="396" t="s">
        <v>1313</v>
      </c>
    </row>
    <row r="958" spans="1:6" ht="72">
      <c r="A958" s="405" t="s">
        <v>2307</v>
      </c>
      <c r="B958" s="384" t="s">
        <v>88</v>
      </c>
      <c r="C958" s="384" t="s">
        <v>1255</v>
      </c>
      <c r="D958" s="385" t="s">
        <v>1565</v>
      </c>
      <c r="E958" s="390" t="s">
        <v>1239</v>
      </c>
      <c r="F958" s="396" t="s">
        <v>1313</v>
      </c>
    </row>
    <row r="959" spans="1:6" ht="72">
      <c r="A959" s="405" t="s">
        <v>2307</v>
      </c>
      <c r="B959" s="384" t="s">
        <v>88</v>
      </c>
      <c r="C959" s="384" t="s">
        <v>1255</v>
      </c>
      <c r="D959" s="385" t="s">
        <v>1564</v>
      </c>
      <c r="E959" s="390" t="s">
        <v>1239</v>
      </c>
      <c r="F959" s="396" t="s">
        <v>1313</v>
      </c>
    </row>
    <row r="960" spans="1:6">
      <c r="A960" s="405" t="s">
        <v>2305</v>
      </c>
      <c r="B960" s="384" t="s">
        <v>88</v>
      </c>
      <c r="C960" s="384" t="s">
        <v>1277</v>
      </c>
      <c r="D960" s="385" t="s">
        <v>2306</v>
      </c>
      <c r="E960" s="390" t="s">
        <v>1239</v>
      </c>
      <c r="F960" s="396" t="s">
        <v>1313</v>
      </c>
    </row>
    <row r="961" spans="1:6" ht="72">
      <c r="A961" s="405" t="s">
        <v>2303</v>
      </c>
      <c r="B961" s="384" t="s">
        <v>88</v>
      </c>
      <c r="C961" s="384" t="s">
        <v>1277</v>
      </c>
      <c r="D961" s="385" t="s">
        <v>2304</v>
      </c>
      <c r="E961" s="390" t="s">
        <v>1239</v>
      </c>
      <c r="F961" s="396" t="s">
        <v>1313</v>
      </c>
    </row>
    <row r="962" spans="1:6" ht="72">
      <c r="A962" s="405" t="s">
        <v>2301</v>
      </c>
      <c r="B962" s="384" t="s">
        <v>88</v>
      </c>
      <c r="C962" s="384" t="s">
        <v>1255</v>
      </c>
      <c r="D962" s="385" t="s">
        <v>2302</v>
      </c>
      <c r="E962" s="390" t="s">
        <v>1239</v>
      </c>
      <c r="F962" s="396" t="s">
        <v>1313</v>
      </c>
    </row>
    <row r="963" spans="1:6" ht="72">
      <c r="A963" s="405" t="s">
        <v>2299</v>
      </c>
      <c r="B963" s="384" t="s">
        <v>88</v>
      </c>
      <c r="C963" s="384" t="s">
        <v>1277</v>
      </c>
      <c r="D963" s="385" t="s">
        <v>2300</v>
      </c>
      <c r="E963" s="390" t="s">
        <v>1239</v>
      </c>
      <c r="F963" s="396" t="s">
        <v>1313</v>
      </c>
    </row>
    <row r="964" spans="1:6" ht="48">
      <c r="A964" s="405" t="s">
        <v>2293</v>
      </c>
      <c r="B964" s="384" t="s">
        <v>88</v>
      </c>
      <c r="C964" s="384" t="s">
        <v>1238</v>
      </c>
      <c r="D964" s="385" t="s">
        <v>2294</v>
      </c>
      <c r="E964" s="390" t="s">
        <v>1239</v>
      </c>
      <c r="F964" s="396" t="s">
        <v>1313</v>
      </c>
    </row>
    <row r="965" spans="1:6" ht="72">
      <c r="A965" s="405" t="s">
        <v>2292</v>
      </c>
      <c r="B965" s="384" t="s">
        <v>88</v>
      </c>
      <c r="C965" s="384" t="s">
        <v>1255</v>
      </c>
      <c r="D965" s="385" t="s">
        <v>1565</v>
      </c>
      <c r="E965" s="390" t="s">
        <v>1239</v>
      </c>
      <c r="F965" s="396" t="s">
        <v>1313</v>
      </c>
    </row>
    <row r="966" spans="1:6" ht="72">
      <c r="A966" s="405" t="s">
        <v>2292</v>
      </c>
      <c r="B966" s="384" t="s">
        <v>88</v>
      </c>
      <c r="C966" s="384" t="s">
        <v>1255</v>
      </c>
      <c r="D966" s="385" t="s">
        <v>1564</v>
      </c>
      <c r="E966" s="390" t="s">
        <v>1239</v>
      </c>
      <c r="F966" s="396" t="s">
        <v>1313</v>
      </c>
    </row>
    <row r="967" spans="1:6" ht="72">
      <c r="A967" s="405">
        <v>45993.865277777775</v>
      </c>
      <c r="B967" s="384" t="s">
        <v>88</v>
      </c>
      <c r="C967" s="384" t="s">
        <v>1255</v>
      </c>
      <c r="D967" s="385" t="s">
        <v>2291</v>
      </c>
      <c r="E967" s="390" t="s">
        <v>1239</v>
      </c>
      <c r="F967" s="396" t="s">
        <v>1313</v>
      </c>
    </row>
    <row r="968" spans="1:6" ht="48">
      <c r="A968" s="405">
        <v>45993.863194444442</v>
      </c>
      <c r="B968" s="384" t="s">
        <v>23</v>
      </c>
      <c r="C968" s="384" t="s">
        <v>1277</v>
      </c>
      <c r="D968" s="385" t="s">
        <v>2290</v>
      </c>
      <c r="E968" s="390" t="s">
        <v>1239</v>
      </c>
      <c r="F968" s="396" t="s">
        <v>1313</v>
      </c>
    </row>
    <row r="969" spans="1:6" ht="72">
      <c r="A969" s="405">
        <v>45993.61041666667</v>
      </c>
      <c r="B969" s="384" t="s">
        <v>1076</v>
      </c>
      <c r="C969" s="384" t="s">
        <v>1277</v>
      </c>
      <c r="D969" s="385" t="s">
        <v>2288</v>
      </c>
      <c r="E969" s="390" t="s">
        <v>1239</v>
      </c>
      <c r="F969" s="396" t="s">
        <v>1313</v>
      </c>
    </row>
    <row r="970" spans="1:6" ht="72">
      <c r="A970" s="405">
        <v>45993.459722222222</v>
      </c>
      <c r="B970" s="384" t="s">
        <v>1076</v>
      </c>
      <c r="C970" s="384" t="s">
        <v>1277</v>
      </c>
      <c r="D970" s="385" t="s">
        <v>2288</v>
      </c>
      <c r="E970" s="390" t="s">
        <v>1239</v>
      </c>
      <c r="F970" s="396" t="s">
        <v>1313</v>
      </c>
    </row>
    <row r="971" spans="1:6" ht="72">
      <c r="A971" s="405">
        <v>45993.393055555556</v>
      </c>
      <c r="B971" s="384" t="s">
        <v>1076</v>
      </c>
      <c r="C971" s="384" t="s">
        <v>1277</v>
      </c>
      <c r="D971" s="385" t="s">
        <v>2288</v>
      </c>
      <c r="E971" s="390" t="s">
        <v>1239</v>
      </c>
      <c r="F971" s="396" t="s">
        <v>1313</v>
      </c>
    </row>
    <row r="972" spans="1:6" ht="72">
      <c r="A972" s="405">
        <v>45963.34375</v>
      </c>
      <c r="B972" s="384" t="s">
        <v>88</v>
      </c>
      <c r="C972" s="384" t="s">
        <v>1255</v>
      </c>
      <c r="D972" s="385" t="s">
        <v>1565</v>
      </c>
      <c r="E972" s="390" t="s">
        <v>1239</v>
      </c>
      <c r="F972" s="396" t="s">
        <v>1313</v>
      </c>
    </row>
    <row r="973" spans="1:6" ht="72">
      <c r="A973" s="405">
        <v>45963.34375</v>
      </c>
      <c r="B973" s="384" t="s">
        <v>88</v>
      </c>
      <c r="C973" s="384" t="s">
        <v>1255</v>
      </c>
      <c r="D973" s="385" t="s">
        <v>1564</v>
      </c>
      <c r="E973" s="390" t="s">
        <v>1239</v>
      </c>
      <c r="F973" s="396" t="s">
        <v>1313</v>
      </c>
    </row>
    <row r="974" spans="1:6" ht="48">
      <c r="A974" s="405">
        <v>45932.71597222222</v>
      </c>
      <c r="B974" s="384" t="s">
        <v>88</v>
      </c>
      <c r="C974" s="384" t="s">
        <v>1238</v>
      </c>
      <c r="D974" s="385" t="s">
        <v>2287</v>
      </c>
      <c r="E974" s="390" t="s">
        <v>1239</v>
      </c>
      <c r="F974" s="396" t="s">
        <v>1313</v>
      </c>
    </row>
    <row r="975" spans="1:6" ht="72">
      <c r="A975" s="405">
        <v>45932.71597222222</v>
      </c>
      <c r="B975" s="384" t="s">
        <v>88</v>
      </c>
      <c r="C975" s="384" t="s">
        <v>1277</v>
      </c>
      <c r="D975" s="385" t="s">
        <v>2286</v>
      </c>
      <c r="E975" s="390" t="s">
        <v>1239</v>
      </c>
      <c r="F975" s="396" t="s">
        <v>1313</v>
      </c>
    </row>
    <row r="976" spans="1:6" ht="48">
      <c r="A976" s="405">
        <v>45932.316666666666</v>
      </c>
      <c r="B976" s="384" t="s">
        <v>23</v>
      </c>
      <c r="C976" s="384" t="s">
        <v>1277</v>
      </c>
      <c r="D976" s="385" t="s">
        <v>2284</v>
      </c>
      <c r="E976" s="390" t="s">
        <v>1239</v>
      </c>
      <c r="F976" s="396" t="s">
        <v>1313</v>
      </c>
    </row>
    <row r="977" spans="1:6" ht="72">
      <c r="A977" s="405">
        <v>45932.292361111111</v>
      </c>
      <c r="B977" s="384" t="s">
        <v>88</v>
      </c>
      <c r="C977" s="384" t="s">
        <v>1255</v>
      </c>
      <c r="D977" s="385" t="s">
        <v>2281</v>
      </c>
      <c r="E977" s="390" t="s">
        <v>1239</v>
      </c>
      <c r="F977" s="396" t="s">
        <v>1313</v>
      </c>
    </row>
    <row r="978" spans="1:6" ht="48">
      <c r="A978" s="405">
        <v>45902.352083333331</v>
      </c>
      <c r="B978" s="384" t="s">
        <v>23</v>
      </c>
      <c r="C978" s="384" t="s">
        <v>1277</v>
      </c>
      <c r="D978" s="385" t="s">
        <v>2280</v>
      </c>
      <c r="E978" s="390" t="s">
        <v>1239</v>
      </c>
      <c r="F978" s="396" t="s">
        <v>1313</v>
      </c>
    </row>
    <row r="979" spans="1:6" ht="72">
      <c r="A979" s="405">
        <v>45902.350694444445</v>
      </c>
      <c r="B979" s="384" t="s">
        <v>88</v>
      </c>
      <c r="C979" s="384" t="s">
        <v>1277</v>
      </c>
      <c r="D979" s="385" t="s">
        <v>2279</v>
      </c>
      <c r="E979" s="390" t="s">
        <v>1239</v>
      </c>
      <c r="F979" s="396" t="s">
        <v>1313</v>
      </c>
    </row>
    <row r="980" spans="1:6" ht="72">
      <c r="A980" s="405">
        <v>45871.696527777778</v>
      </c>
      <c r="B980" s="384" t="s">
        <v>88</v>
      </c>
      <c r="C980" s="384" t="s">
        <v>1255</v>
      </c>
      <c r="D980" s="385" t="s">
        <v>2276</v>
      </c>
      <c r="E980" s="390" t="s">
        <v>1239</v>
      </c>
      <c r="F980" s="396" t="s">
        <v>1313</v>
      </c>
    </row>
    <row r="981" spans="1:6" ht="72">
      <c r="A981" s="405">
        <v>45871.696527777778</v>
      </c>
      <c r="B981" s="384" t="s">
        <v>88</v>
      </c>
      <c r="C981" s="384" t="s">
        <v>1255</v>
      </c>
      <c r="D981" s="385" t="s">
        <v>2275</v>
      </c>
      <c r="E981" s="390" t="s">
        <v>1239</v>
      </c>
      <c r="F981" s="396" t="s">
        <v>1313</v>
      </c>
    </row>
    <row r="982" spans="1:6" ht="72">
      <c r="A982" s="405">
        <v>45871.695833333331</v>
      </c>
      <c r="B982" s="384" t="s">
        <v>88</v>
      </c>
      <c r="C982" s="384" t="s">
        <v>1277</v>
      </c>
      <c r="D982" s="385" t="s">
        <v>2274</v>
      </c>
      <c r="E982" s="390" t="s">
        <v>1239</v>
      </c>
      <c r="F982" s="396" t="s">
        <v>1313</v>
      </c>
    </row>
    <row r="983" spans="1:6" ht="72">
      <c r="A983" s="405">
        <v>45871.694444444445</v>
      </c>
      <c r="B983" s="384" t="s">
        <v>1076</v>
      </c>
      <c r="C983" s="384" t="s">
        <v>1277</v>
      </c>
      <c r="D983" s="385" t="s">
        <v>2271</v>
      </c>
      <c r="E983" s="390" t="s">
        <v>1239</v>
      </c>
      <c r="F983" s="396" t="s">
        <v>1313</v>
      </c>
    </row>
    <row r="984" spans="1:6" ht="48">
      <c r="A984" s="405">
        <v>45840.291666666664</v>
      </c>
      <c r="B984" s="384" t="s">
        <v>88</v>
      </c>
      <c r="C984" s="384" t="s">
        <v>1238</v>
      </c>
      <c r="D984" s="385" t="s">
        <v>2270</v>
      </c>
      <c r="E984" s="390" t="s">
        <v>1239</v>
      </c>
      <c r="F984" s="396" t="s">
        <v>1313</v>
      </c>
    </row>
    <row r="985" spans="1:6" ht="72">
      <c r="A985" s="405">
        <v>45810.292361111111</v>
      </c>
      <c r="B985" s="384" t="s">
        <v>88</v>
      </c>
      <c r="C985" s="384" t="s">
        <v>1255</v>
      </c>
      <c r="D985" s="385" t="s">
        <v>1565</v>
      </c>
      <c r="E985" s="390" t="s">
        <v>1239</v>
      </c>
      <c r="F985" s="396" t="s">
        <v>1313</v>
      </c>
    </row>
    <row r="986" spans="1:6" ht="72">
      <c r="A986" s="405">
        <v>45810.292361111111</v>
      </c>
      <c r="B986" s="384" t="s">
        <v>88</v>
      </c>
      <c r="C986" s="384" t="s">
        <v>1255</v>
      </c>
      <c r="D986" s="385" t="s">
        <v>1564</v>
      </c>
      <c r="E986" s="390" t="s">
        <v>1239</v>
      </c>
      <c r="F986" s="396" t="s">
        <v>1313</v>
      </c>
    </row>
    <row r="987" spans="1:6" ht="72">
      <c r="A987" s="405">
        <v>45779.820138888892</v>
      </c>
      <c r="B987" s="384" t="s">
        <v>88</v>
      </c>
      <c r="C987" s="384" t="s">
        <v>1277</v>
      </c>
      <c r="D987" s="385" t="s">
        <v>1692</v>
      </c>
      <c r="E987" s="390" t="s">
        <v>1239</v>
      </c>
      <c r="F987" s="396" t="s">
        <v>1313</v>
      </c>
    </row>
    <row r="988" spans="1:6" ht="72">
      <c r="A988" s="405">
        <v>45779.819444444445</v>
      </c>
      <c r="B988" s="384" t="s">
        <v>1076</v>
      </c>
      <c r="C988" s="384" t="s">
        <v>1277</v>
      </c>
      <c r="D988" s="385" t="s">
        <v>2269</v>
      </c>
      <c r="E988" s="390" t="s">
        <v>1239</v>
      </c>
      <c r="F988" s="396" t="s">
        <v>1313</v>
      </c>
    </row>
    <row r="989" spans="1:6" ht="48">
      <c r="A989" s="405">
        <v>45779.819444444445</v>
      </c>
      <c r="B989" s="384" t="s">
        <v>23</v>
      </c>
      <c r="C989" s="384" t="s">
        <v>1238</v>
      </c>
      <c r="D989" s="385" t="s">
        <v>2268</v>
      </c>
      <c r="E989" s="390" t="s">
        <v>1239</v>
      </c>
      <c r="F989" s="396" t="s">
        <v>1313</v>
      </c>
    </row>
    <row r="990" spans="1:6" ht="72">
      <c r="A990" s="405">
        <v>45779.818749999999</v>
      </c>
      <c r="B990" s="384" t="s">
        <v>23</v>
      </c>
      <c r="C990" s="384" t="s">
        <v>1277</v>
      </c>
      <c r="D990" s="385" t="s">
        <v>2267</v>
      </c>
      <c r="E990" s="390" t="s">
        <v>1239</v>
      </c>
      <c r="F990" s="396" t="s">
        <v>1313</v>
      </c>
    </row>
    <row r="991" spans="1:6" ht="48">
      <c r="A991" s="405">
        <v>45779.818749999999</v>
      </c>
      <c r="B991" s="384" t="s">
        <v>23</v>
      </c>
      <c r="C991" s="384" t="s">
        <v>1277</v>
      </c>
      <c r="D991" s="385" t="s">
        <v>2266</v>
      </c>
      <c r="E991" s="390" t="s">
        <v>1239</v>
      </c>
      <c r="F991" s="396" t="s">
        <v>1313</v>
      </c>
    </row>
    <row r="992" spans="1:6" ht="48">
      <c r="A992" s="405">
        <v>45779.818749999999</v>
      </c>
      <c r="B992" s="384" t="s">
        <v>23</v>
      </c>
      <c r="C992" s="384" t="s">
        <v>1277</v>
      </c>
      <c r="D992" s="385" t="s">
        <v>2265</v>
      </c>
      <c r="E992" s="390" t="s">
        <v>1239</v>
      </c>
      <c r="F992" s="396" t="s">
        <v>1313</v>
      </c>
    </row>
    <row r="993" spans="1:6" ht="72">
      <c r="A993" s="405">
        <v>45779.818055555559</v>
      </c>
      <c r="B993" s="384" t="s">
        <v>23</v>
      </c>
      <c r="C993" s="384" t="s">
        <v>1277</v>
      </c>
      <c r="D993" s="385" t="s">
        <v>2263</v>
      </c>
      <c r="E993" s="390" t="s">
        <v>1239</v>
      </c>
      <c r="F993" s="396" t="s">
        <v>1313</v>
      </c>
    </row>
    <row r="994" spans="1:6" ht="48">
      <c r="A994" s="405">
        <v>45779.818055555559</v>
      </c>
      <c r="B994" s="384" t="s">
        <v>23</v>
      </c>
      <c r="C994" s="384" t="s">
        <v>1277</v>
      </c>
      <c r="D994" s="385" t="s">
        <v>2262</v>
      </c>
      <c r="E994" s="390" t="s">
        <v>1239</v>
      </c>
      <c r="F994" s="396" t="s">
        <v>1313</v>
      </c>
    </row>
    <row r="995" spans="1:6" ht="48">
      <c r="A995" s="405">
        <v>45779.818055555559</v>
      </c>
      <c r="B995" s="384" t="s">
        <v>23</v>
      </c>
      <c r="C995" s="384" t="s">
        <v>1277</v>
      </c>
      <c r="D995" s="385" t="s">
        <v>2261</v>
      </c>
      <c r="E995" s="390" t="s">
        <v>1239</v>
      </c>
      <c r="F995" s="396" t="s">
        <v>1313</v>
      </c>
    </row>
    <row r="996" spans="1:6" ht="48">
      <c r="A996" s="405">
        <v>45779.817361111112</v>
      </c>
      <c r="B996" s="384" t="s">
        <v>23</v>
      </c>
      <c r="C996" s="384" t="s">
        <v>1277</v>
      </c>
      <c r="D996" s="385" t="s">
        <v>2260</v>
      </c>
      <c r="E996" s="390" t="s">
        <v>1239</v>
      </c>
      <c r="F996" s="396" t="s">
        <v>1313</v>
      </c>
    </row>
    <row r="997" spans="1:6" ht="72">
      <c r="A997" s="405">
        <v>45779.727777777778</v>
      </c>
      <c r="B997" s="384" t="s">
        <v>1076</v>
      </c>
      <c r="C997" s="384" t="s">
        <v>1277</v>
      </c>
      <c r="D997" s="385" t="s">
        <v>2239</v>
      </c>
      <c r="E997" s="390" t="s">
        <v>1239</v>
      </c>
      <c r="F997" s="396" t="s">
        <v>1313</v>
      </c>
    </row>
    <row r="998" spans="1:6" ht="72">
      <c r="A998" s="405">
        <v>45779.727777777778</v>
      </c>
      <c r="B998" s="384" t="s">
        <v>1076</v>
      </c>
      <c r="C998" s="384" t="s">
        <v>1277</v>
      </c>
      <c r="D998" s="385" t="s">
        <v>2218</v>
      </c>
      <c r="E998" s="390" t="s">
        <v>1239</v>
      </c>
      <c r="F998" s="396" t="s">
        <v>1313</v>
      </c>
    </row>
    <row r="999" spans="1:6" ht="72">
      <c r="A999" s="405">
        <v>45779.727777777778</v>
      </c>
      <c r="B999" s="384" t="s">
        <v>1076</v>
      </c>
      <c r="C999" s="384" t="s">
        <v>1277</v>
      </c>
      <c r="D999" s="385" t="s">
        <v>2216</v>
      </c>
      <c r="E999" s="390" t="s">
        <v>1239</v>
      </c>
      <c r="F999" s="396" t="s">
        <v>1313</v>
      </c>
    </row>
    <row r="1000" spans="1:6" ht="72">
      <c r="A1000" s="405">
        <v>45779.727777777778</v>
      </c>
      <c r="B1000" s="384" t="s">
        <v>1076</v>
      </c>
      <c r="C1000" s="384" t="s">
        <v>1277</v>
      </c>
      <c r="D1000" s="385" t="s">
        <v>2179</v>
      </c>
      <c r="E1000" s="390" t="s">
        <v>1239</v>
      </c>
      <c r="F1000" s="396" t="s">
        <v>1313</v>
      </c>
    </row>
    <row r="1001" spans="1:6" ht="72">
      <c r="A1001" s="405">
        <v>45779.727777777778</v>
      </c>
      <c r="B1001" s="384" t="s">
        <v>1076</v>
      </c>
      <c r="C1001" s="384" t="s">
        <v>1277</v>
      </c>
      <c r="D1001" s="385" t="s">
        <v>2178</v>
      </c>
      <c r="E1001" s="390" t="s">
        <v>1239</v>
      </c>
      <c r="F1001" s="396" t="s">
        <v>1313</v>
      </c>
    </row>
    <row r="1002" spans="1:6" ht="72">
      <c r="A1002" s="405">
        <v>45779.351388888892</v>
      </c>
      <c r="B1002" s="384" t="s">
        <v>1076</v>
      </c>
      <c r="C1002" s="384" t="s">
        <v>1277</v>
      </c>
      <c r="D1002" s="385" t="s">
        <v>2239</v>
      </c>
      <c r="E1002" s="390" t="s">
        <v>1239</v>
      </c>
      <c r="F1002" s="396" t="s">
        <v>1313</v>
      </c>
    </row>
    <row r="1003" spans="1:6" ht="72">
      <c r="A1003" s="405">
        <v>45779.351388888892</v>
      </c>
      <c r="B1003" s="384" t="s">
        <v>1076</v>
      </c>
      <c r="C1003" s="384" t="s">
        <v>1277</v>
      </c>
      <c r="D1003" s="385" t="s">
        <v>2218</v>
      </c>
      <c r="E1003" s="390" t="s">
        <v>1239</v>
      </c>
      <c r="F1003" s="396" t="s">
        <v>1313</v>
      </c>
    </row>
    <row r="1004" spans="1:6" ht="72">
      <c r="A1004" s="405">
        <v>45779.351388888892</v>
      </c>
      <c r="B1004" s="384" t="s">
        <v>1076</v>
      </c>
      <c r="C1004" s="384" t="s">
        <v>1277</v>
      </c>
      <c r="D1004" s="385" t="s">
        <v>2216</v>
      </c>
      <c r="E1004" s="390" t="s">
        <v>1239</v>
      </c>
      <c r="F1004" s="396" t="s">
        <v>1313</v>
      </c>
    </row>
    <row r="1005" spans="1:6" ht="72">
      <c r="A1005" s="405">
        <v>45779.351388888892</v>
      </c>
      <c r="B1005" s="384" t="s">
        <v>1076</v>
      </c>
      <c r="C1005" s="384" t="s">
        <v>1277</v>
      </c>
      <c r="D1005" s="385" t="s">
        <v>2179</v>
      </c>
      <c r="E1005" s="390" t="s">
        <v>1239</v>
      </c>
      <c r="F1005" s="396" t="s">
        <v>1313</v>
      </c>
    </row>
    <row r="1006" spans="1:6" ht="72">
      <c r="A1006" s="405">
        <v>45779.351388888892</v>
      </c>
      <c r="B1006" s="384" t="s">
        <v>1076</v>
      </c>
      <c r="C1006" s="384" t="s">
        <v>1277</v>
      </c>
      <c r="D1006" s="385" t="s">
        <v>2178</v>
      </c>
      <c r="E1006" s="390" t="s">
        <v>1239</v>
      </c>
      <c r="F1006" s="396" t="s">
        <v>1313</v>
      </c>
    </row>
    <row r="1007" spans="1:6" ht="72">
      <c r="A1007" s="405">
        <v>45779.319444444445</v>
      </c>
      <c r="B1007" s="384" t="s">
        <v>88</v>
      </c>
      <c r="C1007" s="384" t="s">
        <v>1255</v>
      </c>
      <c r="D1007" s="385" t="s">
        <v>1565</v>
      </c>
      <c r="E1007" s="390" t="s">
        <v>1239</v>
      </c>
      <c r="F1007" s="396" t="s">
        <v>1313</v>
      </c>
    </row>
    <row r="1008" spans="1:6" ht="72">
      <c r="A1008" s="405">
        <v>45779.319444444445</v>
      </c>
      <c r="B1008" s="384" t="s">
        <v>88</v>
      </c>
      <c r="C1008" s="384" t="s">
        <v>1255</v>
      </c>
      <c r="D1008" s="385" t="s">
        <v>1564</v>
      </c>
      <c r="E1008" s="390" t="s">
        <v>1239</v>
      </c>
      <c r="F1008" s="396" t="s">
        <v>1313</v>
      </c>
    </row>
    <row r="1009" spans="1:6" ht="72">
      <c r="A1009" s="405">
        <v>45779.319444444445</v>
      </c>
      <c r="B1009" s="384" t="s">
        <v>88</v>
      </c>
      <c r="C1009" s="384" t="s">
        <v>1255</v>
      </c>
      <c r="D1009" s="385" t="s">
        <v>2259</v>
      </c>
      <c r="E1009" s="390" t="s">
        <v>1239</v>
      </c>
      <c r="F1009" s="396" t="s">
        <v>1313</v>
      </c>
    </row>
    <row r="1010" spans="1:6" ht="72">
      <c r="A1010" s="405">
        <v>45779.319444444445</v>
      </c>
      <c r="B1010" s="384" t="s">
        <v>88</v>
      </c>
      <c r="C1010" s="384" t="s">
        <v>1255</v>
      </c>
      <c r="D1010" s="385" t="s">
        <v>2258</v>
      </c>
      <c r="E1010" s="390" t="s">
        <v>1239</v>
      </c>
      <c r="F1010" s="396" t="s">
        <v>1313</v>
      </c>
    </row>
    <row r="1011" spans="1:6" ht="48">
      <c r="A1011" s="405">
        <v>45779.318749999999</v>
      </c>
      <c r="B1011" s="384" t="s">
        <v>88</v>
      </c>
      <c r="C1011" s="384" t="s">
        <v>1238</v>
      </c>
      <c r="D1011" s="385" t="s">
        <v>2257</v>
      </c>
      <c r="E1011" s="390" t="s">
        <v>1239</v>
      </c>
      <c r="F1011" s="396" t="s">
        <v>1313</v>
      </c>
    </row>
    <row r="1012" spans="1:6" ht="72">
      <c r="A1012" s="405">
        <v>45779.318749999999</v>
      </c>
      <c r="B1012" s="384" t="s">
        <v>88</v>
      </c>
      <c r="C1012" s="384" t="s">
        <v>1277</v>
      </c>
      <c r="D1012" s="385" t="s">
        <v>2256</v>
      </c>
      <c r="E1012" s="390" t="s">
        <v>1239</v>
      </c>
      <c r="F1012" s="396" t="s">
        <v>1313</v>
      </c>
    </row>
    <row r="1013" spans="1:6" ht="72">
      <c r="A1013" s="405">
        <v>45779.318749999999</v>
      </c>
      <c r="B1013" s="384" t="s">
        <v>88</v>
      </c>
      <c r="C1013" s="384" t="s">
        <v>1277</v>
      </c>
      <c r="D1013" s="385" t="s">
        <v>2255</v>
      </c>
      <c r="E1013" s="390" t="s">
        <v>1239</v>
      </c>
      <c r="F1013" s="396" t="s">
        <v>1313</v>
      </c>
    </row>
    <row r="1014" spans="1:6" ht="72">
      <c r="A1014" s="405">
        <v>45749.722222222219</v>
      </c>
      <c r="B1014" s="384" t="s">
        <v>1076</v>
      </c>
      <c r="C1014" s="384" t="s">
        <v>1277</v>
      </c>
      <c r="D1014" s="385" t="s">
        <v>2218</v>
      </c>
      <c r="E1014" s="390" t="s">
        <v>1239</v>
      </c>
      <c r="F1014" s="396" t="s">
        <v>1313</v>
      </c>
    </row>
    <row r="1015" spans="1:6" ht="72">
      <c r="A1015" s="405">
        <v>45749.722222222219</v>
      </c>
      <c r="B1015" s="384" t="s">
        <v>1076</v>
      </c>
      <c r="C1015" s="384" t="s">
        <v>1277</v>
      </c>
      <c r="D1015" s="385" t="s">
        <v>2216</v>
      </c>
      <c r="E1015" s="390" t="s">
        <v>1239</v>
      </c>
      <c r="F1015" s="396" t="s">
        <v>1313</v>
      </c>
    </row>
    <row r="1016" spans="1:6" ht="72">
      <c r="A1016" s="405">
        <v>45749.722222222219</v>
      </c>
      <c r="B1016" s="384" t="s">
        <v>1076</v>
      </c>
      <c r="C1016" s="384" t="s">
        <v>1277</v>
      </c>
      <c r="D1016" s="385" t="s">
        <v>2181</v>
      </c>
      <c r="E1016" s="390" t="s">
        <v>1239</v>
      </c>
      <c r="F1016" s="396" t="s">
        <v>1313</v>
      </c>
    </row>
    <row r="1017" spans="1:6" ht="72">
      <c r="A1017" s="405">
        <v>45749.722222222219</v>
      </c>
      <c r="B1017" s="384" t="s">
        <v>1076</v>
      </c>
      <c r="C1017" s="384" t="s">
        <v>1277</v>
      </c>
      <c r="D1017" s="385" t="s">
        <v>2180</v>
      </c>
      <c r="E1017" s="390" t="s">
        <v>1239</v>
      </c>
      <c r="F1017" s="396" t="s">
        <v>1313</v>
      </c>
    </row>
    <row r="1018" spans="1:6" ht="72">
      <c r="A1018" s="405">
        <v>45749.722222222219</v>
      </c>
      <c r="B1018" s="384" t="s">
        <v>1076</v>
      </c>
      <c r="C1018" s="384" t="s">
        <v>1277</v>
      </c>
      <c r="D1018" s="385" t="s">
        <v>2179</v>
      </c>
      <c r="E1018" s="390" t="s">
        <v>1239</v>
      </c>
      <c r="F1018" s="396" t="s">
        <v>1313</v>
      </c>
    </row>
    <row r="1019" spans="1:6" ht="72">
      <c r="A1019" s="405">
        <v>45749.722222222219</v>
      </c>
      <c r="B1019" s="384" t="s">
        <v>1076</v>
      </c>
      <c r="C1019" s="384" t="s">
        <v>1277</v>
      </c>
      <c r="D1019" s="385" t="s">
        <v>2178</v>
      </c>
      <c r="E1019" s="390" t="s">
        <v>1239</v>
      </c>
      <c r="F1019" s="396" t="s">
        <v>1313</v>
      </c>
    </row>
    <row r="1020" spans="1:6" ht="72">
      <c r="A1020" s="405">
        <v>45749.722222222219</v>
      </c>
      <c r="B1020" s="384" t="s">
        <v>1076</v>
      </c>
      <c r="C1020" s="384" t="s">
        <v>1277</v>
      </c>
      <c r="D1020" s="385" t="s">
        <v>2248</v>
      </c>
      <c r="E1020" s="390" t="s">
        <v>1239</v>
      </c>
      <c r="F1020" s="396" t="s">
        <v>1313</v>
      </c>
    </row>
    <row r="1021" spans="1:6" ht="72">
      <c r="A1021" s="405">
        <v>45749.722222222219</v>
      </c>
      <c r="B1021" s="384" t="s">
        <v>1076</v>
      </c>
      <c r="C1021" s="384" t="s">
        <v>1277</v>
      </c>
      <c r="D1021" s="385" t="s">
        <v>2247</v>
      </c>
      <c r="E1021" s="390" t="s">
        <v>1239</v>
      </c>
      <c r="F1021" s="396" t="s">
        <v>1313</v>
      </c>
    </row>
    <row r="1022" spans="1:6" ht="72">
      <c r="A1022" s="405">
        <v>45749.722222222219</v>
      </c>
      <c r="B1022" s="384" t="s">
        <v>1076</v>
      </c>
      <c r="C1022" s="384" t="s">
        <v>1277</v>
      </c>
      <c r="D1022" s="385" t="s">
        <v>2181</v>
      </c>
      <c r="E1022" s="390" t="s">
        <v>1239</v>
      </c>
      <c r="F1022" s="396" t="s">
        <v>1313</v>
      </c>
    </row>
    <row r="1023" spans="1:6" ht="72">
      <c r="A1023" s="405">
        <v>45749.722222222219</v>
      </c>
      <c r="B1023" s="384" t="s">
        <v>1076</v>
      </c>
      <c r="C1023" s="384" t="s">
        <v>1277</v>
      </c>
      <c r="D1023" s="385" t="s">
        <v>2180</v>
      </c>
      <c r="E1023" s="390" t="s">
        <v>1239</v>
      </c>
      <c r="F1023" s="396" t="s">
        <v>1313</v>
      </c>
    </row>
    <row r="1024" spans="1:6" ht="72">
      <c r="A1024" s="405">
        <v>45749.722222222219</v>
      </c>
      <c r="B1024" s="384" t="s">
        <v>1076</v>
      </c>
      <c r="C1024" s="384" t="s">
        <v>1277</v>
      </c>
      <c r="D1024" s="385" t="s">
        <v>2179</v>
      </c>
      <c r="E1024" s="390" t="s">
        <v>1239</v>
      </c>
      <c r="F1024" s="396" t="s">
        <v>1313</v>
      </c>
    </row>
    <row r="1025" spans="1:6" ht="72">
      <c r="A1025" s="405">
        <v>45749.722222222219</v>
      </c>
      <c r="B1025" s="384" t="s">
        <v>1076</v>
      </c>
      <c r="C1025" s="384" t="s">
        <v>1277</v>
      </c>
      <c r="D1025" s="385" t="s">
        <v>2178</v>
      </c>
      <c r="E1025" s="390" t="s">
        <v>1239</v>
      </c>
      <c r="F1025" s="396" t="s">
        <v>1313</v>
      </c>
    </row>
    <row r="1026" spans="1:6" ht="72">
      <c r="A1026" s="405">
        <v>45749.70416666667</v>
      </c>
      <c r="B1026" s="384" t="s">
        <v>1076</v>
      </c>
      <c r="C1026" s="384" t="s">
        <v>1277</v>
      </c>
      <c r="D1026" s="385" t="s">
        <v>2246</v>
      </c>
      <c r="E1026" s="390" t="s">
        <v>1239</v>
      </c>
      <c r="F1026" s="396" t="s">
        <v>1313</v>
      </c>
    </row>
    <row r="1027" spans="1:6" ht="72">
      <c r="A1027" s="405">
        <v>45749.70416666667</v>
      </c>
      <c r="B1027" s="384" t="s">
        <v>1076</v>
      </c>
      <c r="C1027" s="384" t="s">
        <v>1277</v>
      </c>
      <c r="D1027" s="385" t="s">
        <v>2245</v>
      </c>
      <c r="E1027" s="390" t="s">
        <v>1239</v>
      </c>
      <c r="F1027" s="396" t="s">
        <v>1313</v>
      </c>
    </row>
    <row r="1028" spans="1:6" ht="72">
      <c r="A1028" s="405">
        <v>45749.70416666667</v>
      </c>
      <c r="B1028" s="384" t="s">
        <v>1076</v>
      </c>
      <c r="C1028" s="384" t="s">
        <v>1277</v>
      </c>
      <c r="D1028" s="385" t="s">
        <v>2244</v>
      </c>
      <c r="E1028" s="390" t="s">
        <v>1239</v>
      </c>
      <c r="F1028" s="396" t="s">
        <v>1313</v>
      </c>
    </row>
    <row r="1029" spans="1:6" ht="72">
      <c r="A1029" s="405">
        <v>45749.70416666667</v>
      </c>
      <c r="B1029" s="384" t="s">
        <v>1076</v>
      </c>
      <c r="C1029" s="384" t="s">
        <v>1277</v>
      </c>
      <c r="D1029" s="385" t="s">
        <v>2243</v>
      </c>
      <c r="E1029" s="390" t="s">
        <v>1239</v>
      </c>
      <c r="F1029" s="396" t="s">
        <v>1313</v>
      </c>
    </row>
    <row r="1030" spans="1:6" ht="72">
      <c r="A1030" s="405">
        <v>45749.70416666667</v>
      </c>
      <c r="B1030" s="384" t="s">
        <v>1076</v>
      </c>
      <c r="C1030" s="384" t="s">
        <v>1277</v>
      </c>
      <c r="D1030" s="385" t="s">
        <v>2242</v>
      </c>
      <c r="E1030" s="390" t="s">
        <v>1239</v>
      </c>
      <c r="F1030" s="396" t="s">
        <v>1313</v>
      </c>
    </row>
    <row r="1031" spans="1:6" ht="72">
      <c r="A1031" s="405">
        <v>45749.70416666667</v>
      </c>
      <c r="B1031" s="384" t="s">
        <v>1076</v>
      </c>
      <c r="C1031" s="384" t="s">
        <v>1277</v>
      </c>
      <c r="D1031" s="385" t="s">
        <v>2241</v>
      </c>
      <c r="E1031" s="390" t="s">
        <v>1239</v>
      </c>
      <c r="F1031" s="396" t="s">
        <v>1313</v>
      </c>
    </row>
    <row r="1032" spans="1:6" ht="72">
      <c r="A1032" s="405">
        <v>45749.70416666667</v>
      </c>
      <c r="B1032" s="384" t="s">
        <v>1076</v>
      </c>
      <c r="C1032" s="384" t="s">
        <v>1277</v>
      </c>
      <c r="D1032" s="385" t="s">
        <v>2240</v>
      </c>
      <c r="E1032" s="390" t="s">
        <v>1239</v>
      </c>
      <c r="F1032" s="396" t="s">
        <v>1313</v>
      </c>
    </row>
    <row r="1033" spans="1:6" ht="72">
      <c r="A1033" s="405">
        <v>45749.70416666667</v>
      </c>
      <c r="B1033" s="384" t="s">
        <v>1076</v>
      </c>
      <c r="C1033" s="384" t="s">
        <v>1277</v>
      </c>
      <c r="D1033" s="385" t="s">
        <v>2239</v>
      </c>
      <c r="E1033" s="390" t="s">
        <v>1239</v>
      </c>
      <c r="F1033" s="396" t="s">
        <v>1313</v>
      </c>
    </row>
    <row r="1034" spans="1:6" ht="72">
      <c r="A1034" s="405">
        <v>45749.70416666667</v>
      </c>
      <c r="B1034" s="384" t="s">
        <v>1076</v>
      </c>
      <c r="C1034" s="384" t="s">
        <v>1277</v>
      </c>
      <c r="D1034" s="385" t="s">
        <v>2238</v>
      </c>
      <c r="E1034" s="390" t="s">
        <v>1239</v>
      </c>
      <c r="F1034" s="396" t="s">
        <v>1313</v>
      </c>
    </row>
    <row r="1035" spans="1:6" ht="72">
      <c r="A1035" s="405">
        <v>45749.70416666667</v>
      </c>
      <c r="B1035" s="384" t="s">
        <v>1076</v>
      </c>
      <c r="C1035" s="384" t="s">
        <v>1277</v>
      </c>
      <c r="D1035" s="385" t="s">
        <v>2237</v>
      </c>
      <c r="E1035" s="390" t="s">
        <v>1239</v>
      </c>
      <c r="F1035" s="396" t="s">
        <v>1313</v>
      </c>
    </row>
    <row r="1036" spans="1:6" ht="72">
      <c r="A1036" s="405">
        <v>45749.70416666667</v>
      </c>
      <c r="B1036" s="384" t="s">
        <v>1076</v>
      </c>
      <c r="C1036" s="384" t="s">
        <v>1277</v>
      </c>
      <c r="D1036" s="385" t="s">
        <v>2236</v>
      </c>
      <c r="E1036" s="390" t="s">
        <v>1239</v>
      </c>
      <c r="F1036" s="396" t="s">
        <v>1313</v>
      </c>
    </row>
    <row r="1037" spans="1:6" ht="72">
      <c r="A1037" s="405">
        <v>45749.70416666667</v>
      </c>
      <c r="B1037" s="384" t="s">
        <v>1076</v>
      </c>
      <c r="C1037" s="384" t="s">
        <v>1277</v>
      </c>
      <c r="D1037" s="385" t="s">
        <v>2235</v>
      </c>
      <c r="E1037" s="390" t="s">
        <v>1239</v>
      </c>
      <c r="F1037" s="396" t="s">
        <v>1313</v>
      </c>
    </row>
    <row r="1038" spans="1:6" ht="72">
      <c r="A1038" s="405">
        <v>45749.70416666667</v>
      </c>
      <c r="B1038" s="384" t="s">
        <v>1076</v>
      </c>
      <c r="C1038" s="384" t="s">
        <v>1277</v>
      </c>
      <c r="D1038" s="385" t="s">
        <v>2234</v>
      </c>
      <c r="E1038" s="390" t="s">
        <v>1239</v>
      </c>
      <c r="F1038" s="396" t="s">
        <v>1313</v>
      </c>
    </row>
    <row r="1039" spans="1:6" ht="72">
      <c r="A1039" s="405">
        <v>45749.70416666667</v>
      </c>
      <c r="B1039" s="384" t="s">
        <v>1076</v>
      </c>
      <c r="C1039" s="384" t="s">
        <v>1277</v>
      </c>
      <c r="D1039" s="385" t="s">
        <v>2233</v>
      </c>
      <c r="E1039" s="390" t="s">
        <v>1239</v>
      </c>
      <c r="F1039" s="396" t="s">
        <v>1313</v>
      </c>
    </row>
    <row r="1040" spans="1:6" ht="72">
      <c r="A1040" s="405">
        <v>45749.70416666667</v>
      </c>
      <c r="B1040" s="384" t="s">
        <v>1076</v>
      </c>
      <c r="C1040" s="384" t="s">
        <v>1277</v>
      </c>
      <c r="D1040" s="385" t="s">
        <v>2232</v>
      </c>
      <c r="E1040" s="390" t="s">
        <v>1239</v>
      </c>
      <c r="F1040" s="396" t="s">
        <v>1313</v>
      </c>
    </row>
    <row r="1041" spans="1:6" ht="72">
      <c r="A1041" s="405">
        <v>45749.70416666667</v>
      </c>
      <c r="B1041" s="384" t="s">
        <v>1076</v>
      </c>
      <c r="C1041" s="384" t="s">
        <v>1277</v>
      </c>
      <c r="D1041" s="385" t="s">
        <v>2231</v>
      </c>
      <c r="E1041" s="390" t="s">
        <v>1239</v>
      </c>
      <c r="F1041" s="396" t="s">
        <v>1313</v>
      </c>
    </row>
    <row r="1042" spans="1:6" ht="72">
      <c r="A1042" s="405">
        <v>45749.70416666667</v>
      </c>
      <c r="B1042" s="384" t="s">
        <v>1076</v>
      </c>
      <c r="C1042" s="384" t="s">
        <v>1277</v>
      </c>
      <c r="D1042" s="385" t="s">
        <v>2230</v>
      </c>
      <c r="E1042" s="390" t="s">
        <v>1239</v>
      </c>
      <c r="F1042" s="396" t="s">
        <v>1313</v>
      </c>
    </row>
    <row r="1043" spans="1:6" ht="72">
      <c r="A1043" s="405">
        <v>45749.70416666667</v>
      </c>
      <c r="B1043" s="384" t="s">
        <v>1076</v>
      </c>
      <c r="C1043" s="384" t="s">
        <v>1277</v>
      </c>
      <c r="D1043" s="385" t="s">
        <v>2229</v>
      </c>
      <c r="E1043" s="390" t="s">
        <v>1239</v>
      </c>
      <c r="F1043" s="396" t="s">
        <v>1313</v>
      </c>
    </row>
    <row r="1044" spans="1:6" ht="72">
      <c r="A1044" s="405">
        <v>45749.70416666667</v>
      </c>
      <c r="B1044" s="384" t="s">
        <v>1076</v>
      </c>
      <c r="C1044" s="384" t="s">
        <v>1277</v>
      </c>
      <c r="D1044" s="385" t="s">
        <v>2228</v>
      </c>
      <c r="E1044" s="390" t="s">
        <v>1239</v>
      </c>
      <c r="F1044" s="396" t="s">
        <v>1313</v>
      </c>
    </row>
    <row r="1045" spans="1:6" ht="72">
      <c r="A1045" s="405">
        <v>45749.70416666667</v>
      </c>
      <c r="B1045" s="384" t="s">
        <v>1076</v>
      </c>
      <c r="C1045" s="384" t="s">
        <v>1277</v>
      </c>
      <c r="D1045" s="385" t="s">
        <v>2227</v>
      </c>
      <c r="E1045" s="390" t="s">
        <v>1239</v>
      </c>
      <c r="F1045" s="396" t="s">
        <v>1313</v>
      </c>
    </row>
    <row r="1046" spans="1:6" ht="72">
      <c r="A1046" s="405">
        <v>45749.70416666667</v>
      </c>
      <c r="B1046" s="384" t="s">
        <v>1076</v>
      </c>
      <c r="C1046" s="384" t="s">
        <v>1277</v>
      </c>
      <c r="D1046" s="385" t="s">
        <v>2226</v>
      </c>
      <c r="E1046" s="390" t="s">
        <v>1239</v>
      </c>
      <c r="F1046" s="396" t="s">
        <v>1313</v>
      </c>
    </row>
    <row r="1047" spans="1:6" ht="72">
      <c r="A1047" s="405">
        <v>45749.70416666667</v>
      </c>
      <c r="B1047" s="384" t="s">
        <v>1076</v>
      </c>
      <c r="C1047" s="384" t="s">
        <v>1277</v>
      </c>
      <c r="D1047" s="385" t="s">
        <v>2225</v>
      </c>
      <c r="E1047" s="390" t="s">
        <v>1239</v>
      </c>
      <c r="F1047" s="396" t="s">
        <v>1313</v>
      </c>
    </row>
    <row r="1048" spans="1:6" ht="72">
      <c r="A1048" s="405">
        <v>45749.70416666667</v>
      </c>
      <c r="B1048" s="384" t="s">
        <v>1076</v>
      </c>
      <c r="C1048" s="384" t="s">
        <v>1277</v>
      </c>
      <c r="D1048" s="385" t="s">
        <v>2224</v>
      </c>
      <c r="E1048" s="390" t="s">
        <v>1239</v>
      </c>
      <c r="F1048" s="396" t="s">
        <v>1313</v>
      </c>
    </row>
    <row r="1049" spans="1:6" ht="72">
      <c r="A1049" s="405">
        <v>45749.70416666667</v>
      </c>
      <c r="B1049" s="384" t="s">
        <v>1076</v>
      </c>
      <c r="C1049" s="384" t="s">
        <v>1277</v>
      </c>
      <c r="D1049" s="385" t="s">
        <v>2223</v>
      </c>
      <c r="E1049" s="390" t="s">
        <v>1239</v>
      </c>
      <c r="F1049" s="396" t="s">
        <v>1313</v>
      </c>
    </row>
    <row r="1050" spans="1:6" ht="72">
      <c r="A1050" s="405">
        <v>45749.70416666667</v>
      </c>
      <c r="B1050" s="384" t="s">
        <v>1076</v>
      </c>
      <c r="C1050" s="384" t="s">
        <v>1277</v>
      </c>
      <c r="D1050" s="385" t="s">
        <v>2222</v>
      </c>
      <c r="E1050" s="390" t="s">
        <v>1239</v>
      </c>
      <c r="F1050" s="396" t="s">
        <v>1313</v>
      </c>
    </row>
    <row r="1051" spans="1:6" ht="72">
      <c r="A1051" s="405">
        <v>45749.70416666667</v>
      </c>
      <c r="B1051" s="384" t="s">
        <v>1076</v>
      </c>
      <c r="C1051" s="384" t="s">
        <v>1277</v>
      </c>
      <c r="D1051" s="385" t="s">
        <v>2221</v>
      </c>
      <c r="E1051" s="390" t="s">
        <v>1239</v>
      </c>
      <c r="F1051" s="396" t="s">
        <v>1313</v>
      </c>
    </row>
    <row r="1052" spans="1:6" ht="72">
      <c r="A1052" s="405">
        <v>45749.70416666667</v>
      </c>
      <c r="B1052" s="384" t="s">
        <v>1076</v>
      </c>
      <c r="C1052" s="384" t="s">
        <v>1277</v>
      </c>
      <c r="D1052" s="385" t="s">
        <v>2220</v>
      </c>
      <c r="E1052" s="390" t="s">
        <v>1239</v>
      </c>
      <c r="F1052" s="396" t="s">
        <v>1313</v>
      </c>
    </row>
    <row r="1053" spans="1:6" ht="72">
      <c r="A1053" s="405">
        <v>45749.70416666667</v>
      </c>
      <c r="B1053" s="384" t="s">
        <v>1076</v>
      </c>
      <c r="C1053" s="384" t="s">
        <v>1277</v>
      </c>
      <c r="D1053" s="385" t="s">
        <v>2219</v>
      </c>
      <c r="E1053" s="390" t="s">
        <v>1239</v>
      </c>
      <c r="F1053" s="396" t="s">
        <v>1313</v>
      </c>
    </row>
    <row r="1054" spans="1:6" ht="72">
      <c r="A1054" s="405">
        <v>45749.70416666667</v>
      </c>
      <c r="B1054" s="384" t="s">
        <v>1076</v>
      </c>
      <c r="C1054" s="384" t="s">
        <v>1277</v>
      </c>
      <c r="D1054" s="385" t="s">
        <v>2218</v>
      </c>
      <c r="E1054" s="390" t="s">
        <v>1239</v>
      </c>
      <c r="F1054" s="396" t="s">
        <v>1313</v>
      </c>
    </row>
    <row r="1055" spans="1:6" ht="72">
      <c r="A1055" s="405">
        <v>45749.70416666667</v>
      </c>
      <c r="B1055" s="384" t="s">
        <v>1076</v>
      </c>
      <c r="C1055" s="384" t="s">
        <v>1277</v>
      </c>
      <c r="D1055" s="385" t="s">
        <v>2217</v>
      </c>
      <c r="E1055" s="390" t="s">
        <v>1239</v>
      </c>
      <c r="F1055" s="396" t="s">
        <v>1313</v>
      </c>
    </row>
    <row r="1056" spans="1:6" ht="72">
      <c r="A1056" s="405">
        <v>45749.70416666667</v>
      </c>
      <c r="B1056" s="384" t="s">
        <v>1076</v>
      </c>
      <c r="C1056" s="384" t="s">
        <v>1277</v>
      </c>
      <c r="D1056" s="385" t="s">
        <v>2216</v>
      </c>
      <c r="E1056" s="390" t="s">
        <v>1239</v>
      </c>
      <c r="F1056" s="396" t="s">
        <v>1313</v>
      </c>
    </row>
    <row r="1057" spans="1:6" ht="72">
      <c r="A1057" s="405">
        <v>45749.70416666667</v>
      </c>
      <c r="B1057" s="384" t="s">
        <v>1076</v>
      </c>
      <c r="C1057" s="384" t="s">
        <v>1277</v>
      </c>
      <c r="D1057" s="385" t="s">
        <v>2215</v>
      </c>
      <c r="E1057" s="390" t="s">
        <v>1239</v>
      </c>
      <c r="F1057" s="396" t="s">
        <v>1313</v>
      </c>
    </row>
    <row r="1058" spans="1:6" ht="72">
      <c r="A1058" s="405">
        <v>45749.70416666667</v>
      </c>
      <c r="B1058" s="384" t="s">
        <v>1076</v>
      </c>
      <c r="C1058" s="384" t="s">
        <v>1277</v>
      </c>
      <c r="D1058" s="385" t="s">
        <v>2214</v>
      </c>
      <c r="E1058" s="390" t="s">
        <v>1239</v>
      </c>
      <c r="F1058" s="396" t="s">
        <v>1313</v>
      </c>
    </row>
    <row r="1059" spans="1:6" ht="72">
      <c r="A1059" s="405">
        <v>45749.70416666667</v>
      </c>
      <c r="B1059" s="384" t="s">
        <v>1076</v>
      </c>
      <c r="C1059" s="384" t="s">
        <v>1277</v>
      </c>
      <c r="D1059" s="385" t="s">
        <v>2213</v>
      </c>
      <c r="E1059" s="390" t="s">
        <v>1239</v>
      </c>
      <c r="F1059" s="396" t="s">
        <v>1313</v>
      </c>
    </row>
    <row r="1060" spans="1:6" ht="72">
      <c r="A1060" s="405">
        <v>45749.70416666667</v>
      </c>
      <c r="B1060" s="384" t="s">
        <v>1076</v>
      </c>
      <c r="C1060" s="384" t="s">
        <v>1277</v>
      </c>
      <c r="D1060" s="385" t="s">
        <v>2212</v>
      </c>
      <c r="E1060" s="390" t="s">
        <v>1239</v>
      </c>
      <c r="F1060" s="396" t="s">
        <v>1313</v>
      </c>
    </row>
    <row r="1061" spans="1:6" ht="72">
      <c r="A1061" s="405">
        <v>45749.70416666667</v>
      </c>
      <c r="B1061" s="384" t="s">
        <v>1076</v>
      </c>
      <c r="C1061" s="384" t="s">
        <v>1277</v>
      </c>
      <c r="D1061" s="385" t="s">
        <v>2211</v>
      </c>
      <c r="E1061" s="390" t="s">
        <v>1239</v>
      </c>
      <c r="F1061" s="396" t="s">
        <v>1313</v>
      </c>
    </row>
    <row r="1062" spans="1:6" ht="72">
      <c r="A1062" s="405">
        <v>45749.70416666667</v>
      </c>
      <c r="B1062" s="384" t="s">
        <v>1076</v>
      </c>
      <c r="C1062" s="384" t="s">
        <v>1277</v>
      </c>
      <c r="D1062" s="385" t="s">
        <v>2210</v>
      </c>
      <c r="E1062" s="390" t="s">
        <v>1239</v>
      </c>
      <c r="F1062" s="396" t="s">
        <v>1313</v>
      </c>
    </row>
    <row r="1063" spans="1:6" ht="72">
      <c r="A1063" s="405">
        <v>45749.70416666667</v>
      </c>
      <c r="B1063" s="384" t="s">
        <v>1076</v>
      </c>
      <c r="C1063" s="384" t="s">
        <v>1277</v>
      </c>
      <c r="D1063" s="385" t="s">
        <v>2209</v>
      </c>
      <c r="E1063" s="390" t="s">
        <v>1239</v>
      </c>
      <c r="F1063" s="396" t="s">
        <v>1313</v>
      </c>
    </row>
    <row r="1064" spans="1:6" ht="72">
      <c r="A1064" s="405">
        <v>45749.70416666667</v>
      </c>
      <c r="B1064" s="384" t="s">
        <v>1076</v>
      </c>
      <c r="C1064" s="384" t="s">
        <v>1277</v>
      </c>
      <c r="D1064" s="385" t="s">
        <v>2208</v>
      </c>
      <c r="E1064" s="390" t="s">
        <v>1239</v>
      </c>
      <c r="F1064" s="396" t="s">
        <v>1313</v>
      </c>
    </row>
    <row r="1065" spans="1:6" ht="72">
      <c r="A1065" s="405">
        <v>45749.70416666667</v>
      </c>
      <c r="B1065" s="384" t="s">
        <v>1076</v>
      </c>
      <c r="C1065" s="384" t="s">
        <v>1277</v>
      </c>
      <c r="D1065" s="385" t="s">
        <v>2207</v>
      </c>
      <c r="E1065" s="390" t="s">
        <v>1239</v>
      </c>
      <c r="F1065" s="396" t="s">
        <v>1313</v>
      </c>
    </row>
    <row r="1066" spans="1:6" ht="72">
      <c r="A1066" s="405">
        <v>45749.70416666667</v>
      </c>
      <c r="B1066" s="384" t="s">
        <v>1076</v>
      </c>
      <c r="C1066" s="384" t="s">
        <v>1277</v>
      </c>
      <c r="D1066" s="385" t="s">
        <v>2206</v>
      </c>
      <c r="E1066" s="390" t="s">
        <v>1239</v>
      </c>
      <c r="F1066" s="396" t="s">
        <v>1313</v>
      </c>
    </row>
    <row r="1067" spans="1:6" ht="72">
      <c r="A1067" s="405">
        <v>45749.70416666667</v>
      </c>
      <c r="B1067" s="384" t="s">
        <v>1076</v>
      </c>
      <c r="C1067" s="384" t="s">
        <v>1277</v>
      </c>
      <c r="D1067" s="385" t="s">
        <v>2205</v>
      </c>
      <c r="E1067" s="390" t="s">
        <v>1239</v>
      </c>
      <c r="F1067" s="396" t="s">
        <v>1313</v>
      </c>
    </row>
    <row r="1068" spans="1:6" ht="72">
      <c r="A1068" s="405">
        <v>45749.70416666667</v>
      </c>
      <c r="B1068" s="384" t="s">
        <v>1076</v>
      </c>
      <c r="C1068" s="384" t="s">
        <v>1277</v>
      </c>
      <c r="D1068" s="385" t="s">
        <v>2204</v>
      </c>
      <c r="E1068" s="390" t="s">
        <v>1239</v>
      </c>
      <c r="F1068" s="396" t="s">
        <v>1313</v>
      </c>
    </row>
    <row r="1069" spans="1:6" ht="72">
      <c r="A1069" s="405">
        <v>45749.70416666667</v>
      </c>
      <c r="B1069" s="384" t="s">
        <v>1076</v>
      </c>
      <c r="C1069" s="384" t="s">
        <v>1277</v>
      </c>
      <c r="D1069" s="385" t="s">
        <v>2203</v>
      </c>
      <c r="E1069" s="390" t="s">
        <v>1239</v>
      </c>
      <c r="F1069" s="396" t="s">
        <v>1313</v>
      </c>
    </row>
    <row r="1070" spans="1:6" ht="72">
      <c r="A1070" s="405">
        <v>45749.70416666667</v>
      </c>
      <c r="B1070" s="384" t="s">
        <v>1076</v>
      </c>
      <c r="C1070" s="384" t="s">
        <v>1277</v>
      </c>
      <c r="D1070" s="385" t="s">
        <v>2202</v>
      </c>
      <c r="E1070" s="390" t="s">
        <v>1239</v>
      </c>
      <c r="F1070" s="396" t="s">
        <v>1313</v>
      </c>
    </row>
    <row r="1071" spans="1:6" ht="72">
      <c r="A1071" s="405">
        <v>45749.70416666667</v>
      </c>
      <c r="B1071" s="384" t="s">
        <v>1076</v>
      </c>
      <c r="C1071" s="384" t="s">
        <v>1277</v>
      </c>
      <c r="D1071" s="385" t="s">
        <v>2201</v>
      </c>
      <c r="E1071" s="390" t="s">
        <v>1239</v>
      </c>
      <c r="F1071" s="396" t="s">
        <v>1313</v>
      </c>
    </row>
    <row r="1072" spans="1:6" ht="72">
      <c r="A1072" s="405">
        <v>45749.70416666667</v>
      </c>
      <c r="B1072" s="384" t="s">
        <v>1076</v>
      </c>
      <c r="C1072" s="384" t="s">
        <v>1277</v>
      </c>
      <c r="D1072" s="385" t="s">
        <v>2200</v>
      </c>
      <c r="E1072" s="390" t="s">
        <v>1239</v>
      </c>
      <c r="F1072" s="396" t="s">
        <v>1313</v>
      </c>
    </row>
    <row r="1073" spans="1:6" ht="72">
      <c r="A1073" s="405">
        <v>45749.70416666667</v>
      </c>
      <c r="B1073" s="384" t="s">
        <v>1076</v>
      </c>
      <c r="C1073" s="384" t="s">
        <v>1277</v>
      </c>
      <c r="D1073" s="385" t="s">
        <v>2199</v>
      </c>
      <c r="E1073" s="390" t="s">
        <v>1239</v>
      </c>
      <c r="F1073" s="396" t="s">
        <v>1313</v>
      </c>
    </row>
    <row r="1074" spans="1:6" ht="72">
      <c r="A1074" s="405">
        <v>45749.70416666667</v>
      </c>
      <c r="B1074" s="384" t="s">
        <v>1076</v>
      </c>
      <c r="C1074" s="384" t="s">
        <v>1277</v>
      </c>
      <c r="D1074" s="385" t="s">
        <v>2198</v>
      </c>
      <c r="E1074" s="390" t="s">
        <v>1239</v>
      </c>
      <c r="F1074" s="396" t="s">
        <v>1313</v>
      </c>
    </row>
    <row r="1075" spans="1:6" ht="72">
      <c r="A1075" s="405">
        <v>45749.70416666667</v>
      </c>
      <c r="B1075" s="384" t="s">
        <v>1076</v>
      </c>
      <c r="C1075" s="384" t="s">
        <v>1277</v>
      </c>
      <c r="D1075" s="385" t="s">
        <v>2197</v>
      </c>
      <c r="E1075" s="390" t="s">
        <v>1239</v>
      </c>
      <c r="F1075" s="396" t="s">
        <v>1313</v>
      </c>
    </row>
    <row r="1076" spans="1:6" ht="72">
      <c r="A1076" s="405">
        <v>45749.70416666667</v>
      </c>
      <c r="B1076" s="384" t="s">
        <v>1076</v>
      </c>
      <c r="C1076" s="384" t="s">
        <v>1277</v>
      </c>
      <c r="D1076" s="385" t="s">
        <v>2196</v>
      </c>
      <c r="E1076" s="390" t="s">
        <v>1239</v>
      </c>
      <c r="F1076" s="396" t="s">
        <v>1313</v>
      </c>
    </row>
    <row r="1077" spans="1:6" ht="72">
      <c r="A1077" s="405">
        <v>45749.70416666667</v>
      </c>
      <c r="B1077" s="384" t="s">
        <v>1076</v>
      </c>
      <c r="C1077" s="384" t="s">
        <v>1277</v>
      </c>
      <c r="D1077" s="385" t="s">
        <v>2195</v>
      </c>
      <c r="E1077" s="390" t="s">
        <v>1239</v>
      </c>
      <c r="F1077" s="396" t="s">
        <v>1313</v>
      </c>
    </row>
    <row r="1078" spans="1:6" ht="72">
      <c r="A1078" s="405">
        <v>45749.70416666667</v>
      </c>
      <c r="B1078" s="384" t="s">
        <v>1076</v>
      </c>
      <c r="C1078" s="384" t="s">
        <v>1277</v>
      </c>
      <c r="D1078" s="385" t="s">
        <v>2194</v>
      </c>
      <c r="E1078" s="390" t="s">
        <v>1239</v>
      </c>
      <c r="F1078" s="396" t="s">
        <v>1313</v>
      </c>
    </row>
    <row r="1079" spans="1:6" ht="72">
      <c r="A1079" s="405">
        <v>45749.70416666667</v>
      </c>
      <c r="B1079" s="384" t="s">
        <v>1076</v>
      </c>
      <c r="C1079" s="384" t="s">
        <v>1277</v>
      </c>
      <c r="D1079" s="385" t="s">
        <v>2193</v>
      </c>
      <c r="E1079" s="390" t="s">
        <v>1239</v>
      </c>
      <c r="F1079" s="396" t="s">
        <v>1313</v>
      </c>
    </row>
    <row r="1080" spans="1:6" ht="72">
      <c r="A1080" s="405">
        <v>45749.70416666667</v>
      </c>
      <c r="B1080" s="384" t="s">
        <v>1076</v>
      </c>
      <c r="C1080" s="384" t="s">
        <v>1277</v>
      </c>
      <c r="D1080" s="385" t="s">
        <v>2192</v>
      </c>
      <c r="E1080" s="390" t="s">
        <v>1239</v>
      </c>
      <c r="F1080" s="396" t="s">
        <v>1313</v>
      </c>
    </row>
    <row r="1081" spans="1:6" ht="72">
      <c r="A1081" s="405">
        <v>45749.70416666667</v>
      </c>
      <c r="B1081" s="384" t="s">
        <v>1076</v>
      </c>
      <c r="C1081" s="384" t="s">
        <v>1277</v>
      </c>
      <c r="D1081" s="385" t="s">
        <v>2191</v>
      </c>
      <c r="E1081" s="390" t="s">
        <v>1239</v>
      </c>
      <c r="F1081" s="396" t="s">
        <v>1313</v>
      </c>
    </row>
    <row r="1082" spans="1:6" ht="72">
      <c r="A1082" s="405">
        <v>45749.70416666667</v>
      </c>
      <c r="B1082" s="384" t="s">
        <v>1076</v>
      </c>
      <c r="C1082" s="384" t="s">
        <v>1277</v>
      </c>
      <c r="D1082" s="385" t="s">
        <v>2190</v>
      </c>
      <c r="E1082" s="390" t="s">
        <v>1239</v>
      </c>
      <c r="F1082" s="396" t="s">
        <v>1313</v>
      </c>
    </row>
    <row r="1083" spans="1:6" ht="72">
      <c r="A1083" s="405">
        <v>45749.70416666667</v>
      </c>
      <c r="B1083" s="384" t="s">
        <v>1076</v>
      </c>
      <c r="C1083" s="384" t="s">
        <v>1277</v>
      </c>
      <c r="D1083" s="385" t="s">
        <v>2189</v>
      </c>
      <c r="E1083" s="390" t="s">
        <v>1239</v>
      </c>
      <c r="F1083" s="396" t="s">
        <v>1313</v>
      </c>
    </row>
    <row r="1084" spans="1:6" ht="72">
      <c r="A1084" s="405">
        <v>45749.70416666667</v>
      </c>
      <c r="B1084" s="384" t="s">
        <v>1076</v>
      </c>
      <c r="C1084" s="384" t="s">
        <v>1277</v>
      </c>
      <c r="D1084" s="385" t="s">
        <v>2188</v>
      </c>
      <c r="E1084" s="390" t="s">
        <v>1239</v>
      </c>
      <c r="F1084" s="396" t="s">
        <v>1313</v>
      </c>
    </row>
    <row r="1085" spans="1:6" ht="72">
      <c r="A1085" s="405">
        <v>45749.70416666667</v>
      </c>
      <c r="B1085" s="384" t="s">
        <v>1076</v>
      </c>
      <c r="C1085" s="384" t="s">
        <v>1277</v>
      </c>
      <c r="D1085" s="385" t="s">
        <v>2187</v>
      </c>
      <c r="E1085" s="390" t="s">
        <v>1239</v>
      </c>
      <c r="F1085" s="396" t="s">
        <v>1313</v>
      </c>
    </row>
    <row r="1086" spans="1:6" ht="72">
      <c r="A1086" s="405">
        <v>45749.70416666667</v>
      </c>
      <c r="B1086" s="384" t="s">
        <v>1076</v>
      </c>
      <c r="C1086" s="384" t="s">
        <v>1277</v>
      </c>
      <c r="D1086" s="385" t="s">
        <v>2186</v>
      </c>
      <c r="E1086" s="390" t="s">
        <v>1239</v>
      </c>
      <c r="F1086" s="396" t="s">
        <v>1313</v>
      </c>
    </row>
    <row r="1087" spans="1:6" ht="72">
      <c r="A1087" s="405">
        <v>45749.70416666667</v>
      </c>
      <c r="B1087" s="384" t="s">
        <v>1076</v>
      </c>
      <c r="C1087" s="384" t="s">
        <v>1277</v>
      </c>
      <c r="D1087" s="385" t="s">
        <v>2185</v>
      </c>
      <c r="E1087" s="390" t="s">
        <v>1239</v>
      </c>
      <c r="F1087" s="396" t="s">
        <v>1313</v>
      </c>
    </row>
    <row r="1088" spans="1:6" ht="72">
      <c r="A1088" s="405">
        <v>45749.70416666667</v>
      </c>
      <c r="B1088" s="384" t="s">
        <v>1076</v>
      </c>
      <c r="C1088" s="384" t="s">
        <v>1277</v>
      </c>
      <c r="D1088" s="385" t="s">
        <v>2184</v>
      </c>
      <c r="E1088" s="390" t="s">
        <v>1239</v>
      </c>
      <c r="F1088" s="396" t="s">
        <v>1313</v>
      </c>
    </row>
    <row r="1089" spans="1:6" ht="72">
      <c r="A1089" s="405">
        <v>45749.70416666667</v>
      </c>
      <c r="B1089" s="384" t="s">
        <v>1076</v>
      </c>
      <c r="C1089" s="384" t="s">
        <v>1277</v>
      </c>
      <c r="D1089" s="385" t="s">
        <v>2183</v>
      </c>
      <c r="E1089" s="390" t="s">
        <v>1239</v>
      </c>
      <c r="F1089" s="396" t="s">
        <v>1313</v>
      </c>
    </row>
    <row r="1090" spans="1:6" ht="72">
      <c r="A1090" s="405">
        <v>45749.70416666667</v>
      </c>
      <c r="B1090" s="384" t="s">
        <v>1076</v>
      </c>
      <c r="C1090" s="384" t="s">
        <v>1277</v>
      </c>
      <c r="D1090" s="385" t="s">
        <v>2182</v>
      </c>
      <c r="E1090" s="390" t="s">
        <v>1239</v>
      </c>
      <c r="F1090" s="396" t="s">
        <v>1313</v>
      </c>
    </row>
    <row r="1091" spans="1:6" ht="72">
      <c r="A1091" s="405">
        <v>45749.70416666667</v>
      </c>
      <c r="B1091" s="384" t="s">
        <v>1076</v>
      </c>
      <c r="C1091" s="384" t="s">
        <v>1277</v>
      </c>
      <c r="D1091" s="385" t="s">
        <v>2181</v>
      </c>
      <c r="E1091" s="390" t="s">
        <v>1239</v>
      </c>
      <c r="F1091" s="396" t="s">
        <v>1313</v>
      </c>
    </row>
    <row r="1092" spans="1:6" ht="72">
      <c r="A1092" s="405">
        <v>45749.70416666667</v>
      </c>
      <c r="B1092" s="384" t="s">
        <v>1076</v>
      </c>
      <c r="C1092" s="384" t="s">
        <v>1277</v>
      </c>
      <c r="D1092" s="385" t="s">
        <v>2180</v>
      </c>
      <c r="E1092" s="390" t="s">
        <v>1239</v>
      </c>
      <c r="F1092" s="396" t="s">
        <v>1313</v>
      </c>
    </row>
    <row r="1093" spans="1:6" ht="72">
      <c r="A1093" s="405">
        <v>45749.70416666667</v>
      </c>
      <c r="B1093" s="384" t="s">
        <v>1076</v>
      </c>
      <c r="C1093" s="384" t="s">
        <v>1277</v>
      </c>
      <c r="D1093" s="385" t="s">
        <v>2179</v>
      </c>
      <c r="E1093" s="390" t="s">
        <v>1239</v>
      </c>
      <c r="F1093" s="396" t="s">
        <v>1313</v>
      </c>
    </row>
    <row r="1094" spans="1:6" ht="72">
      <c r="A1094" s="405">
        <v>45749.70416666667</v>
      </c>
      <c r="B1094" s="384" t="s">
        <v>1076</v>
      </c>
      <c r="C1094" s="384" t="s">
        <v>1277</v>
      </c>
      <c r="D1094" s="385" t="s">
        <v>2178</v>
      </c>
      <c r="E1094" s="390" t="s">
        <v>1239</v>
      </c>
      <c r="F1094" s="396" t="s">
        <v>1313</v>
      </c>
    </row>
    <row r="1095" spans="1:6" ht="72">
      <c r="A1095" s="405">
        <v>45749.703472222223</v>
      </c>
      <c r="B1095" s="384" t="s">
        <v>1076</v>
      </c>
      <c r="C1095" s="384" t="s">
        <v>1277</v>
      </c>
      <c r="D1095" s="385" t="s">
        <v>2181</v>
      </c>
      <c r="E1095" s="390" t="s">
        <v>1239</v>
      </c>
      <c r="F1095" s="396" t="s">
        <v>1313</v>
      </c>
    </row>
    <row r="1096" spans="1:6" ht="72">
      <c r="A1096" s="405">
        <v>45749.703472222223</v>
      </c>
      <c r="B1096" s="384" t="s">
        <v>1076</v>
      </c>
      <c r="C1096" s="384" t="s">
        <v>1277</v>
      </c>
      <c r="D1096" s="385" t="s">
        <v>2181</v>
      </c>
      <c r="E1096" s="390" t="s">
        <v>1239</v>
      </c>
      <c r="F1096" s="396" t="s">
        <v>1313</v>
      </c>
    </row>
    <row r="1097" spans="1:6" ht="72">
      <c r="A1097" s="405">
        <v>45749.703472222223</v>
      </c>
      <c r="B1097" s="384" t="s">
        <v>1076</v>
      </c>
      <c r="C1097" s="384" t="s">
        <v>1277</v>
      </c>
      <c r="D1097" s="385" t="s">
        <v>2181</v>
      </c>
      <c r="E1097" s="390" t="s">
        <v>1239</v>
      </c>
      <c r="F1097" s="396" t="s">
        <v>1313</v>
      </c>
    </row>
    <row r="1098" spans="1:6" ht="72">
      <c r="A1098" s="405">
        <v>45749.703472222223</v>
      </c>
      <c r="B1098" s="384" t="s">
        <v>1076</v>
      </c>
      <c r="C1098" s="384" t="s">
        <v>1277</v>
      </c>
      <c r="D1098" s="385" t="s">
        <v>2181</v>
      </c>
      <c r="E1098" s="390" t="s">
        <v>1239</v>
      </c>
      <c r="F1098" s="396" t="s">
        <v>1313</v>
      </c>
    </row>
    <row r="1099" spans="1:6" ht="72">
      <c r="A1099" s="405">
        <v>45749.703472222223</v>
      </c>
      <c r="B1099" s="384" t="s">
        <v>1076</v>
      </c>
      <c r="C1099" s="384" t="s">
        <v>1277</v>
      </c>
      <c r="D1099" s="385" t="s">
        <v>2181</v>
      </c>
      <c r="E1099" s="390" t="s">
        <v>1239</v>
      </c>
      <c r="F1099" s="396" t="s">
        <v>1313</v>
      </c>
    </row>
    <row r="1100" spans="1:6" ht="72">
      <c r="A1100" s="405">
        <v>45749.703472222223</v>
      </c>
      <c r="B1100" s="384" t="s">
        <v>1076</v>
      </c>
      <c r="C1100" s="384" t="s">
        <v>1277</v>
      </c>
      <c r="D1100" s="385" t="s">
        <v>2181</v>
      </c>
      <c r="E1100" s="390" t="s">
        <v>1239</v>
      </c>
      <c r="F1100" s="396" t="s">
        <v>1313</v>
      </c>
    </row>
    <row r="1101" spans="1:6" ht="72">
      <c r="A1101" s="405">
        <v>45749.703472222223</v>
      </c>
      <c r="B1101" s="384" t="s">
        <v>1076</v>
      </c>
      <c r="C1101" s="384" t="s">
        <v>1277</v>
      </c>
      <c r="D1101" s="385" t="s">
        <v>2181</v>
      </c>
      <c r="E1101" s="390" t="s">
        <v>1239</v>
      </c>
      <c r="F1101" s="396" t="s">
        <v>1313</v>
      </c>
    </row>
    <row r="1102" spans="1:6" ht="72">
      <c r="A1102" s="405">
        <v>45749.703472222223</v>
      </c>
      <c r="B1102" s="384" t="s">
        <v>1076</v>
      </c>
      <c r="C1102" s="384" t="s">
        <v>1277</v>
      </c>
      <c r="D1102" s="385" t="s">
        <v>2181</v>
      </c>
      <c r="E1102" s="390" t="s">
        <v>1239</v>
      </c>
      <c r="F1102" s="396" t="s">
        <v>1313</v>
      </c>
    </row>
    <row r="1103" spans="1:6" ht="72">
      <c r="A1103" s="405">
        <v>45749.703472222223</v>
      </c>
      <c r="B1103" s="384" t="s">
        <v>1076</v>
      </c>
      <c r="C1103" s="384" t="s">
        <v>1277</v>
      </c>
      <c r="D1103" s="385" t="s">
        <v>2181</v>
      </c>
      <c r="E1103" s="390" t="s">
        <v>1239</v>
      </c>
      <c r="F1103" s="396" t="s">
        <v>1313</v>
      </c>
    </row>
    <row r="1104" spans="1:6" ht="72">
      <c r="A1104" s="405">
        <v>45749.703472222223</v>
      </c>
      <c r="B1104" s="384" t="s">
        <v>1076</v>
      </c>
      <c r="C1104" s="384" t="s">
        <v>1277</v>
      </c>
      <c r="D1104" s="385" t="s">
        <v>2181</v>
      </c>
      <c r="E1104" s="390" t="s">
        <v>1239</v>
      </c>
      <c r="F1104" s="396" t="s">
        <v>1313</v>
      </c>
    </row>
    <row r="1105" spans="1:6" ht="72">
      <c r="A1105" s="405">
        <v>45749.703472222223</v>
      </c>
      <c r="B1105" s="384" t="s">
        <v>1076</v>
      </c>
      <c r="C1105" s="384" t="s">
        <v>1277</v>
      </c>
      <c r="D1105" s="385" t="s">
        <v>2181</v>
      </c>
      <c r="E1105" s="390" t="s">
        <v>1239</v>
      </c>
      <c r="F1105" s="396" t="s">
        <v>1313</v>
      </c>
    </row>
    <row r="1106" spans="1:6" ht="72">
      <c r="A1106" s="405">
        <v>45749.703472222223</v>
      </c>
      <c r="B1106" s="384" t="s">
        <v>1076</v>
      </c>
      <c r="C1106" s="384" t="s">
        <v>1277</v>
      </c>
      <c r="D1106" s="385" t="s">
        <v>2181</v>
      </c>
      <c r="E1106" s="390" t="s">
        <v>1239</v>
      </c>
      <c r="F1106" s="396" t="s">
        <v>1313</v>
      </c>
    </row>
    <row r="1107" spans="1:6" ht="72">
      <c r="A1107" s="405">
        <v>45749.703472222223</v>
      </c>
      <c r="B1107" s="384" t="s">
        <v>1076</v>
      </c>
      <c r="C1107" s="384" t="s">
        <v>1277</v>
      </c>
      <c r="D1107" s="385" t="s">
        <v>2181</v>
      </c>
      <c r="E1107" s="390" t="s">
        <v>1239</v>
      </c>
      <c r="F1107" s="396" t="s">
        <v>1313</v>
      </c>
    </row>
    <row r="1108" spans="1:6" ht="72">
      <c r="A1108" s="405">
        <v>45749.703472222223</v>
      </c>
      <c r="B1108" s="384" t="s">
        <v>1076</v>
      </c>
      <c r="C1108" s="384" t="s">
        <v>1277</v>
      </c>
      <c r="D1108" s="385" t="s">
        <v>2181</v>
      </c>
      <c r="E1108" s="390" t="s">
        <v>1239</v>
      </c>
      <c r="F1108" s="396" t="s">
        <v>1313</v>
      </c>
    </row>
    <row r="1109" spans="1:6" ht="72">
      <c r="A1109" s="405">
        <v>45749.703472222223</v>
      </c>
      <c r="B1109" s="384" t="s">
        <v>1076</v>
      </c>
      <c r="C1109" s="384" t="s">
        <v>1277</v>
      </c>
      <c r="D1109" s="385" t="s">
        <v>2181</v>
      </c>
      <c r="E1109" s="390" t="s">
        <v>1239</v>
      </c>
      <c r="F1109" s="396" t="s">
        <v>1313</v>
      </c>
    </row>
    <row r="1110" spans="1:6" ht="72">
      <c r="A1110" s="405">
        <v>45749.703472222223</v>
      </c>
      <c r="B1110" s="384" t="s">
        <v>1076</v>
      </c>
      <c r="C1110" s="384" t="s">
        <v>1277</v>
      </c>
      <c r="D1110" s="385" t="s">
        <v>2181</v>
      </c>
      <c r="E1110" s="390" t="s">
        <v>1239</v>
      </c>
      <c r="F1110" s="396" t="s">
        <v>1313</v>
      </c>
    </row>
    <row r="1111" spans="1:6" ht="72">
      <c r="A1111" s="405">
        <v>45749.703472222223</v>
      </c>
      <c r="B1111" s="384" t="s">
        <v>1076</v>
      </c>
      <c r="C1111" s="384" t="s">
        <v>1277</v>
      </c>
      <c r="D1111" s="385" t="s">
        <v>2181</v>
      </c>
      <c r="E1111" s="390" t="s">
        <v>1239</v>
      </c>
      <c r="F1111" s="396" t="s">
        <v>1313</v>
      </c>
    </row>
    <row r="1112" spans="1:6" ht="72">
      <c r="A1112" s="405">
        <v>45749.703472222223</v>
      </c>
      <c r="B1112" s="384" t="s">
        <v>1076</v>
      </c>
      <c r="C1112" s="384" t="s">
        <v>1277</v>
      </c>
      <c r="D1112" s="385" t="s">
        <v>2181</v>
      </c>
      <c r="E1112" s="390" t="s">
        <v>1239</v>
      </c>
      <c r="F1112" s="396" t="s">
        <v>1313</v>
      </c>
    </row>
    <row r="1113" spans="1:6" ht="72">
      <c r="A1113" s="405">
        <v>45749.703472222223</v>
      </c>
      <c r="B1113" s="384" t="s">
        <v>1076</v>
      </c>
      <c r="C1113" s="384" t="s">
        <v>1277</v>
      </c>
      <c r="D1113" s="385" t="s">
        <v>2181</v>
      </c>
      <c r="E1113" s="390" t="s">
        <v>1239</v>
      </c>
      <c r="F1113" s="396" t="s">
        <v>1313</v>
      </c>
    </row>
    <row r="1114" spans="1:6" ht="72">
      <c r="A1114" s="405">
        <v>45749.703472222223</v>
      </c>
      <c r="B1114" s="384" t="s">
        <v>1076</v>
      </c>
      <c r="C1114" s="384" t="s">
        <v>1277</v>
      </c>
      <c r="D1114" s="385" t="s">
        <v>2181</v>
      </c>
      <c r="E1114" s="390" t="s">
        <v>1239</v>
      </c>
      <c r="F1114" s="396" t="s">
        <v>1313</v>
      </c>
    </row>
    <row r="1115" spans="1:6" ht="72">
      <c r="A1115" s="405">
        <v>45749.703472222223</v>
      </c>
      <c r="B1115" s="384" t="s">
        <v>1076</v>
      </c>
      <c r="C1115" s="384" t="s">
        <v>1277</v>
      </c>
      <c r="D1115" s="385" t="s">
        <v>2181</v>
      </c>
      <c r="E1115" s="390" t="s">
        <v>1239</v>
      </c>
      <c r="F1115" s="396" t="s">
        <v>1313</v>
      </c>
    </row>
    <row r="1116" spans="1:6" ht="72">
      <c r="A1116" s="405">
        <v>45749.703472222223</v>
      </c>
      <c r="B1116" s="384" t="s">
        <v>1076</v>
      </c>
      <c r="C1116" s="384" t="s">
        <v>1277</v>
      </c>
      <c r="D1116" s="385" t="s">
        <v>2181</v>
      </c>
      <c r="E1116" s="390" t="s">
        <v>1239</v>
      </c>
      <c r="F1116" s="396" t="s">
        <v>1313</v>
      </c>
    </row>
    <row r="1117" spans="1:6" ht="72">
      <c r="A1117" s="405">
        <v>45749.703472222223</v>
      </c>
      <c r="B1117" s="384" t="s">
        <v>1076</v>
      </c>
      <c r="C1117" s="384" t="s">
        <v>1277</v>
      </c>
      <c r="D1117" s="385" t="s">
        <v>2181</v>
      </c>
      <c r="E1117" s="390" t="s">
        <v>1239</v>
      </c>
      <c r="F1117" s="396" t="s">
        <v>1313</v>
      </c>
    </row>
    <row r="1118" spans="1:6" ht="72">
      <c r="A1118" s="405">
        <v>45749.703472222223</v>
      </c>
      <c r="B1118" s="384" t="s">
        <v>1076</v>
      </c>
      <c r="C1118" s="384" t="s">
        <v>1277</v>
      </c>
      <c r="D1118" s="385" t="s">
        <v>2181</v>
      </c>
      <c r="E1118" s="390" t="s">
        <v>1239</v>
      </c>
      <c r="F1118" s="396" t="s">
        <v>1313</v>
      </c>
    </row>
    <row r="1119" spans="1:6" ht="72">
      <c r="A1119" s="405">
        <v>45749.703472222223</v>
      </c>
      <c r="B1119" s="384" t="s">
        <v>1076</v>
      </c>
      <c r="C1119" s="384" t="s">
        <v>1277</v>
      </c>
      <c r="D1119" s="385" t="s">
        <v>2181</v>
      </c>
      <c r="E1119" s="390" t="s">
        <v>1239</v>
      </c>
      <c r="F1119" s="396" t="s">
        <v>1313</v>
      </c>
    </row>
    <row r="1120" spans="1:6" ht="72">
      <c r="A1120" s="405">
        <v>45749.703472222223</v>
      </c>
      <c r="B1120" s="384" t="s">
        <v>1076</v>
      </c>
      <c r="C1120" s="384" t="s">
        <v>1277</v>
      </c>
      <c r="D1120" s="385" t="s">
        <v>2181</v>
      </c>
      <c r="E1120" s="390" t="s">
        <v>1239</v>
      </c>
      <c r="F1120" s="396" t="s">
        <v>1313</v>
      </c>
    </row>
    <row r="1121" spans="1:6" ht="72">
      <c r="A1121" s="405">
        <v>45749.703472222223</v>
      </c>
      <c r="B1121" s="384" t="s">
        <v>1076</v>
      </c>
      <c r="C1121" s="384" t="s">
        <v>1277</v>
      </c>
      <c r="D1121" s="385" t="s">
        <v>2181</v>
      </c>
      <c r="E1121" s="390" t="s">
        <v>1239</v>
      </c>
      <c r="F1121" s="396" t="s">
        <v>1313</v>
      </c>
    </row>
    <row r="1122" spans="1:6" ht="72">
      <c r="A1122" s="405">
        <v>45749.703472222223</v>
      </c>
      <c r="B1122" s="384" t="s">
        <v>1076</v>
      </c>
      <c r="C1122" s="384" t="s">
        <v>1277</v>
      </c>
      <c r="D1122" s="385" t="s">
        <v>2181</v>
      </c>
      <c r="E1122" s="390" t="s">
        <v>1239</v>
      </c>
      <c r="F1122" s="396" t="s">
        <v>1313</v>
      </c>
    </row>
    <row r="1123" spans="1:6" ht="72">
      <c r="A1123" s="405">
        <v>45749.703472222223</v>
      </c>
      <c r="B1123" s="384" t="s">
        <v>1076</v>
      </c>
      <c r="C1123" s="384" t="s">
        <v>1277</v>
      </c>
      <c r="D1123" s="385" t="s">
        <v>2181</v>
      </c>
      <c r="E1123" s="390" t="s">
        <v>1239</v>
      </c>
      <c r="F1123" s="396" t="s">
        <v>1313</v>
      </c>
    </row>
    <row r="1124" spans="1:6" ht="72">
      <c r="A1124" s="405">
        <v>45749.703472222223</v>
      </c>
      <c r="B1124" s="384" t="s">
        <v>1076</v>
      </c>
      <c r="C1124" s="384" t="s">
        <v>1277</v>
      </c>
      <c r="D1124" s="385" t="s">
        <v>2181</v>
      </c>
      <c r="E1124" s="390" t="s">
        <v>1239</v>
      </c>
      <c r="F1124" s="396" t="s">
        <v>1313</v>
      </c>
    </row>
    <row r="1125" spans="1:6" ht="72">
      <c r="A1125" s="405">
        <v>45749.703472222223</v>
      </c>
      <c r="B1125" s="384" t="s">
        <v>1076</v>
      </c>
      <c r="C1125" s="384" t="s">
        <v>1277</v>
      </c>
      <c r="D1125" s="385" t="s">
        <v>2181</v>
      </c>
      <c r="E1125" s="390" t="s">
        <v>1239</v>
      </c>
      <c r="F1125" s="396" t="s">
        <v>1313</v>
      </c>
    </row>
    <row r="1126" spans="1:6" ht="72">
      <c r="A1126" s="405">
        <v>45749.703472222223</v>
      </c>
      <c r="B1126" s="384" t="s">
        <v>1076</v>
      </c>
      <c r="C1126" s="384" t="s">
        <v>1277</v>
      </c>
      <c r="D1126" s="385" t="s">
        <v>2181</v>
      </c>
      <c r="E1126" s="390" t="s">
        <v>1239</v>
      </c>
      <c r="F1126" s="396" t="s">
        <v>1313</v>
      </c>
    </row>
    <row r="1127" spans="1:6" ht="72">
      <c r="A1127" s="405">
        <v>45749.703472222223</v>
      </c>
      <c r="B1127" s="384" t="s">
        <v>1076</v>
      </c>
      <c r="C1127" s="384" t="s">
        <v>1277</v>
      </c>
      <c r="D1127" s="385" t="s">
        <v>2181</v>
      </c>
      <c r="E1127" s="390" t="s">
        <v>1239</v>
      </c>
      <c r="F1127" s="396" t="s">
        <v>1313</v>
      </c>
    </row>
    <row r="1128" spans="1:6" ht="72">
      <c r="A1128" s="405">
        <v>45749.703472222223</v>
      </c>
      <c r="B1128" s="384" t="s">
        <v>1076</v>
      </c>
      <c r="C1128" s="384" t="s">
        <v>1277</v>
      </c>
      <c r="D1128" s="385" t="s">
        <v>2181</v>
      </c>
      <c r="E1128" s="390" t="s">
        <v>1239</v>
      </c>
      <c r="F1128" s="396" t="s">
        <v>1313</v>
      </c>
    </row>
    <row r="1129" spans="1:6" ht="72">
      <c r="A1129" s="405">
        <v>45749.703472222223</v>
      </c>
      <c r="B1129" s="384" t="s">
        <v>1076</v>
      </c>
      <c r="C1129" s="384" t="s">
        <v>1277</v>
      </c>
      <c r="D1129" s="385" t="s">
        <v>2181</v>
      </c>
      <c r="E1129" s="390" t="s">
        <v>1239</v>
      </c>
      <c r="F1129" s="396" t="s">
        <v>1313</v>
      </c>
    </row>
    <row r="1130" spans="1:6" ht="72">
      <c r="A1130" s="405">
        <v>45749.703472222223</v>
      </c>
      <c r="B1130" s="384" t="s">
        <v>1076</v>
      </c>
      <c r="C1130" s="384" t="s">
        <v>1277</v>
      </c>
      <c r="D1130" s="385" t="s">
        <v>2181</v>
      </c>
      <c r="E1130" s="390" t="s">
        <v>1239</v>
      </c>
      <c r="F1130" s="396" t="s">
        <v>1313</v>
      </c>
    </row>
    <row r="1131" spans="1:6" ht="72">
      <c r="A1131" s="405">
        <v>45749.703472222223</v>
      </c>
      <c r="B1131" s="384" t="s">
        <v>1076</v>
      </c>
      <c r="C1131" s="384" t="s">
        <v>1277</v>
      </c>
      <c r="D1131" s="385" t="s">
        <v>2181</v>
      </c>
      <c r="E1131" s="390" t="s">
        <v>1239</v>
      </c>
      <c r="F1131" s="396" t="s">
        <v>1313</v>
      </c>
    </row>
    <row r="1132" spans="1:6" ht="72">
      <c r="A1132" s="405">
        <v>45749.703472222223</v>
      </c>
      <c r="B1132" s="384" t="s">
        <v>1076</v>
      </c>
      <c r="C1132" s="384" t="s">
        <v>1277</v>
      </c>
      <c r="D1132" s="385" t="s">
        <v>2181</v>
      </c>
      <c r="E1132" s="390" t="s">
        <v>1239</v>
      </c>
      <c r="F1132" s="396" t="s">
        <v>1313</v>
      </c>
    </row>
    <row r="1133" spans="1:6" ht="72">
      <c r="A1133" s="405">
        <v>45749.703472222223</v>
      </c>
      <c r="B1133" s="384" t="s">
        <v>1076</v>
      </c>
      <c r="C1133" s="384" t="s">
        <v>1277</v>
      </c>
      <c r="D1133" s="385" t="s">
        <v>2181</v>
      </c>
      <c r="E1133" s="390" t="s">
        <v>1239</v>
      </c>
      <c r="F1133" s="396" t="s">
        <v>1313</v>
      </c>
    </row>
    <row r="1134" spans="1:6" ht="72">
      <c r="A1134" s="405">
        <v>45749.703472222223</v>
      </c>
      <c r="B1134" s="384" t="s">
        <v>1076</v>
      </c>
      <c r="C1134" s="384" t="s">
        <v>1277</v>
      </c>
      <c r="D1134" s="385" t="s">
        <v>2181</v>
      </c>
      <c r="E1134" s="390" t="s">
        <v>1239</v>
      </c>
      <c r="F1134" s="396" t="s">
        <v>1313</v>
      </c>
    </row>
    <row r="1135" spans="1:6" ht="72">
      <c r="A1135" s="405">
        <v>45749.703472222223</v>
      </c>
      <c r="B1135" s="384" t="s">
        <v>1076</v>
      </c>
      <c r="C1135" s="384" t="s">
        <v>1277</v>
      </c>
      <c r="D1135" s="385" t="s">
        <v>2181</v>
      </c>
      <c r="E1135" s="390" t="s">
        <v>1239</v>
      </c>
      <c r="F1135" s="396" t="s">
        <v>1313</v>
      </c>
    </row>
    <row r="1136" spans="1:6" ht="72">
      <c r="A1136" s="405">
        <v>45749.703472222223</v>
      </c>
      <c r="B1136" s="384" t="s">
        <v>1076</v>
      </c>
      <c r="C1136" s="384" t="s">
        <v>1277</v>
      </c>
      <c r="D1136" s="385" t="s">
        <v>2181</v>
      </c>
      <c r="E1136" s="390" t="s">
        <v>1239</v>
      </c>
      <c r="F1136" s="396" t="s">
        <v>1313</v>
      </c>
    </row>
    <row r="1137" spans="1:6" ht="72">
      <c r="A1137" s="405">
        <v>45749.703472222223</v>
      </c>
      <c r="B1137" s="384" t="s">
        <v>1076</v>
      </c>
      <c r="C1137" s="384" t="s">
        <v>1277</v>
      </c>
      <c r="D1137" s="385" t="s">
        <v>2181</v>
      </c>
      <c r="E1137" s="390" t="s">
        <v>1239</v>
      </c>
      <c r="F1137" s="396" t="s">
        <v>1313</v>
      </c>
    </row>
    <row r="1138" spans="1:6" ht="72">
      <c r="A1138" s="405">
        <v>45749.703472222223</v>
      </c>
      <c r="B1138" s="384" t="s">
        <v>1076</v>
      </c>
      <c r="C1138" s="384" t="s">
        <v>1277</v>
      </c>
      <c r="D1138" s="385" t="s">
        <v>2181</v>
      </c>
      <c r="E1138" s="390" t="s">
        <v>1239</v>
      </c>
      <c r="F1138" s="396" t="s">
        <v>1313</v>
      </c>
    </row>
    <row r="1139" spans="1:6" ht="72">
      <c r="A1139" s="405">
        <v>45749.703472222223</v>
      </c>
      <c r="B1139" s="384" t="s">
        <v>1076</v>
      </c>
      <c r="C1139" s="384" t="s">
        <v>1277</v>
      </c>
      <c r="D1139" s="385" t="s">
        <v>2181</v>
      </c>
      <c r="E1139" s="390" t="s">
        <v>1239</v>
      </c>
      <c r="F1139" s="396" t="s">
        <v>1313</v>
      </c>
    </row>
    <row r="1140" spans="1:6" ht="72">
      <c r="A1140" s="405">
        <v>45749.703472222223</v>
      </c>
      <c r="B1140" s="384" t="s">
        <v>1076</v>
      </c>
      <c r="C1140" s="384" t="s">
        <v>1277</v>
      </c>
      <c r="D1140" s="385" t="s">
        <v>2181</v>
      </c>
      <c r="E1140" s="390" t="s">
        <v>1239</v>
      </c>
      <c r="F1140" s="396" t="s">
        <v>1313</v>
      </c>
    </row>
    <row r="1141" spans="1:6" ht="72">
      <c r="A1141" s="405">
        <v>45749.703472222223</v>
      </c>
      <c r="B1141" s="384" t="s">
        <v>1076</v>
      </c>
      <c r="C1141" s="384" t="s">
        <v>1277</v>
      </c>
      <c r="D1141" s="385" t="s">
        <v>2181</v>
      </c>
      <c r="E1141" s="390" t="s">
        <v>1239</v>
      </c>
      <c r="F1141" s="396" t="s">
        <v>1313</v>
      </c>
    </row>
    <row r="1142" spans="1:6" ht="72">
      <c r="A1142" s="405">
        <v>45749.703472222223</v>
      </c>
      <c r="B1142" s="384" t="s">
        <v>1076</v>
      </c>
      <c r="C1142" s="384" t="s">
        <v>1277</v>
      </c>
      <c r="D1142" s="385" t="s">
        <v>2181</v>
      </c>
      <c r="E1142" s="390" t="s">
        <v>1239</v>
      </c>
      <c r="F1142" s="396" t="s">
        <v>1313</v>
      </c>
    </row>
    <row r="1143" spans="1:6" ht="72">
      <c r="A1143" s="405">
        <v>45749.703472222223</v>
      </c>
      <c r="B1143" s="384" t="s">
        <v>1076</v>
      </c>
      <c r="C1143" s="384" t="s">
        <v>1277</v>
      </c>
      <c r="D1143" s="385" t="s">
        <v>2181</v>
      </c>
      <c r="E1143" s="390" t="s">
        <v>1239</v>
      </c>
      <c r="F1143" s="396" t="s">
        <v>1313</v>
      </c>
    </row>
    <row r="1144" spans="1:6" ht="72">
      <c r="A1144" s="405">
        <v>45749.703472222223</v>
      </c>
      <c r="B1144" s="384" t="s">
        <v>1076</v>
      </c>
      <c r="C1144" s="384" t="s">
        <v>1277</v>
      </c>
      <c r="D1144" s="385" t="s">
        <v>2181</v>
      </c>
      <c r="E1144" s="390" t="s">
        <v>1239</v>
      </c>
      <c r="F1144" s="396" t="s">
        <v>1313</v>
      </c>
    </row>
    <row r="1145" spans="1:6" ht="72">
      <c r="A1145" s="405">
        <v>45749.703472222223</v>
      </c>
      <c r="B1145" s="384" t="s">
        <v>1076</v>
      </c>
      <c r="C1145" s="384" t="s">
        <v>1277</v>
      </c>
      <c r="D1145" s="385" t="s">
        <v>2181</v>
      </c>
      <c r="E1145" s="390" t="s">
        <v>1239</v>
      </c>
      <c r="F1145" s="396" t="s">
        <v>1313</v>
      </c>
    </row>
    <row r="1146" spans="1:6" ht="72">
      <c r="A1146" s="405">
        <v>45749.703472222223</v>
      </c>
      <c r="B1146" s="384" t="s">
        <v>1076</v>
      </c>
      <c r="C1146" s="384" t="s">
        <v>1277</v>
      </c>
      <c r="D1146" s="385" t="s">
        <v>2181</v>
      </c>
      <c r="E1146" s="390" t="s">
        <v>1239</v>
      </c>
      <c r="F1146" s="396" t="s">
        <v>1313</v>
      </c>
    </row>
    <row r="1147" spans="1:6" ht="72">
      <c r="A1147" s="405">
        <v>45749.703472222223</v>
      </c>
      <c r="B1147" s="384" t="s">
        <v>1076</v>
      </c>
      <c r="C1147" s="384" t="s">
        <v>1277</v>
      </c>
      <c r="D1147" s="385" t="s">
        <v>2181</v>
      </c>
      <c r="E1147" s="390" t="s">
        <v>1239</v>
      </c>
      <c r="F1147" s="396" t="s">
        <v>1313</v>
      </c>
    </row>
    <row r="1148" spans="1:6" ht="72">
      <c r="A1148" s="405">
        <v>45749.703472222223</v>
      </c>
      <c r="B1148" s="384" t="s">
        <v>1076</v>
      </c>
      <c r="C1148" s="384" t="s">
        <v>1277</v>
      </c>
      <c r="D1148" s="385" t="s">
        <v>2181</v>
      </c>
      <c r="E1148" s="390" t="s">
        <v>1239</v>
      </c>
      <c r="F1148" s="396" t="s">
        <v>1313</v>
      </c>
    </row>
    <row r="1149" spans="1:6" ht="72">
      <c r="A1149" s="405">
        <v>45749.703472222223</v>
      </c>
      <c r="B1149" s="384" t="s">
        <v>1076</v>
      </c>
      <c r="C1149" s="384" t="s">
        <v>1277</v>
      </c>
      <c r="D1149" s="385" t="s">
        <v>2181</v>
      </c>
      <c r="E1149" s="390" t="s">
        <v>1239</v>
      </c>
      <c r="F1149" s="396" t="s">
        <v>1313</v>
      </c>
    </row>
    <row r="1150" spans="1:6" ht="72">
      <c r="A1150" s="405">
        <v>45749.703472222223</v>
      </c>
      <c r="B1150" s="384" t="s">
        <v>1076</v>
      </c>
      <c r="C1150" s="384" t="s">
        <v>1277</v>
      </c>
      <c r="D1150" s="385" t="s">
        <v>2181</v>
      </c>
      <c r="E1150" s="390" t="s">
        <v>1239</v>
      </c>
      <c r="F1150" s="396" t="s">
        <v>1313</v>
      </c>
    </row>
    <row r="1151" spans="1:6" ht="72">
      <c r="A1151" s="405">
        <v>45749.703472222223</v>
      </c>
      <c r="B1151" s="384" t="s">
        <v>1076</v>
      </c>
      <c r="C1151" s="384" t="s">
        <v>1277</v>
      </c>
      <c r="D1151" s="385" t="s">
        <v>2181</v>
      </c>
      <c r="E1151" s="390" t="s">
        <v>1239</v>
      </c>
      <c r="F1151" s="396" t="s">
        <v>1313</v>
      </c>
    </row>
    <row r="1152" spans="1:6" ht="72">
      <c r="A1152" s="405">
        <v>45749.703472222223</v>
      </c>
      <c r="B1152" s="384" t="s">
        <v>1076</v>
      </c>
      <c r="C1152" s="384" t="s">
        <v>1277</v>
      </c>
      <c r="D1152" s="385" t="s">
        <v>2181</v>
      </c>
      <c r="E1152" s="390" t="s">
        <v>1239</v>
      </c>
      <c r="F1152" s="396" t="s">
        <v>1313</v>
      </c>
    </row>
    <row r="1153" spans="1:6" ht="72">
      <c r="A1153" s="405">
        <v>45749.703472222223</v>
      </c>
      <c r="B1153" s="384" t="s">
        <v>1076</v>
      </c>
      <c r="C1153" s="384" t="s">
        <v>1277</v>
      </c>
      <c r="D1153" s="385" t="s">
        <v>2181</v>
      </c>
      <c r="E1153" s="390" t="s">
        <v>1239</v>
      </c>
      <c r="F1153" s="396" t="s">
        <v>1313</v>
      </c>
    </row>
    <row r="1154" spans="1:6" ht="72">
      <c r="A1154" s="405">
        <v>45749.703472222223</v>
      </c>
      <c r="B1154" s="384" t="s">
        <v>1076</v>
      </c>
      <c r="C1154" s="384" t="s">
        <v>1277</v>
      </c>
      <c r="D1154" s="385" t="s">
        <v>2181</v>
      </c>
      <c r="E1154" s="390" t="s">
        <v>1239</v>
      </c>
      <c r="F1154" s="396" t="s">
        <v>1313</v>
      </c>
    </row>
    <row r="1155" spans="1:6" ht="72">
      <c r="A1155" s="405">
        <v>45749.703472222223</v>
      </c>
      <c r="B1155" s="384" t="s">
        <v>1076</v>
      </c>
      <c r="C1155" s="384" t="s">
        <v>1277</v>
      </c>
      <c r="D1155" s="385" t="s">
        <v>2181</v>
      </c>
      <c r="E1155" s="390" t="s">
        <v>1239</v>
      </c>
      <c r="F1155" s="396" t="s">
        <v>1313</v>
      </c>
    </row>
    <row r="1156" spans="1:6" ht="72">
      <c r="A1156" s="405">
        <v>45749.703472222223</v>
      </c>
      <c r="B1156" s="384" t="s">
        <v>1076</v>
      </c>
      <c r="C1156" s="384" t="s">
        <v>1277</v>
      </c>
      <c r="D1156" s="385" t="s">
        <v>2181</v>
      </c>
      <c r="E1156" s="390" t="s">
        <v>1239</v>
      </c>
      <c r="F1156" s="396" t="s">
        <v>1313</v>
      </c>
    </row>
    <row r="1157" spans="1:6" ht="72">
      <c r="A1157" s="405">
        <v>45749.703472222223</v>
      </c>
      <c r="B1157" s="384" t="s">
        <v>1076</v>
      </c>
      <c r="C1157" s="384" t="s">
        <v>1277</v>
      </c>
      <c r="D1157" s="385" t="s">
        <v>2181</v>
      </c>
      <c r="E1157" s="390" t="s">
        <v>1239</v>
      </c>
      <c r="F1157" s="396" t="s">
        <v>1313</v>
      </c>
    </row>
    <row r="1158" spans="1:6" ht="72">
      <c r="A1158" s="405">
        <v>45749.703472222223</v>
      </c>
      <c r="B1158" s="384" t="s">
        <v>1076</v>
      </c>
      <c r="C1158" s="384" t="s">
        <v>1277</v>
      </c>
      <c r="D1158" s="385" t="s">
        <v>2181</v>
      </c>
      <c r="E1158" s="390" t="s">
        <v>1239</v>
      </c>
      <c r="F1158" s="396" t="s">
        <v>1313</v>
      </c>
    </row>
    <row r="1159" spans="1:6" ht="72">
      <c r="A1159" s="405">
        <v>45749.702777777777</v>
      </c>
      <c r="B1159" s="384" t="s">
        <v>1076</v>
      </c>
      <c r="C1159" s="384" t="s">
        <v>1277</v>
      </c>
      <c r="D1159" s="385" t="s">
        <v>2181</v>
      </c>
      <c r="E1159" s="390" t="s">
        <v>1239</v>
      </c>
      <c r="F1159" s="396" t="s">
        <v>1313</v>
      </c>
    </row>
    <row r="1160" spans="1:6" ht="72">
      <c r="A1160" s="405">
        <v>45749.70208333333</v>
      </c>
      <c r="B1160" s="384" t="s">
        <v>1076</v>
      </c>
      <c r="C1160" s="384" t="s">
        <v>1277</v>
      </c>
      <c r="D1160" s="385" t="s">
        <v>2181</v>
      </c>
      <c r="E1160" s="390" t="s">
        <v>1239</v>
      </c>
      <c r="F1160" s="396" t="s">
        <v>1313</v>
      </c>
    </row>
    <row r="1161" spans="1:6" ht="72">
      <c r="A1161" s="405">
        <v>45749.70208333333</v>
      </c>
      <c r="B1161" s="384" t="s">
        <v>1076</v>
      </c>
      <c r="C1161" s="384" t="s">
        <v>1277</v>
      </c>
      <c r="D1161" s="385" t="s">
        <v>2180</v>
      </c>
      <c r="E1161" s="390" t="s">
        <v>1239</v>
      </c>
      <c r="F1161" s="396" t="s">
        <v>1313</v>
      </c>
    </row>
    <row r="1162" spans="1:6" ht="72">
      <c r="A1162" s="405">
        <v>45749.70208333333</v>
      </c>
      <c r="B1162" s="384" t="s">
        <v>1076</v>
      </c>
      <c r="C1162" s="384" t="s">
        <v>1277</v>
      </c>
      <c r="D1162" s="385" t="s">
        <v>2179</v>
      </c>
      <c r="E1162" s="390" t="s">
        <v>1239</v>
      </c>
      <c r="F1162" s="396" t="s">
        <v>1313</v>
      </c>
    </row>
    <row r="1163" spans="1:6" ht="72">
      <c r="A1163" s="405">
        <v>45749.70208333333</v>
      </c>
      <c r="B1163" s="384" t="s">
        <v>1076</v>
      </c>
      <c r="C1163" s="384" t="s">
        <v>1277</v>
      </c>
      <c r="D1163" s="385" t="s">
        <v>2178</v>
      </c>
      <c r="E1163" s="390" t="s">
        <v>1239</v>
      </c>
      <c r="F1163" s="396" t="s">
        <v>1313</v>
      </c>
    </row>
    <row r="1164" spans="1:6" ht="72">
      <c r="A1164" s="405">
        <v>45749.662499999999</v>
      </c>
      <c r="B1164" s="384" t="s">
        <v>1076</v>
      </c>
      <c r="C1164" s="384" t="s">
        <v>1277</v>
      </c>
      <c r="D1164" s="385" t="s">
        <v>2181</v>
      </c>
      <c r="E1164" s="390" t="s">
        <v>1239</v>
      </c>
      <c r="F1164" s="396" t="s">
        <v>1313</v>
      </c>
    </row>
    <row r="1165" spans="1:6" ht="72">
      <c r="A1165" s="405">
        <v>45749.662499999999</v>
      </c>
      <c r="B1165" s="384" t="s">
        <v>1076</v>
      </c>
      <c r="C1165" s="384" t="s">
        <v>1277</v>
      </c>
      <c r="D1165" s="385" t="s">
        <v>2180</v>
      </c>
      <c r="E1165" s="390" t="s">
        <v>1239</v>
      </c>
      <c r="F1165" s="396" t="s">
        <v>1313</v>
      </c>
    </row>
    <row r="1166" spans="1:6" ht="72">
      <c r="A1166" s="405">
        <v>45749.662499999999</v>
      </c>
      <c r="B1166" s="384" t="s">
        <v>1076</v>
      </c>
      <c r="C1166" s="384" t="s">
        <v>1277</v>
      </c>
      <c r="D1166" s="385" t="s">
        <v>2179</v>
      </c>
      <c r="E1166" s="390" t="s">
        <v>1239</v>
      </c>
      <c r="F1166" s="396" t="s">
        <v>1313</v>
      </c>
    </row>
    <row r="1167" spans="1:6" ht="72">
      <c r="A1167" s="405">
        <v>45749.662499999999</v>
      </c>
      <c r="B1167" s="384" t="s">
        <v>1076</v>
      </c>
      <c r="C1167" s="384" t="s">
        <v>1277</v>
      </c>
      <c r="D1167" s="385" t="s">
        <v>2178</v>
      </c>
      <c r="E1167" s="390" t="s">
        <v>1239</v>
      </c>
      <c r="F1167" s="396" t="s">
        <v>1313</v>
      </c>
    </row>
    <row r="1168" spans="1:6" ht="72">
      <c r="A1168" s="405">
        <v>45749.661111111112</v>
      </c>
      <c r="B1168" s="384" t="s">
        <v>1076</v>
      </c>
      <c r="C1168" s="384" t="s">
        <v>1277</v>
      </c>
      <c r="D1168" s="385" t="s">
        <v>2177</v>
      </c>
      <c r="E1168" s="390" t="s">
        <v>1239</v>
      </c>
      <c r="F1168" s="396" t="s">
        <v>1313</v>
      </c>
    </row>
    <row r="1169" spans="1:6" ht="72">
      <c r="A1169" s="405">
        <v>45749.661111111112</v>
      </c>
      <c r="B1169" s="384" t="s">
        <v>1076</v>
      </c>
      <c r="C1169" s="384" t="s">
        <v>1277</v>
      </c>
      <c r="D1169" s="385" t="s">
        <v>2176</v>
      </c>
      <c r="E1169" s="390" t="s">
        <v>1239</v>
      </c>
      <c r="F1169" s="396" t="s">
        <v>1313</v>
      </c>
    </row>
    <row r="1170" spans="1:6" ht="72">
      <c r="A1170" s="405">
        <v>45749.661111111112</v>
      </c>
      <c r="B1170" s="384" t="s">
        <v>1076</v>
      </c>
      <c r="C1170" s="384" t="s">
        <v>1277</v>
      </c>
      <c r="D1170" s="385" t="s">
        <v>2175</v>
      </c>
      <c r="E1170" s="390" t="s">
        <v>1239</v>
      </c>
      <c r="F1170" s="396" t="s">
        <v>1313</v>
      </c>
    </row>
    <row r="1171" spans="1:6" ht="72">
      <c r="A1171" s="405">
        <v>45749.661111111112</v>
      </c>
      <c r="B1171" s="384" t="s">
        <v>1076</v>
      </c>
      <c r="C1171" s="384" t="s">
        <v>1277</v>
      </c>
      <c r="D1171" s="385" t="s">
        <v>2174</v>
      </c>
      <c r="E1171" s="390" t="s">
        <v>1239</v>
      </c>
      <c r="F1171" s="396" t="s">
        <v>1313</v>
      </c>
    </row>
    <row r="1172" spans="1:6" ht="72">
      <c r="A1172" s="405">
        <v>45749.659722222219</v>
      </c>
      <c r="B1172" s="384" t="s">
        <v>1076</v>
      </c>
      <c r="C1172" s="384" t="s">
        <v>1277</v>
      </c>
      <c r="D1172" s="385" t="s">
        <v>2173</v>
      </c>
      <c r="E1172" s="390" t="s">
        <v>1239</v>
      </c>
      <c r="F1172" s="396" t="s">
        <v>1313</v>
      </c>
    </row>
    <row r="1173" spans="1:6" ht="72">
      <c r="A1173" s="405">
        <v>45749.659722222219</v>
      </c>
      <c r="B1173" s="384" t="s">
        <v>1076</v>
      </c>
      <c r="C1173" s="384" t="s">
        <v>1277</v>
      </c>
      <c r="D1173" s="385" t="s">
        <v>2172</v>
      </c>
      <c r="E1173" s="390" t="s">
        <v>1239</v>
      </c>
      <c r="F1173" s="396" t="s">
        <v>1313</v>
      </c>
    </row>
    <row r="1174" spans="1:6" ht="72">
      <c r="A1174" s="405">
        <v>45749.659722222219</v>
      </c>
      <c r="B1174" s="384" t="s">
        <v>1076</v>
      </c>
      <c r="C1174" s="384" t="s">
        <v>1277</v>
      </c>
      <c r="D1174" s="385" t="s">
        <v>2171</v>
      </c>
      <c r="E1174" s="390" t="s">
        <v>1239</v>
      </c>
      <c r="F1174" s="396" t="s">
        <v>1313</v>
      </c>
    </row>
    <row r="1175" spans="1:6" ht="72">
      <c r="A1175" s="405">
        <v>45749.659722222219</v>
      </c>
      <c r="B1175" s="384" t="s">
        <v>1076</v>
      </c>
      <c r="C1175" s="384" t="s">
        <v>1277</v>
      </c>
      <c r="D1175" s="385" t="s">
        <v>2170</v>
      </c>
      <c r="E1175" s="390" t="s">
        <v>1239</v>
      </c>
      <c r="F1175" s="396" t="s">
        <v>1313</v>
      </c>
    </row>
    <row r="1176" spans="1:6" ht="72">
      <c r="A1176" s="405" t="s">
        <v>2167</v>
      </c>
      <c r="B1176" s="384" t="s">
        <v>88</v>
      </c>
      <c r="C1176" s="384" t="s">
        <v>1255</v>
      </c>
      <c r="D1176" s="385" t="s">
        <v>1564</v>
      </c>
      <c r="E1176" s="390" t="s">
        <v>1239</v>
      </c>
      <c r="F1176" s="396" t="s">
        <v>1313</v>
      </c>
    </row>
    <row r="1177" spans="1:6" ht="72">
      <c r="A1177" s="405" t="s">
        <v>2165</v>
      </c>
      <c r="B1177" s="384" t="s">
        <v>88</v>
      </c>
      <c r="C1177" s="384" t="s">
        <v>1277</v>
      </c>
      <c r="D1177" s="385" t="s">
        <v>2166</v>
      </c>
      <c r="E1177" s="390" t="s">
        <v>1239</v>
      </c>
      <c r="F1177" s="396" t="s">
        <v>1313</v>
      </c>
    </row>
    <row r="1178" spans="1:6" ht="72">
      <c r="A1178" s="405" t="s">
        <v>2160</v>
      </c>
      <c r="B1178" s="384" t="s">
        <v>88</v>
      </c>
      <c r="C1178" s="384" t="s">
        <v>1255</v>
      </c>
      <c r="D1178" s="385" t="s">
        <v>1564</v>
      </c>
      <c r="E1178" s="390" t="s">
        <v>1239</v>
      </c>
      <c r="F1178" s="396" t="s">
        <v>1313</v>
      </c>
    </row>
    <row r="1179" spans="1:6" ht="72">
      <c r="A1179" s="405" t="s">
        <v>2159</v>
      </c>
      <c r="B1179" s="384" t="s">
        <v>88</v>
      </c>
      <c r="C1179" s="384" t="s">
        <v>1255</v>
      </c>
      <c r="D1179" s="385" t="s">
        <v>1564</v>
      </c>
      <c r="E1179" s="390" t="s">
        <v>1239</v>
      </c>
      <c r="F1179" s="396" t="s">
        <v>1313</v>
      </c>
    </row>
    <row r="1180" spans="1:6" ht="48">
      <c r="A1180" s="405" t="s">
        <v>2158</v>
      </c>
      <c r="B1180" s="384" t="s">
        <v>23</v>
      </c>
      <c r="C1180" s="384" t="s">
        <v>1277</v>
      </c>
      <c r="D1180" s="385" t="s">
        <v>2157</v>
      </c>
      <c r="E1180" s="390" t="s">
        <v>1239</v>
      </c>
      <c r="F1180" s="396" t="s">
        <v>1313</v>
      </c>
    </row>
    <row r="1181" spans="1:6" ht="48">
      <c r="A1181" s="405" t="s">
        <v>2158</v>
      </c>
      <c r="B1181" s="384" t="s">
        <v>23</v>
      </c>
      <c r="C1181" s="384" t="s">
        <v>1277</v>
      </c>
      <c r="D1181" s="385" t="s">
        <v>2156</v>
      </c>
      <c r="E1181" s="390" t="s">
        <v>1239</v>
      </c>
      <c r="F1181" s="396" t="s">
        <v>1313</v>
      </c>
    </row>
    <row r="1182" spans="1:6" ht="48">
      <c r="A1182" s="405" t="s">
        <v>2158</v>
      </c>
      <c r="B1182" s="384" t="s">
        <v>23</v>
      </c>
      <c r="C1182" s="384" t="s">
        <v>1277</v>
      </c>
      <c r="D1182" s="385" t="s">
        <v>2155</v>
      </c>
      <c r="E1182" s="390" t="s">
        <v>1239</v>
      </c>
      <c r="F1182" s="396" t="s">
        <v>1313</v>
      </c>
    </row>
    <row r="1183" spans="1:6" ht="48">
      <c r="A1183" s="405" t="s">
        <v>2158</v>
      </c>
      <c r="B1183" s="384" t="s">
        <v>23</v>
      </c>
      <c r="C1183" s="384" t="s">
        <v>1277</v>
      </c>
      <c r="D1183" s="385" t="s">
        <v>2154</v>
      </c>
      <c r="E1183" s="390" t="s">
        <v>1239</v>
      </c>
      <c r="F1183" s="396" t="s">
        <v>1313</v>
      </c>
    </row>
    <row r="1184" spans="1:6" ht="48">
      <c r="A1184" s="405" t="s">
        <v>2158</v>
      </c>
      <c r="B1184" s="384" t="s">
        <v>23</v>
      </c>
      <c r="C1184" s="384" t="s">
        <v>1277</v>
      </c>
      <c r="D1184" s="385" t="s">
        <v>2153</v>
      </c>
      <c r="E1184" s="390" t="s">
        <v>1239</v>
      </c>
      <c r="F1184" s="396" t="s">
        <v>1313</v>
      </c>
    </row>
    <row r="1185" spans="1:6" ht="48">
      <c r="A1185" s="405" t="s">
        <v>2158</v>
      </c>
      <c r="B1185" s="384" t="s">
        <v>23</v>
      </c>
      <c r="C1185" s="384" t="s">
        <v>1277</v>
      </c>
      <c r="D1185" s="385" t="s">
        <v>2152</v>
      </c>
      <c r="E1185" s="390" t="s">
        <v>1239</v>
      </c>
      <c r="F1185" s="396" t="s">
        <v>1313</v>
      </c>
    </row>
    <row r="1186" spans="1:6" ht="48">
      <c r="A1186" s="405" t="s">
        <v>2158</v>
      </c>
      <c r="B1186" s="384" t="s">
        <v>23</v>
      </c>
      <c r="C1186" s="384" t="s">
        <v>1277</v>
      </c>
      <c r="D1186" s="385" t="s">
        <v>2151</v>
      </c>
      <c r="E1186" s="390" t="s">
        <v>1239</v>
      </c>
      <c r="F1186" s="396" t="s">
        <v>1313</v>
      </c>
    </row>
    <row r="1187" spans="1:6" ht="48">
      <c r="A1187" s="405" t="s">
        <v>2158</v>
      </c>
      <c r="B1187" s="384" t="s">
        <v>23</v>
      </c>
      <c r="C1187" s="384" t="s">
        <v>1277</v>
      </c>
      <c r="D1187" s="385" t="s">
        <v>2133</v>
      </c>
      <c r="E1187" s="390" t="s">
        <v>1239</v>
      </c>
      <c r="F1187" s="396" t="s">
        <v>1313</v>
      </c>
    </row>
    <row r="1188" spans="1:6" ht="48">
      <c r="A1188" s="405" t="s">
        <v>2158</v>
      </c>
      <c r="B1188" s="384" t="s">
        <v>23</v>
      </c>
      <c r="C1188" s="384" t="s">
        <v>1277</v>
      </c>
      <c r="D1188" s="385" t="s">
        <v>2132</v>
      </c>
      <c r="E1188" s="390" t="s">
        <v>1239</v>
      </c>
      <c r="F1188" s="396" t="s">
        <v>1313</v>
      </c>
    </row>
    <row r="1189" spans="1:6" ht="48">
      <c r="A1189" s="405" t="s">
        <v>2158</v>
      </c>
      <c r="B1189" s="384" t="s">
        <v>23</v>
      </c>
      <c r="C1189" s="384" t="s">
        <v>1277</v>
      </c>
      <c r="D1189" s="385" t="s">
        <v>2131</v>
      </c>
      <c r="E1189" s="390" t="s">
        <v>1239</v>
      </c>
      <c r="F1189" s="396" t="s">
        <v>1313</v>
      </c>
    </row>
    <row r="1190" spans="1:6" ht="48">
      <c r="A1190" s="405" t="s">
        <v>2158</v>
      </c>
      <c r="B1190" s="384" t="s">
        <v>23</v>
      </c>
      <c r="C1190" s="384" t="s">
        <v>1277</v>
      </c>
      <c r="D1190" s="385" t="s">
        <v>2130</v>
      </c>
      <c r="E1190" s="390" t="s">
        <v>1239</v>
      </c>
      <c r="F1190" s="396" t="s">
        <v>1313</v>
      </c>
    </row>
    <row r="1191" spans="1:6" ht="48">
      <c r="A1191" s="405" t="s">
        <v>2158</v>
      </c>
      <c r="B1191" s="384" t="s">
        <v>23</v>
      </c>
      <c r="C1191" s="384" t="s">
        <v>1277</v>
      </c>
      <c r="D1191" s="385" t="s">
        <v>2129</v>
      </c>
      <c r="E1191" s="390" t="s">
        <v>1239</v>
      </c>
      <c r="F1191" s="396" t="s">
        <v>1313</v>
      </c>
    </row>
    <row r="1192" spans="1:6" ht="48">
      <c r="A1192" s="405" t="s">
        <v>2158</v>
      </c>
      <c r="B1192" s="384" t="s">
        <v>23</v>
      </c>
      <c r="C1192" s="384" t="s">
        <v>1277</v>
      </c>
      <c r="D1192" s="385" t="s">
        <v>2128</v>
      </c>
      <c r="E1192" s="390" t="s">
        <v>1239</v>
      </c>
      <c r="F1192" s="396" t="s">
        <v>1313</v>
      </c>
    </row>
    <row r="1193" spans="1:6" ht="48">
      <c r="A1193" s="405" t="s">
        <v>2158</v>
      </c>
      <c r="B1193" s="384" t="s">
        <v>23</v>
      </c>
      <c r="C1193" s="384" t="s">
        <v>1277</v>
      </c>
      <c r="D1193" s="385" t="s">
        <v>2127</v>
      </c>
      <c r="E1193" s="390" t="s">
        <v>1239</v>
      </c>
      <c r="F1193" s="396" t="s">
        <v>1313</v>
      </c>
    </row>
    <row r="1194" spans="1:6" ht="48">
      <c r="A1194" s="405" t="s">
        <v>2158</v>
      </c>
      <c r="B1194" s="384" t="s">
        <v>23</v>
      </c>
      <c r="C1194" s="384" t="s">
        <v>1277</v>
      </c>
      <c r="D1194" s="385" t="s">
        <v>2126</v>
      </c>
      <c r="E1194" s="390" t="s">
        <v>1239</v>
      </c>
      <c r="F1194" s="396" t="s">
        <v>1313</v>
      </c>
    </row>
    <row r="1195" spans="1:6" ht="48">
      <c r="A1195" s="405" t="s">
        <v>2158</v>
      </c>
      <c r="B1195" s="384" t="s">
        <v>23</v>
      </c>
      <c r="C1195" s="384" t="s">
        <v>1277</v>
      </c>
      <c r="D1195" s="385" t="s">
        <v>2150</v>
      </c>
      <c r="E1195" s="390" t="s">
        <v>1239</v>
      </c>
      <c r="F1195" s="396" t="s">
        <v>1313</v>
      </c>
    </row>
    <row r="1196" spans="1:6" ht="48">
      <c r="A1196" s="405" t="s">
        <v>2158</v>
      </c>
      <c r="B1196" s="384" t="s">
        <v>23</v>
      </c>
      <c r="C1196" s="384" t="s">
        <v>1277</v>
      </c>
      <c r="D1196" s="385" t="s">
        <v>2149</v>
      </c>
      <c r="E1196" s="390" t="s">
        <v>1239</v>
      </c>
      <c r="F1196" s="396" t="s">
        <v>1313</v>
      </c>
    </row>
    <row r="1197" spans="1:6" ht="48">
      <c r="A1197" s="405" t="s">
        <v>2158</v>
      </c>
      <c r="B1197" s="384" t="s">
        <v>23</v>
      </c>
      <c r="C1197" s="384" t="s">
        <v>1277</v>
      </c>
      <c r="D1197" s="385" t="s">
        <v>2148</v>
      </c>
      <c r="E1197" s="390" t="s">
        <v>1239</v>
      </c>
      <c r="F1197" s="396" t="s">
        <v>1313</v>
      </c>
    </row>
    <row r="1198" spans="1:6" ht="48">
      <c r="A1198" s="405" t="s">
        <v>2158</v>
      </c>
      <c r="B1198" s="384" t="s">
        <v>23</v>
      </c>
      <c r="C1198" s="384" t="s">
        <v>1277</v>
      </c>
      <c r="D1198" s="385" t="s">
        <v>2147</v>
      </c>
      <c r="E1198" s="390" t="s">
        <v>1239</v>
      </c>
      <c r="F1198" s="396" t="s">
        <v>1313</v>
      </c>
    </row>
    <row r="1199" spans="1:6" ht="48">
      <c r="A1199" s="405" t="s">
        <v>2158</v>
      </c>
      <c r="B1199" s="384" t="s">
        <v>23</v>
      </c>
      <c r="C1199" s="384" t="s">
        <v>1277</v>
      </c>
      <c r="D1199" s="385" t="s">
        <v>2146</v>
      </c>
      <c r="E1199" s="390" t="s">
        <v>1239</v>
      </c>
      <c r="F1199" s="396" t="s">
        <v>1313</v>
      </c>
    </row>
    <row r="1200" spans="1:6" ht="48">
      <c r="A1200" s="405" t="s">
        <v>2158</v>
      </c>
      <c r="B1200" s="384" t="s">
        <v>23</v>
      </c>
      <c r="C1200" s="384" t="s">
        <v>1277</v>
      </c>
      <c r="D1200" s="385" t="s">
        <v>2145</v>
      </c>
      <c r="E1200" s="390" t="s">
        <v>1239</v>
      </c>
      <c r="F1200" s="396" t="s">
        <v>1313</v>
      </c>
    </row>
    <row r="1201" spans="1:6" ht="48">
      <c r="A1201" s="405" t="s">
        <v>2144</v>
      </c>
      <c r="B1201" s="384" t="s">
        <v>23</v>
      </c>
      <c r="C1201" s="384" t="s">
        <v>1277</v>
      </c>
      <c r="D1201" s="385" t="s">
        <v>2157</v>
      </c>
      <c r="E1201" s="390" t="s">
        <v>1239</v>
      </c>
      <c r="F1201" s="396" t="s">
        <v>1313</v>
      </c>
    </row>
    <row r="1202" spans="1:6" ht="48">
      <c r="A1202" s="405" t="s">
        <v>2144</v>
      </c>
      <c r="B1202" s="384" t="s">
        <v>23</v>
      </c>
      <c r="C1202" s="384" t="s">
        <v>1277</v>
      </c>
      <c r="D1202" s="385" t="s">
        <v>2156</v>
      </c>
      <c r="E1202" s="390" t="s">
        <v>1239</v>
      </c>
      <c r="F1202" s="396" t="s">
        <v>1313</v>
      </c>
    </row>
    <row r="1203" spans="1:6" ht="48">
      <c r="A1203" s="405" t="s">
        <v>2144</v>
      </c>
      <c r="B1203" s="384" t="s">
        <v>23</v>
      </c>
      <c r="C1203" s="384" t="s">
        <v>1277</v>
      </c>
      <c r="D1203" s="385" t="s">
        <v>2155</v>
      </c>
      <c r="E1203" s="390" t="s">
        <v>1239</v>
      </c>
      <c r="F1203" s="396" t="s">
        <v>1313</v>
      </c>
    </row>
    <row r="1204" spans="1:6" ht="48">
      <c r="A1204" s="405" t="s">
        <v>2144</v>
      </c>
      <c r="B1204" s="384" t="s">
        <v>23</v>
      </c>
      <c r="C1204" s="384" t="s">
        <v>1277</v>
      </c>
      <c r="D1204" s="385" t="s">
        <v>2154</v>
      </c>
      <c r="E1204" s="390" t="s">
        <v>1239</v>
      </c>
      <c r="F1204" s="396" t="s">
        <v>1313</v>
      </c>
    </row>
    <row r="1205" spans="1:6" ht="48">
      <c r="A1205" s="405" t="s">
        <v>2144</v>
      </c>
      <c r="B1205" s="384" t="s">
        <v>23</v>
      </c>
      <c r="C1205" s="384" t="s">
        <v>1277</v>
      </c>
      <c r="D1205" s="385" t="s">
        <v>2153</v>
      </c>
      <c r="E1205" s="390" t="s">
        <v>1239</v>
      </c>
      <c r="F1205" s="396" t="s">
        <v>1313</v>
      </c>
    </row>
    <row r="1206" spans="1:6" ht="48">
      <c r="A1206" s="405" t="s">
        <v>2144</v>
      </c>
      <c r="B1206" s="384" t="s">
        <v>23</v>
      </c>
      <c r="C1206" s="384" t="s">
        <v>1277</v>
      </c>
      <c r="D1206" s="385" t="s">
        <v>2152</v>
      </c>
      <c r="E1206" s="390" t="s">
        <v>1239</v>
      </c>
      <c r="F1206" s="396" t="s">
        <v>1313</v>
      </c>
    </row>
    <row r="1207" spans="1:6" ht="48">
      <c r="A1207" s="405" t="s">
        <v>2144</v>
      </c>
      <c r="B1207" s="384" t="s">
        <v>23</v>
      </c>
      <c r="C1207" s="384" t="s">
        <v>1277</v>
      </c>
      <c r="D1207" s="385" t="s">
        <v>2151</v>
      </c>
      <c r="E1207" s="390" t="s">
        <v>1239</v>
      </c>
      <c r="F1207" s="396" t="s">
        <v>1313</v>
      </c>
    </row>
    <row r="1208" spans="1:6" ht="48">
      <c r="A1208" s="405" t="s">
        <v>2144</v>
      </c>
      <c r="B1208" s="384" t="s">
        <v>23</v>
      </c>
      <c r="C1208" s="384" t="s">
        <v>1277</v>
      </c>
      <c r="D1208" s="385" t="s">
        <v>2133</v>
      </c>
      <c r="E1208" s="390" t="s">
        <v>1239</v>
      </c>
      <c r="F1208" s="396" t="s">
        <v>1313</v>
      </c>
    </row>
    <row r="1209" spans="1:6" ht="48">
      <c r="A1209" s="405" t="s">
        <v>2144</v>
      </c>
      <c r="B1209" s="384" t="s">
        <v>23</v>
      </c>
      <c r="C1209" s="384" t="s">
        <v>1277</v>
      </c>
      <c r="D1209" s="385" t="s">
        <v>2132</v>
      </c>
      <c r="E1209" s="390" t="s">
        <v>1239</v>
      </c>
      <c r="F1209" s="396" t="s">
        <v>1313</v>
      </c>
    </row>
    <row r="1210" spans="1:6" ht="48">
      <c r="A1210" s="405" t="s">
        <v>2144</v>
      </c>
      <c r="B1210" s="384" t="s">
        <v>23</v>
      </c>
      <c r="C1210" s="384" t="s">
        <v>1277</v>
      </c>
      <c r="D1210" s="385" t="s">
        <v>2131</v>
      </c>
      <c r="E1210" s="390" t="s">
        <v>1239</v>
      </c>
      <c r="F1210" s="396" t="s">
        <v>1313</v>
      </c>
    </row>
    <row r="1211" spans="1:6" ht="48">
      <c r="A1211" s="405" t="s">
        <v>2144</v>
      </c>
      <c r="B1211" s="384" t="s">
        <v>23</v>
      </c>
      <c r="C1211" s="384" t="s">
        <v>1277</v>
      </c>
      <c r="D1211" s="385" t="s">
        <v>2130</v>
      </c>
      <c r="E1211" s="390" t="s">
        <v>1239</v>
      </c>
      <c r="F1211" s="396" t="s">
        <v>1313</v>
      </c>
    </row>
    <row r="1212" spans="1:6" ht="48">
      <c r="A1212" s="405" t="s">
        <v>2144</v>
      </c>
      <c r="B1212" s="384" t="s">
        <v>23</v>
      </c>
      <c r="C1212" s="384" t="s">
        <v>1277</v>
      </c>
      <c r="D1212" s="385" t="s">
        <v>2129</v>
      </c>
      <c r="E1212" s="390" t="s">
        <v>1239</v>
      </c>
      <c r="F1212" s="396" t="s">
        <v>1313</v>
      </c>
    </row>
    <row r="1213" spans="1:6" ht="48">
      <c r="A1213" s="405" t="s">
        <v>2144</v>
      </c>
      <c r="B1213" s="384" t="s">
        <v>23</v>
      </c>
      <c r="C1213" s="384" t="s">
        <v>1277</v>
      </c>
      <c r="D1213" s="385" t="s">
        <v>2128</v>
      </c>
      <c r="E1213" s="390" t="s">
        <v>1239</v>
      </c>
      <c r="F1213" s="396" t="s">
        <v>1313</v>
      </c>
    </row>
    <row r="1214" spans="1:6" ht="48">
      <c r="A1214" s="405" t="s">
        <v>2144</v>
      </c>
      <c r="B1214" s="384" t="s">
        <v>23</v>
      </c>
      <c r="C1214" s="384" t="s">
        <v>1277</v>
      </c>
      <c r="D1214" s="385" t="s">
        <v>2127</v>
      </c>
      <c r="E1214" s="390" t="s">
        <v>1239</v>
      </c>
      <c r="F1214" s="396" t="s">
        <v>1313</v>
      </c>
    </row>
    <row r="1215" spans="1:6" ht="48">
      <c r="A1215" s="405" t="s">
        <v>2144</v>
      </c>
      <c r="B1215" s="384" t="s">
        <v>23</v>
      </c>
      <c r="C1215" s="384" t="s">
        <v>1277</v>
      </c>
      <c r="D1215" s="385" t="s">
        <v>2126</v>
      </c>
      <c r="E1215" s="390" t="s">
        <v>1239</v>
      </c>
      <c r="F1215" s="396" t="s">
        <v>1313</v>
      </c>
    </row>
    <row r="1216" spans="1:6" ht="48">
      <c r="A1216" s="405" t="s">
        <v>2144</v>
      </c>
      <c r="B1216" s="384" t="s">
        <v>23</v>
      </c>
      <c r="C1216" s="384" t="s">
        <v>1277</v>
      </c>
      <c r="D1216" s="385" t="s">
        <v>2150</v>
      </c>
      <c r="E1216" s="390" t="s">
        <v>1239</v>
      </c>
      <c r="F1216" s="396" t="s">
        <v>1313</v>
      </c>
    </row>
    <row r="1217" spans="1:6" ht="48">
      <c r="A1217" s="405" t="s">
        <v>2144</v>
      </c>
      <c r="B1217" s="384" t="s">
        <v>23</v>
      </c>
      <c r="C1217" s="384" t="s">
        <v>1277</v>
      </c>
      <c r="D1217" s="385" t="s">
        <v>2149</v>
      </c>
      <c r="E1217" s="390" t="s">
        <v>1239</v>
      </c>
      <c r="F1217" s="396" t="s">
        <v>1313</v>
      </c>
    </row>
    <row r="1218" spans="1:6" ht="48">
      <c r="A1218" s="405" t="s">
        <v>2144</v>
      </c>
      <c r="B1218" s="384" t="s">
        <v>23</v>
      </c>
      <c r="C1218" s="384" t="s">
        <v>1277</v>
      </c>
      <c r="D1218" s="385" t="s">
        <v>2148</v>
      </c>
      <c r="E1218" s="390" t="s">
        <v>1239</v>
      </c>
      <c r="F1218" s="396" t="s">
        <v>1313</v>
      </c>
    </row>
    <row r="1219" spans="1:6" ht="48">
      <c r="A1219" s="405" t="s">
        <v>2144</v>
      </c>
      <c r="B1219" s="384" t="s">
        <v>23</v>
      </c>
      <c r="C1219" s="384" t="s">
        <v>1277</v>
      </c>
      <c r="D1219" s="385" t="s">
        <v>2147</v>
      </c>
      <c r="E1219" s="390" t="s">
        <v>1239</v>
      </c>
      <c r="F1219" s="396" t="s">
        <v>1313</v>
      </c>
    </row>
    <row r="1220" spans="1:6" ht="48">
      <c r="A1220" s="405" t="s">
        <v>2144</v>
      </c>
      <c r="B1220" s="384" t="s">
        <v>23</v>
      </c>
      <c r="C1220" s="384" t="s">
        <v>1277</v>
      </c>
      <c r="D1220" s="385" t="s">
        <v>2146</v>
      </c>
      <c r="E1220" s="390" t="s">
        <v>1239</v>
      </c>
      <c r="F1220" s="396" t="s">
        <v>1313</v>
      </c>
    </row>
    <row r="1221" spans="1:6" ht="48">
      <c r="A1221" s="405" t="s">
        <v>2144</v>
      </c>
      <c r="B1221" s="384" t="s">
        <v>23</v>
      </c>
      <c r="C1221" s="384" t="s">
        <v>1277</v>
      </c>
      <c r="D1221" s="385" t="s">
        <v>2145</v>
      </c>
      <c r="E1221" s="390" t="s">
        <v>1239</v>
      </c>
      <c r="F1221" s="396" t="s">
        <v>1313</v>
      </c>
    </row>
    <row r="1222" spans="1:6" ht="48">
      <c r="A1222" s="405" t="s">
        <v>2142</v>
      </c>
      <c r="B1222" s="384" t="s">
        <v>23</v>
      </c>
      <c r="C1222" s="384" t="s">
        <v>1277</v>
      </c>
      <c r="D1222" s="385" t="s">
        <v>2143</v>
      </c>
      <c r="E1222" s="390" t="s">
        <v>1239</v>
      </c>
      <c r="F1222" s="396" t="s">
        <v>1313</v>
      </c>
    </row>
    <row r="1223" spans="1:6" ht="72">
      <c r="A1223" s="405" t="s">
        <v>2141</v>
      </c>
      <c r="B1223" s="384" t="s">
        <v>88</v>
      </c>
      <c r="C1223" s="384" t="s">
        <v>1255</v>
      </c>
      <c r="D1223" s="385" t="s">
        <v>1564</v>
      </c>
      <c r="E1223" s="390" t="s">
        <v>1239</v>
      </c>
      <c r="F1223" s="396" t="s">
        <v>1313</v>
      </c>
    </row>
    <row r="1224" spans="1:6" ht="72">
      <c r="A1224" s="405" t="s">
        <v>2140</v>
      </c>
      <c r="B1224" s="384" t="s">
        <v>88</v>
      </c>
      <c r="C1224" s="384" t="s">
        <v>1255</v>
      </c>
      <c r="D1224" s="385" t="s">
        <v>1564</v>
      </c>
      <c r="E1224" s="390" t="s">
        <v>1239</v>
      </c>
      <c r="F1224" s="396" t="s">
        <v>1313</v>
      </c>
    </row>
    <row r="1225" spans="1:6" ht="48">
      <c r="A1225" s="405" t="s">
        <v>2138</v>
      </c>
      <c r="B1225" s="384" t="s">
        <v>88</v>
      </c>
      <c r="C1225" s="384" t="s">
        <v>1238</v>
      </c>
      <c r="D1225" s="385" t="s">
        <v>2139</v>
      </c>
      <c r="E1225" s="390" t="s">
        <v>1239</v>
      </c>
      <c r="F1225" s="396" t="s">
        <v>1313</v>
      </c>
    </row>
    <row r="1226" spans="1:6" ht="48">
      <c r="A1226" s="405" t="s">
        <v>2137</v>
      </c>
      <c r="B1226" s="384" t="s">
        <v>23</v>
      </c>
      <c r="C1226" s="384" t="s">
        <v>1277</v>
      </c>
      <c r="D1226" s="385" t="s">
        <v>2136</v>
      </c>
      <c r="E1226" s="390" t="s">
        <v>1239</v>
      </c>
      <c r="F1226" s="396" t="s">
        <v>1313</v>
      </c>
    </row>
    <row r="1227" spans="1:6" ht="48">
      <c r="A1227" s="405" t="s">
        <v>2135</v>
      </c>
      <c r="B1227" s="384" t="s">
        <v>23</v>
      </c>
      <c r="C1227" s="384" t="s">
        <v>1277</v>
      </c>
      <c r="D1227" s="385" t="s">
        <v>2136</v>
      </c>
      <c r="E1227" s="390" t="s">
        <v>1239</v>
      </c>
      <c r="F1227" s="396" t="s">
        <v>1313</v>
      </c>
    </row>
    <row r="1228" spans="1:6" ht="48">
      <c r="A1228" s="405" t="s">
        <v>2134</v>
      </c>
      <c r="B1228" s="384" t="s">
        <v>23</v>
      </c>
      <c r="C1228" s="384" t="s">
        <v>1277</v>
      </c>
      <c r="D1228" s="385" t="s">
        <v>2133</v>
      </c>
      <c r="E1228" s="390" t="s">
        <v>1239</v>
      </c>
      <c r="F1228" s="396" t="s">
        <v>1313</v>
      </c>
    </row>
    <row r="1229" spans="1:6" ht="48">
      <c r="A1229" s="405" t="s">
        <v>2134</v>
      </c>
      <c r="B1229" s="384" t="s">
        <v>23</v>
      </c>
      <c r="C1229" s="384" t="s">
        <v>1277</v>
      </c>
      <c r="D1229" s="385" t="s">
        <v>2132</v>
      </c>
      <c r="E1229" s="390" t="s">
        <v>1239</v>
      </c>
      <c r="F1229" s="396" t="s">
        <v>1313</v>
      </c>
    </row>
    <row r="1230" spans="1:6" ht="48">
      <c r="A1230" s="405" t="s">
        <v>2134</v>
      </c>
      <c r="B1230" s="384" t="s">
        <v>23</v>
      </c>
      <c r="C1230" s="384" t="s">
        <v>1277</v>
      </c>
      <c r="D1230" s="385" t="s">
        <v>2131</v>
      </c>
      <c r="E1230" s="390" t="s">
        <v>1239</v>
      </c>
      <c r="F1230" s="396" t="s">
        <v>1313</v>
      </c>
    </row>
    <row r="1231" spans="1:6" ht="48">
      <c r="A1231" s="405" t="s">
        <v>2134</v>
      </c>
      <c r="B1231" s="384" t="s">
        <v>23</v>
      </c>
      <c r="C1231" s="384" t="s">
        <v>1277</v>
      </c>
      <c r="D1231" s="385" t="s">
        <v>2130</v>
      </c>
      <c r="E1231" s="390" t="s">
        <v>1239</v>
      </c>
      <c r="F1231" s="396" t="s">
        <v>1313</v>
      </c>
    </row>
    <row r="1232" spans="1:6" ht="48">
      <c r="A1232" s="405" t="s">
        <v>2134</v>
      </c>
      <c r="B1232" s="384" t="s">
        <v>23</v>
      </c>
      <c r="C1232" s="384" t="s">
        <v>1277</v>
      </c>
      <c r="D1232" s="385" t="s">
        <v>2129</v>
      </c>
      <c r="E1232" s="390" t="s">
        <v>1239</v>
      </c>
      <c r="F1232" s="396" t="s">
        <v>1313</v>
      </c>
    </row>
    <row r="1233" spans="1:6" ht="48">
      <c r="A1233" s="405" t="s">
        <v>2134</v>
      </c>
      <c r="B1233" s="384" t="s">
        <v>23</v>
      </c>
      <c r="C1233" s="384" t="s">
        <v>1277</v>
      </c>
      <c r="D1233" s="385" t="s">
        <v>2128</v>
      </c>
      <c r="E1233" s="390" t="s">
        <v>1239</v>
      </c>
      <c r="F1233" s="396" t="s">
        <v>1313</v>
      </c>
    </row>
    <row r="1234" spans="1:6" ht="48">
      <c r="A1234" s="405" t="s">
        <v>2134</v>
      </c>
      <c r="B1234" s="384" t="s">
        <v>23</v>
      </c>
      <c r="C1234" s="384" t="s">
        <v>1277</v>
      </c>
      <c r="D1234" s="385" t="s">
        <v>2127</v>
      </c>
      <c r="E1234" s="390" t="s">
        <v>1239</v>
      </c>
      <c r="F1234" s="396" t="s">
        <v>1313</v>
      </c>
    </row>
    <row r="1235" spans="1:6" ht="48">
      <c r="A1235" s="405" t="s">
        <v>2134</v>
      </c>
      <c r="B1235" s="384" t="s">
        <v>23</v>
      </c>
      <c r="C1235" s="384" t="s">
        <v>1277</v>
      </c>
      <c r="D1235" s="385" t="s">
        <v>2126</v>
      </c>
      <c r="E1235" s="390" t="s">
        <v>1239</v>
      </c>
      <c r="F1235" s="396" t="s">
        <v>1313</v>
      </c>
    </row>
    <row r="1236" spans="1:6" ht="48">
      <c r="A1236" s="405" t="s">
        <v>2125</v>
      </c>
      <c r="B1236" s="384" t="s">
        <v>23</v>
      </c>
      <c r="C1236" s="384" t="s">
        <v>1277</v>
      </c>
      <c r="D1236" s="385" t="s">
        <v>2133</v>
      </c>
      <c r="E1236" s="390" t="s">
        <v>1239</v>
      </c>
      <c r="F1236" s="396" t="s">
        <v>1313</v>
      </c>
    </row>
    <row r="1237" spans="1:6" ht="48">
      <c r="A1237" s="405" t="s">
        <v>2125</v>
      </c>
      <c r="B1237" s="384" t="s">
        <v>23</v>
      </c>
      <c r="C1237" s="384" t="s">
        <v>1277</v>
      </c>
      <c r="D1237" s="385" t="s">
        <v>2132</v>
      </c>
      <c r="E1237" s="390" t="s">
        <v>1239</v>
      </c>
      <c r="F1237" s="396" t="s">
        <v>1313</v>
      </c>
    </row>
    <row r="1238" spans="1:6" ht="48">
      <c r="A1238" s="405" t="s">
        <v>2125</v>
      </c>
      <c r="B1238" s="384" t="s">
        <v>23</v>
      </c>
      <c r="C1238" s="384" t="s">
        <v>1277</v>
      </c>
      <c r="D1238" s="385" t="s">
        <v>2131</v>
      </c>
      <c r="E1238" s="390" t="s">
        <v>1239</v>
      </c>
      <c r="F1238" s="396" t="s">
        <v>1313</v>
      </c>
    </row>
    <row r="1239" spans="1:6" ht="48">
      <c r="A1239" s="405" t="s">
        <v>2125</v>
      </c>
      <c r="B1239" s="384" t="s">
        <v>23</v>
      </c>
      <c r="C1239" s="384" t="s">
        <v>1277</v>
      </c>
      <c r="D1239" s="385" t="s">
        <v>2130</v>
      </c>
      <c r="E1239" s="390" t="s">
        <v>1239</v>
      </c>
      <c r="F1239" s="396" t="s">
        <v>1313</v>
      </c>
    </row>
    <row r="1240" spans="1:6" ht="48">
      <c r="A1240" s="405" t="s">
        <v>2125</v>
      </c>
      <c r="B1240" s="384" t="s">
        <v>23</v>
      </c>
      <c r="C1240" s="384" t="s">
        <v>1277</v>
      </c>
      <c r="D1240" s="385" t="s">
        <v>2129</v>
      </c>
      <c r="E1240" s="390" t="s">
        <v>1239</v>
      </c>
      <c r="F1240" s="396" t="s">
        <v>1313</v>
      </c>
    </row>
    <row r="1241" spans="1:6" ht="48">
      <c r="A1241" s="405" t="s">
        <v>2125</v>
      </c>
      <c r="B1241" s="384" t="s">
        <v>23</v>
      </c>
      <c r="C1241" s="384" t="s">
        <v>1277</v>
      </c>
      <c r="D1241" s="385" t="s">
        <v>2128</v>
      </c>
      <c r="E1241" s="390" t="s">
        <v>1239</v>
      </c>
      <c r="F1241" s="396" t="s">
        <v>1313</v>
      </c>
    </row>
    <row r="1242" spans="1:6" ht="48">
      <c r="A1242" s="405" t="s">
        <v>2125</v>
      </c>
      <c r="B1242" s="384" t="s">
        <v>23</v>
      </c>
      <c r="C1242" s="384" t="s">
        <v>1277</v>
      </c>
      <c r="D1242" s="385" t="s">
        <v>2127</v>
      </c>
      <c r="E1242" s="390" t="s">
        <v>1239</v>
      </c>
      <c r="F1242" s="396" t="s">
        <v>1313</v>
      </c>
    </row>
    <row r="1243" spans="1:6" ht="48">
      <c r="A1243" s="405" t="s">
        <v>2125</v>
      </c>
      <c r="B1243" s="384" t="s">
        <v>23</v>
      </c>
      <c r="C1243" s="384" t="s">
        <v>1277</v>
      </c>
      <c r="D1243" s="385" t="s">
        <v>2126</v>
      </c>
      <c r="E1243" s="390" t="s">
        <v>1239</v>
      </c>
      <c r="F1243" s="396" t="s">
        <v>1313</v>
      </c>
    </row>
    <row r="1244" spans="1:6" ht="48">
      <c r="A1244" s="405" t="s">
        <v>2124</v>
      </c>
      <c r="B1244" s="384" t="s">
        <v>23</v>
      </c>
      <c r="C1244" s="384" t="s">
        <v>1277</v>
      </c>
      <c r="D1244" s="385" t="s">
        <v>1979</v>
      </c>
      <c r="E1244" s="390" t="s">
        <v>1239</v>
      </c>
      <c r="F1244" s="396" t="s">
        <v>1313</v>
      </c>
    </row>
    <row r="1245" spans="1:6" ht="48">
      <c r="A1245" s="405" t="s">
        <v>2124</v>
      </c>
      <c r="B1245" s="384" t="s">
        <v>23</v>
      </c>
      <c r="C1245" s="384" t="s">
        <v>1277</v>
      </c>
      <c r="D1245" s="385" t="s">
        <v>1978</v>
      </c>
      <c r="E1245" s="390" t="s">
        <v>1239</v>
      </c>
      <c r="F1245" s="396" t="s">
        <v>1313</v>
      </c>
    </row>
    <row r="1246" spans="1:6" ht="48">
      <c r="A1246" s="405" t="s">
        <v>2124</v>
      </c>
      <c r="B1246" s="384" t="s">
        <v>23</v>
      </c>
      <c r="C1246" s="384" t="s">
        <v>1277</v>
      </c>
      <c r="D1246" s="385" t="s">
        <v>1977</v>
      </c>
      <c r="E1246" s="390" t="s">
        <v>1239</v>
      </c>
      <c r="F1246" s="396" t="s">
        <v>1313</v>
      </c>
    </row>
    <row r="1247" spans="1:6" ht="48">
      <c r="A1247" s="405" t="s">
        <v>2124</v>
      </c>
      <c r="B1247" s="384" t="s">
        <v>23</v>
      </c>
      <c r="C1247" s="384" t="s">
        <v>1277</v>
      </c>
      <c r="D1247" s="385" t="s">
        <v>1976</v>
      </c>
      <c r="E1247" s="390" t="s">
        <v>1239</v>
      </c>
      <c r="F1247" s="396" t="s">
        <v>1313</v>
      </c>
    </row>
    <row r="1248" spans="1:6" ht="48">
      <c r="A1248" s="405" t="s">
        <v>2124</v>
      </c>
      <c r="B1248" s="384" t="s">
        <v>23</v>
      </c>
      <c r="C1248" s="384" t="s">
        <v>1277</v>
      </c>
      <c r="D1248" s="385" t="s">
        <v>1975</v>
      </c>
      <c r="E1248" s="390" t="s">
        <v>1239</v>
      </c>
      <c r="F1248" s="396" t="s">
        <v>1313</v>
      </c>
    </row>
    <row r="1249" spans="1:6" ht="48">
      <c r="A1249" s="405" t="s">
        <v>2124</v>
      </c>
      <c r="B1249" s="384" t="s">
        <v>23</v>
      </c>
      <c r="C1249" s="384" t="s">
        <v>1277</v>
      </c>
      <c r="D1249" s="385" t="s">
        <v>1974</v>
      </c>
      <c r="E1249" s="390" t="s">
        <v>1239</v>
      </c>
      <c r="F1249" s="396" t="s">
        <v>1313</v>
      </c>
    </row>
    <row r="1250" spans="1:6" ht="48">
      <c r="A1250" s="405" t="s">
        <v>2122</v>
      </c>
      <c r="B1250" s="384" t="s">
        <v>23</v>
      </c>
      <c r="C1250" s="384" t="s">
        <v>1277</v>
      </c>
      <c r="D1250" s="385" t="s">
        <v>2123</v>
      </c>
      <c r="E1250" s="390" t="s">
        <v>1239</v>
      </c>
      <c r="F1250" s="396" t="s">
        <v>1313</v>
      </c>
    </row>
    <row r="1251" spans="1:6" ht="48">
      <c r="A1251" s="405" t="s">
        <v>2121</v>
      </c>
      <c r="B1251" s="384" t="s">
        <v>23</v>
      </c>
      <c r="C1251" s="384" t="s">
        <v>1277</v>
      </c>
      <c r="D1251" s="385" t="s">
        <v>2051</v>
      </c>
      <c r="E1251" s="390" t="s">
        <v>1239</v>
      </c>
      <c r="F1251" s="396" t="s">
        <v>1313</v>
      </c>
    </row>
    <row r="1252" spans="1:6" ht="48">
      <c r="A1252" s="405" t="s">
        <v>2121</v>
      </c>
      <c r="B1252" s="384" t="s">
        <v>23</v>
      </c>
      <c r="C1252" s="384" t="s">
        <v>1277</v>
      </c>
      <c r="D1252" s="385" t="s">
        <v>2050</v>
      </c>
      <c r="E1252" s="390" t="s">
        <v>1239</v>
      </c>
      <c r="F1252" s="396" t="s">
        <v>1313</v>
      </c>
    </row>
    <row r="1253" spans="1:6" ht="48">
      <c r="A1253" s="405" t="s">
        <v>2121</v>
      </c>
      <c r="B1253" s="384" t="s">
        <v>23</v>
      </c>
      <c r="C1253" s="384" t="s">
        <v>1277</v>
      </c>
      <c r="D1253" s="385" t="s">
        <v>2032</v>
      </c>
      <c r="E1253" s="390" t="s">
        <v>1239</v>
      </c>
      <c r="F1253" s="396" t="s">
        <v>1313</v>
      </c>
    </row>
    <row r="1254" spans="1:6" ht="48">
      <c r="A1254" s="405" t="s">
        <v>2121</v>
      </c>
      <c r="B1254" s="384" t="s">
        <v>23</v>
      </c>
      <c r="C1254" s="384" t="s">
        <v>1277</v>
      </c>
      <c r="D1254" s="385" t="s">
        <v>2031</v>
      </c>
      <c r="E1254" s="390" t="s">
        <v>1239</v>
      </c>
      <c r="F1254" s="396" t="s">
        <v>1313</v>
      </c>
    </row>
    <row r="1255" spans="1:6" ht="48">
      <c r="A1255" s="405" t="s">
        <v>2121</v>
      </c>
      <c r="B1255" s="384" t="s">
        <v>23</v>
      </c>
      <c r="C1255" s="384" t="s">
        <v>1277</v>
      </c>
      <c r="D1255" s="385" t="s">
        <v>2030</v>
      </c>
      <c r="E1255" s="390" t="s">
        <v>1239</v>
      </c>
      <c r="F1255" s="396" t="s">
        <v>1313</v>
      </c>
    </row>
    <row r="1256" spans="1:6" ht="48">
      <c r="A1256" s="405" t="s">
        <v>2121</v>
      </c>
      <c r="B1256" s="384" t="s">
        <v>23</v>
      </c>
      <c r="C1256" s="384" t="s">
        <v>1277</v>
      </c>
      <c r="D1256" s="385" t="s">
        <v>2029</v>
      </c>
      <c r="E1256" s="390" t="s">
        <v>1239</v>
      </c>
      <c r="F1256" s="396" t="s">
        <v>1313</v>
      </c>
    </row>
    <row r="1257" spans="1:6" ht="48">
      <c r="A1257" s="405" t="s">
        <v>2121</v>
      </c>
      <c r="B1257" s="384" t="s">
        <v>23</v>
      </c>
      <c r="C1257" s="384" t="s">
        <v>1277</v>
      </c>
      <c r="D1257" s="385" t="s">
        <v>2028</v>
      </c>
      <c r="E1257" s="390" t="s">
        <v>1239</v>
      </c>
      <c r="F1257" s="396" t="s">
        <v>1313</v>
      </c>
    </row>
    <row r="1258" spans="1:6" ht="48">
      <c r="A1258" s="405" t="s">
        <v>2121</v>
      </c>
      <c r="B1258" s="384" t="s">
        <v>23</v>
      </c>
      <c r="C1258" s="384" t="s">
        <v>1277</v>
      </c>
      <c r="D1258" s="385" t="s">
        <v>1946</v>
      </c>
      <c r="E1258" s="390" t="s">
        <v>1239</v>
      </c>
      <c r="F1258" s="396" t="s">
        <v>1313</v>
      </c>
    </row>
    <row r="1259" spans="1:6" ht="48">
      <c r="A1259" s="405" t="s">
        <v>2121</v>
      </c>
      <c r="B1259" s="384" t="s">
        <v>23</v>
      </c>
      <c r="C1259" s="384" t="s">
        <v>1277</v>
      </c>
      <c r="D1259" s="385" t="s">
        <v>1945</v>
      </c>
      <c r="E1259" s="390" t="s">
        <v>1239</v>
      </c>
      <c r="F1259" s="396" t="s">
        <v>1313</v>
      </c>
    </row>
    <row r="1260" spans="1:6" ht="48">
      <c r="A1260" s="405" t="s">
        <v>2121</v>
      </c>
      <c r="B1260" s="384" t="s">
        <v>23</v>
      </c>
      <c r="C1260" s="384" t="s">
        <v>1277</v>
      </c>
      <c r="D1260" s="385" t="s">
        <v>1944</v>
      </c>
      <c r="E1260" s="390" t="s">
        <v>1239</v>
      </c>
      <c r="F1260" s="396" t="s">
        <v>1313</v>
      </c>
    </row>
    <row r="1261" spans="1:6" ht="48">
      <c r="A1261" s="405" t="s">
        <v>2121</v>
      </c>
      <c r="B1261" s="384" t="s">
        <v>23</v>
      </c>
      <c r="C1261" s="384" t="s">
        <v>1277</v>
      </c>
      <c r="D1261" s="385" t="s">
        <v>1943</v>
      </c>
      <c r="E1261" s="390" t="s">
        <v>1239</v>
      </c>
      <c r="F1261" s="396" t="s">
        <v>1313</v>
      </c>
    </row>
    <row r="1262" spans="1:6" ht="48">
      <c r="A1262" s="405" t="s">
        <v>2121</v>
      </c>
      <c r="B1262" s="384" t="s">
        <v>23</v>
      </c>
      <c r="C1262" s="384" t="s">
        <v>1277</v>
      </c>
      <c r="D1262" s="385" t="s">
        <v>1942</v>
      </c>
      <c r="E1262" s="390" t="s">
        <v>1239</v>
      </c>
      <c r="F1262" s="396" t="s">
        <v>1313</v>
      </c>
    </row>
    <row r="1263" spans="1:6" ht="48">
      <c r="A1263" s="405" t="s">
        <v>2121</v>
      </c>
      <c r="B1263" s="384" t="s">
        <v>23</v>
      </c>
      <c r="C1263" s="384" t="s">
        <v>1277</v>
      </c>
      <c r="D1263" s="385" t="s">
        <v>2120</v>
      </c>
      <c r="E1263" s="390" t="s">
        <v>1239</v>
      </c>
      <c r="F1263" s="396" t="s">
        <v>1313</v>
      </c>
    </row>
    <row r="1264" spans="1:6" ht="48">
      <c r="A1264" s="405" t="s">
        <v>2121</v>
      </c>
      <c r="B1264" s="384" t="s">
        <v>23</v>
      </c>
      <c r="C1264" s="384" t="s">
        <v>1277</v>
      </c>
      <c r="D1264" s="385" t="s">
        <v>1941</v>
      </c>
      <c r="E1264" s="390" t="s">
        <v>1239</v>
      </c>
      <c r="F1264" s="396" t="s">
        <v>1313</v>
      </c>
    </row>
    <row r="1265" spans="1:6" ht="48">
      <c r="A1265" s="405" t="s">
        <v>2121</v>
      </c>
      <c r="B1265" s="384" t="s">
        <v>23</v>
      </c>
      <c r="C1265" s="384" t="s">
        <v>1277</v>
      </c>
      <c r="D1265" s="385" t="s">
        <v>1940</v>
      </c>
      <c r="E1265" s="390" t="s">
        <v>1239</v>
      </c>
      <c r="F1265" s="396" t="s">
        <v>1313</v>
      </c>
    </row>
    <row r="1266" spans="1:6" ht="48">
      <c r="A1266" s="405" t="s">
        <v>2121</v>
      </c>
      <c r="B1266" s="384" t="s">
        <v>23</v>
      </c>
      <c r="C1266" s="384" t="s">
        <v>1277</v>
      </c>
      <c r="D1266" s="385" t="s">
        <v>2027</v>
      </c>
      <c r="E1266" s="390" t="s">
        <v>1239</v>
      </c>
      <c r="F1266" s="396" t="s">
        <v>1313</v>
      </c>
    </row>
    <row r="1267" spans="1:6" ht="48">
      <c r="A1267" s="405" t="s">
        <v>2121</v>
      </c>
      <c r="B1267" s="384" t="s">
        <v>23</v>
      </c>
      <c r="C1267" s="384" t="s">
        <v>1277</v>
      </c>
      <c r="D1267" s="385" t="s">
        <v>2026</v>
      </c>
      <c r="E1267" s="390" t="s">
        <v>1239</v>
      </c>
      <c r="F1267" s="396" t="s">
        <v>1313</v>
      </c>
    </row>
    <row r="1268" spans="1:6" ht="48">
      <c r="A1268" s="405" t="s">
        <v>2121</v>
      </c>
      <c r="B1268" s="384" t="s">
        <v>23</v>
      </c>
      <c r="C1268" s="384" t="s">
        <v>1277</v>
      </c>
      <c r="D1268" s="385" t="s">
        <v>2025</v>
      </c>
      <c r="E1268" s="390" t="s">
        <v>1239</v>
      </c>
      <c r="F1268" s="396" t="s">
        <v>1313</v>
      </c>
    </row>
    <row r="1269" spans="1:6" ht="48">
      <c r="A1269" s="405" t="s">
        <v>2121</v>
      </c>
      <c r="B1269" s="384" t="s">
        <v>23</v>
      </c>
      <c r="C1269" s="384" t="s">
        <v>1277</v>
      </c>
      <c r="D1269" s="385" t="s">
        <v>2024</v>
      </c>
      <c r="E1269" s="390" t="s">
        <v>1239</v>
      </c>
      <c r="F1269" s="396" t="s">
        <v>1313</v>
      </c>
    </row>
    <row r="1270" spans="1:6" ht="48">
      <c r="A1270" s="405" t="s">
        <v>2121</v>
      </c>
      <c r="B1270" s="384" t="s">
        <v>23</v>
      </c>
      <c r="C1270" s="384" t="s">
        <v>1277</v>
      </c>
      <c r="D1270" s="385" t="s">
        <v>2023</v>
      </c>
      <c r="E1270" s="390" t="s">
        <v>1239</v>
      </c>
      <c r="F1270" s="396" t="s">
        <v>1313</v>
      </c>
    </row>
    <row r="1271" spans="1:6" ht="48">
      <c r="A1271" s="405" t="s">
        <v>2121</v>
      </c>
      <c r="B1271" s="384" t="s">
        <v>23</v>
      </c>
      <c r="C1271" s="384" t="s">
        <v>1277</v>
      </c>
      <c r="D1271" s="385" t="s">
        <v>2022</v>
      </c>
      <c r="E1271" s="390" t="s">
        <v>1239</v>
      </c>
      <c r="F1271" s="396" t="s">
        <v>1313</v>
      </c>
    </row>
    <row r="1272" spans="1:6" ht="48">
      <c r="A1272" s="405" t="s">
        <v>2119</v>
      </c>
      <c r="B1272" s="384" t="s">
        <v>23</v>
      </c>
      <c r="C1272" s="384" t="s">
        <v>1277</v>
      </c>
      <c r="D1272" s="385" t="s">
        <v>2051</v>
      </c>
      <c r="E1272" s="390" t="s">
        <v>1239</v>
      </c>
      <c r="F1272" s="396" t="s">
        <v>1313</v>
      </c>
    </row>
    <row r="1273" spans="1:6" ht="48">
      <c r="A1273" s="405" t="s">
        <v>2119</v>
      </c>
      <c r="B1273" s="384" t="s">
        <v>23</v>
      </c>
      <c r="C1273" s="384" t="s">
        <v>1277</v>
      </c>
      <c r="D1273" s="385" t="s">
        <v>2050</v>
      </c>
      <c r="E1273" s="390" t="s">
        <v>1239</v>
      </c>
      <c r="F1273" s="396" t="s">
        <v>1313</v>
      </c>
    </row>
    <row r="1274" spans="1:6" ht="48">
      <c r="A1274" s="405" t="s">
        <v>2119</v>
      </c>
      <c r="B1274" s="384" t="s">
        <v>23</v>
      </c>
      <c r="C1274" s="384" t="s">
        <v>1277</v>
      </c>
      <c r="D1274" s="385" t="s">
        <v>2032</v>
      </c>
      <c r="E1274" s="390" t="s">
        <v>1239</v>
      </c>
      <c r="F1274" s="396" t="s">
        <v>1313</v>
      </c>
    </row>
    <row r="1275" spans="1:6" ht="48">
      <c r="A1275" s="405" t="s">
        <v>2119</v>
      </c>
      <c r="B1275" s="384" t="s">
        <v>23</v>
      </c>
      <c r="C1275" s="384" t="s">
        <v>1277</v>
      </c>
      <c r="D1275" s="385" t="s">
        <v>2031</v>
      </c>
      <c r="E1275" s="390" t="s">
        <v>1239</v>
      </c>
      <c r="F1275" s="396" t="s">
        <v>1313</v>
      </c>
    </row>
    <row r="1276" spans="1:6" ht="48">
      <c r="A1276" s="405" t="s">
        <v>2119</v>
      </c>
      <c r="B1276" s="384" t="s">
        <v>23</v>
      </c>
      <c r="C1276" s="384" t="s">
        <v>1277</v>
      </c>
      <c r="D1276" s="385" t="s">
        <v>2030</v>
      </c>
      <c r="E1276" s="390" t="s">
        <v>1239</v>
      </c>
      <c r="F1276" s="396" t="s">
        <v>1313</v>
      </c>
    </row>
    <row r="1277" spans="1:6" ht="48">
      <c r="A1277" s="405" t="s">
        <v>2119</v>
      </c>
      <c r="B1277" s="384" t="s">
        <v>23</v>
      </c>
      <c r="C1277" s="384" t="s">
        <v>1277</v>
      </c>
      <c r="D1277" s="385" t="s">
        <v>2029</v>
      </c>
      <c r="E1277" s="390" t="s">
        <v>1239</v>
      </c>
      <c r="F1277" s="396" t="s">
        <v>1313</v>
      </c>
    </row>
    <row r="1278" spans="1:6" ht="48">
      <c r="A1278" s="405" t="s">
        <v>2119</v>
      </c>
      <c r="B1278" s="384" t="s">
        <v>23</v>
      </c>
      <c r="C1278" s="384" t="s">
        <v>1277</v>
      </c>
      <c r="D1278" s="385" t="s">
        <v>2028</v>
      </c>
      <c r="E1278" s="390" t="s">
        <v>1239</v>
      </c>
      <c r="F1278" s="396" t="s">
        <v>1313</v>
      </c>
    </row>
    <row r="1279" spans="1:6" ht="48">
      <c r="A1279" s="405" t="s">
        <v>2119</v>
      </c>
      <c r="B1279" s="384" t="s">
        <v>23</v>
      </c>
      <c r="C1279" s="384" t="s">
        <v>1277</v>
      </c>
      <c r="D1279" s="385" t="s">
        <v>1946</v>
      </c>
      <c r="E1279" s="390" t="s">
        <v>1239</v>
      </c>
      <c r="F1279" s="396" t="s">
        <v>1313</v>
      </c>
    </row>
    <row r="1280" spans="1:6" ht="48">
      <c r="A1280" s="405" t="s">
        <v>2119</v>
      </c>
      <c r="B1280" s="384" t="s">
        <v>23</v>
      </c>
      <c r="C1280" s="384" t="s">
        <v>1277</v>
      </c>
      <c r="D1280" s="385" t="s">
        <v>1945</v>
      </c>
      <c r="E1280" s="390" t="s">
        <v>1239</v>
      </c>
      <c r="F1280" s="396" t="s">
        <v>1313</v>
      </c>
    </row>
    <row r="1281" spans="1:6" ht="48">
      <c r="A1281" s="405" t="s">
        <v>2119</v>
      </c>
      <c r="B1281" s="384" t="s">
        <v>23</v>
      </c>
      <c r="C1281" s="384" t="s">
        <v>1277</v>
      </c>
      <c r="D1281" s="385" t="s">
        <v>1944</v>
      </c>
      <c r="E1281" s="390" t="s">
        <v>1239</v>
      </c>
      <c r="F1281" s="396" t="s">
        <v>1313</v>
      </c>
    </row>
    <row r="1282" spans="1:6" ht="48">
      <c r="A1282" s="405" t="s">
        <v>2119</v>
      </c>
      <c r="B1282" s="384" t="s">
        <v>23</v>
      </c>
      <c r="C1282" s="384" t="s">
        <v>1277</v>
      </c>
      <c r="D1282" s="385" t="s">
        <v>1943</v>
      </c>
      <c r="E1282" s="390" t="s">
        <v>1239</v>
      </c>
      <c r="F1282" s="396" t="s">
        <v>1313</v>
      </c>
    </row>
    <row r="1283" spans="1:6" ht="48">
      <c r="A1283" s="405" t="s">
        <v>2119</v>
      </c>
      <c r="B1283" s="384" t="s">
        <v>23</v>
      </c>
      <c r="C1283" s="384" t="s">
        <v>1277</v>
      </c>
      <c r="D1283" s="385" t="s">
        <v>1942</v>
      </c>
      <c r="E1283" s="390" t="s">
        <v>1239</v>
      </c>
      <c r="F1283" s="396" t="s">
        <v>1313</v>
      </c>
    </row>
    <row r="1284" spans="1:6" ht="48">
      <c r="A1284" s="405" t="s">
        <v>2119</v>
      </c>
      <c r="B1284" s="384" t="s">
        <v>23</v>
      </c>
      <c r="C1284" s="384" t="s">
        <v>1277</v>
      </c>
      <c r="D1284" s="385" t="s">
        <v>2120</v>
      </c>
      <c r="E1284" s="390" t="s">
        <v>1239</v>
      </c>
      <c r="F1284" s="396" t="s">
        <v>1313</v>
      </c>
    </row>
    <row r="1285" spans="1:6" ht="48">
      <c r="A1285" s="405" t="s">
        <v>2119</v>
      </c>
      <c r="B1285" s="384" t="s">
        <v>23</v>
      </c>
      <c r="C1285" s="384" t="s">
        <v>1277</v>
      </c>
      <c r="D1285" s="385" t="s">
        <v>1941</v>
      </c>
      <c r="E1285" s="390" t="s">
        <v>1239</v>
      </c>
      <c r="F1285" s="396" t="s">
        <v>1313</v>
      </c>
    </row>
    <row r="1286" spans="1:6" ht="48">
      <c r="A1286" s="405" t="s">
        <v>2119</v>
      </c>
      <c r="B1286" s="384" t="s">
        <v>23</v>
      </c>
      <c r="C1286" s="384" t="s">
        <v>1277</v>
      </c>
      <c r="D1286" s="385" t="s">
        <v>1940</v>
      </c>
      <c r="E1286" s="390" t="s">
        <v>1239</v>
      </c>
      <c r="F1286" s="396" t="s">
        <v>1313</v>
      </c>
    </row>
    <row r="1287" spans="1:6" ht="48">
      <c r="A1287" s="405" t="s">
        <v>2119</v>
      </c>
      <c r="B1287" s="384" t="s">
        <v>23</v>
      </c>
      <c r="C1287" s="384" t="s">
        <v>1277</v>
      </c>
      <c r="D1287" s="385" t="s">
        <v>2027</v>
      </c>
      <c r="E1287" s="390" t="s">
        <v>1239</v>
      </c>
      <c r="F1287" s="396" t="s">
        <v>1313</v>
      </c>
    </row>
    <row r="1288" spans="1:6" ht="48">
      <c r="A1288" s="405" t="s">
        <v>2119</v>
      </c>
      <c r="B1288" s="384" t="s">
        <v>23</v>
      </c>
      <c r="C1288" s="384" t="s">
        <v>1277</v>
      </c>
      <c r="D1288" s="385" t="s">
        <v>2026</v>
      </c>
      <c r="E1288" s="390" t="s">
        <v>1239</v>
      </c>
      <c r="F1288" s="396" t="s">
        <v>1313</v>
      </c>
    </row>
    <row r="1289" spans="1:6" ht="48">
      <c r="A1289" s="405" t="s">
        <v>2119</v>
      </c>
      <c r="B1289" s="384" t="s">
        <v>23</v>
      </c>
      <c r="C1289" s="384" t="s">
        <v>1277</v>
      </c>
      <c r="D1289" s="385" t="s">
        <v>2025</v>
      </c>
      <c r="E1289" s="390" t="s">
        <v>1239</v>
      </c>
      <c r="F1289" s="396" t="s">
        <v>1313</v>
      </c>
    </row>
    <row r="1290" spans="1:6" ht="48">
      <c r="A1290" s="405" t="s">
        <v>2119</v>
      </c>
      <c r="B1290" s="384" t="s">
        <v>23</v>
      </c>
      <c r="C1290" s="384" t="s">
        <v>1277</v>
      </c>
      <c r="D1290" s="385" t="s">
        <v>2024</v>
      </c>
      <c r="E1290" s="390" t="s">
        <v>1239</v>
      </c>
      <c r="F1290" s="396" t="s">
        <v>1313</v>
      </c>
    </row>
    <row r="1291" spans="1:6" ht="48">
      <c r="A1291" s="405" t="s">
        <v>2119</v>
      </c>
      <c r="B1291" s="384" t="s">
        <v>23</v>
      </c>
      <c r="C1291" s="384" t="s">
        <v>1277</v>
      </c>
      <c r="D1291" s="385" t="s">
        <v>2023</v>
      </c>
      <c r="E1291" s="390" t="s">
        <v>1239</v>
      </c>
      <c r="F1291" s="396" t="s">
        <v>1313</v>
      </c>
    </row>
    <row r="1292" spans="1:6" ht="48">
      <c r="A1292" s="405" t="s">
        <v>2119</v>
      </c>
      <c r="B1292" s="384" t="s">
        <v>23</v>
      </c>
      <c r="C1292" s="384" t="s">
        <v>1277</v>
      </c>
      <c r="D1292" s="385" t="s">
        <v>2022</v>
      </c>
      <c r="E1292" s="390" t="s">
        <v>1239</v>
      </c>
      <c r="F1292" s="396" t="s">
        <v>1313</v>
      </c>
    </row>
    <row r="1293" spans="1:6" ht="48">
      <c r="A1293" s="405" t="s">
        <v>2118</v>
      </c>
      <c r="B1293" s="384" t="s">
        <v>23</v>
      </c>
      <c r="C1293" s="384" t="s">
        <v>1277</v>
      </c>
      <c r="D1293" s="385" t="s">
        <v>1979</v>
      </c>
      <c r="E1293" s="390" t="s">
        <v>1239</v>
      </c>
      <c r="F1293" s="396" t="s">
        <v>1313</v>
      </c>
    </row>
    <row r="1294" spans="1:6" ht="48">
      <c r="A1294" s="405" t="s">
        <v>2118</v>
      </c>
      <c r="B1294" s="384" t="s">
        <v>23</v>
      </c>
      <c r="C1294" s="384" t="s">
        <v>1277</v>
      </c>
      <c r="D1294" s="385" t="s">
        <v>1978</v>
      </c>
      <c r="E1294" s="390" t="s">
        <v>1239</v>
      </c>
      <c r="F1294" s="396" t="s">
        <v>1313</v>
      </c>
    </row>
    <row r="1295" spans="1:6" ht="48">
      <c r="A1295" s="405" t="s">
        <v>2118</v>
      </c>
      <c r="B1295" s="384" t="s">
        <v>23</v>
      </c>
      <c r="C1295" s="384" t="s">
        <v>1277</v>
      </c>
      <c r="D1295" s="385" t="s">
        <v>1977</v>
      </c>
      <c r="E1295" s="390" t="s">
        <v>1239</v>
      </c>
      <c r="F1295" s="396" t="s">
        <v>1313</v>
      </c>
    </row>
    <row r="1296" spans="1:6" ht="48">
      <c r="A1296" s="405" t="s">
        <v>2118</v>
      </c>
      <c r="B1296" s="384" t="s">
        <v>23</v>
      </c>
      <c r="C1296" s="384" t="s">
        <v>1277</v>
      </c>
      <c r="D1296" s="385" t="s">
        <v>1976</v>
      </c>
      <c r="E1296" s="390" t="s">
        <v>1239</v>
      </c>
      <c r="F1296" s="396" t="s">
        <v>1313</v>
      </c>
    </row>
    <row r="1297" spans="1:6" ht="48">
      <c r="A1297" s="405" t="s">
        <v>2118</v>
      </c>
      <c r="B1297" s="384" t="s">
        <v>23</v>
      </c>
      <c r="C1297" s="384" t="s">
        <v>1277</v>
      </c>
      <c r="D1297" s="385" t="s">
        <v>1975</v>
      </c>
      <c r="E1297" s="390" t="s">
        <v>1239</v>
      </c>
      <c r="F1297" s="396" t="s">
        <v>1313</v>
      </c>
    </row>
    <row r="1298" spans="1:6" ht="48">
      <c r="A1298" s="405" t="s">
        <v>2118</v>
      </c>
      <c r="B1298" s="384" t="s">
        <v>23</v>
      </c>
      <c r="C1298" s="384" t="s">
        <v>1277</v>
      </c>
      <c r="D1298" s="385" t="s">
        <v>1974</v>
      </c>
      <c r="E1298" s="390" t="s">
        <v>1239</v>
      </c>
      <c r="F1298" s="396" t="s">
        <v>1313</v>
      </c>
    </row>
    <row r="1299" spans="1:6" ht="72">
      <c r="A1299" s="405" t="s">
        <v>2117</v>
      </c>
      <c r="B1299" s="384" t="s">
        <v>88</v>
      </c>
      <c r="C1299" s="384" t="s">
        <v>1255</v>
      </c>
      <c r="D1299" s="385" t="s">
        <v>1564</v>
      </c>
      <c r="E1299" s="390" t="s">
        <v>1239</v>
      </c>
      <c r="F1299" s="396" t="s">
        <v>1313</v>
      </c>
    </row>
    <row r="1300" spans="1:6" ht="48">
      <c r="A1300" s="405" t="s">
        <v>2114</v>
      </c>
      <c r="B1300" s="384" t="s">
        <v>23</v>
      </c>
      <c r="C1300" s="384" t="s">
        <v>1277</v>
      </c>
      <c r="D1300" s="385" t="s">
        <v>2028</v>
      </c>
      <c r="E1300" s="390" t="s">
        <v>1239</v>
      </c>
      <c r="F1300" s="396" t="s">
        <v>1313</v>
      </c>
    </row>
    <row r="1301" spans="1:6" ht="48">
      <c r="A1301" s="405" t="s">
        <v>2114</v>
      </c>
      <c r="B1301" s="384" t="s">
        <v>23</v>
      </c>
      <c r="C1301" s="384" t="s">
        <v>1277</v>
      </c>
      <c r="D1301" s="385" t="s">
        <v>1946</v>
      </c>
      <c r="E1301" s="390" t="s">
        <v>1239</v>
      </c>
      <c r="F1301" s="396" t="s">
        <v>1313</v>
      </c>
    </row>
    <row r="1302" spans="1:6" ht="48">
      <c r="A1302" s="405" t="s">
        <v>2114</v>
      </c>
      <c r="B1302" s="384" t="s">
        <v>23</v>
      </c>
      <c r="C1302" s="384" t="s">
        <v>1277</v>
      </c>
      <c r="D1302" s="385" t="s">
        <v>1945</v>
      </c>
      <c r="E1302" s="390" t="s">
        <v>1239</v>
      </c>
      <c r="F1302" s="396" t="s">
        <v>1313</v>
      </c>
    </row>
    <row r="1303" spans="1:6" ht="48">
      <c r="A1303" s="405" t="s">
        <v>2114</v>
      </c>
      <c r="B1303" s="384" t="s">
        <v>23</v>
      </c>
      <c r="C1303" s="384" t="s">
        <v>1277</v>
      </c>
      <c r="D1303" s="385" t="s">
        <v>1944</v>
      </c>
      <c r="E1303" s="390" t="s">
        <v>1239</v>
      </c>
      <c r="F1303" s="396" t="s">
        <v>1313</v>
      </c>
    </row>
    <row r="1304" spans="1:6" ht="48">
      <c r="A1304" s="405" t="s">
        <v>2114</v>
      </c>
      <c r="B1304" s="384" t="s">
        <v>23</v>
      </c>
      <c r="C1304" s="384" t="s">
        <v>1277</v>
      </c>
      <c r="D1304" s="385" t="s">
        <v>1943</v>
      </c>
      <c r="E1304" s="390" t="s">
        <v>1239</v>
      </c>
      <c r="F1304" s="396" t="s">
        <v>1313</v>
      </c>
    </row>
    <row r="1305" spans="1:6" ht="48">
      <c r="A1305" s="405" t="s">
        <v>2114</v>
      </c>
      <c r="B1305" s="384" t="s">
        <v>23</v>
      </c>
      <c r="C1305" s="384" t="s">
        <v>1277</v>
      </c>
      <c r="D1305" s="385" t="s">
        <v>1942</v>
      </c>
      <c r="E1305" s="390" t="s">
        <v>1239</v>
      </c>
      <c r="F1305" s="396" t="s">
        <v>1313</v>
      </c>
    </row>
    <row r="1306" spans="1:6" ht="48">
      <c r="A1306" s="405" t="s">
        <v>2114</v>
      </c>
      <c r="B1306" s="384" t="s">
        <v>23</v>
      </c>
      <c r="C1306" s="384" t="s">
        <v>1277</v>
      </c>
      <c r="D1306" s="385" t="s">
        <v>2116</v>
      </c>
      <c r="E1306" s="390" t="s">
        <v>1239</v>
      </c>
      <c r="F1306" s="396" t="s">
        <v>1313</v>
      </c>
    </row>
    <row r="1307" spans="1:6" ht="48">
      <c r="A1307" s="405" t="s">
        <v>2114</v>
      </c>
      <c r="B1307" s="384" t="s">
        <v>23</v>
      </c>
      <c r="C1307" s="384" t="s">
        <v>1277</v>
      </c>
      <c r="D1307" s="385" t="s">
        <v>1941</v>
      </c>
      <c r="E1307" s="390" t="s">
        <v>1239</v>
      </c>
      <c r="F1307" s="396" t="s">
        <v>1313</v>
      </c>
    </row>
    <row r="1308" spans="1:6" ht="48">
      <c r="A1308" s="405" t="s">
        <v>2111</v>
      </c>
      <c r="B1308" s="384" t="s">
        <v>23</v>
      </c>
      <c r="C1308" s="384" t="s">
        <v>1277</v>
      </c>
      <c r="D1308" s="385" t="s">
        <v>1979</v>
      </c>
      <c r="E1308" s="390" t="s">
        <v>1239</v>
      </c>
      <c r="F1308" s="396" t="s">
        <v>1313</v>
      </c>
    </row>
    <row r="1309" spans="1:6" ht="48">
      <c r="A1309" s="405" t="s">
        <v>2111</v>
      </c>
      <c r="B1309" s="384" t="s">
        <v>23</v>
      </c>
      <c r="C1309" s="384" t="s">
        <v>1277</v>
      </c>
      <c r="D1309" s="385" t="s">
        <v>1978</v>
      </c>
      <c r="E1309" s="390" t="s">
        <v>1239</v>
      </c>
      <c r="F1309" s="396" t="s">
        <v>1313</v>
      </c>
    </row>
    <row r="1310" spans="1:6" ht="48">
      <c r="A1310" s="405" t="s">
        <v>2111</v>
      </c>
      <c r="B1310" s="384" t="s">
        <v>23</v>
      </c>
      <c r="C1310" s="384" t="s">
        <v>1277</v>
      </c>
      <c r="D1310" s="385" t="s">
        <v>1977</v>
      </c>
      <c r="E1310" s="390" t="s">
        <v>1239</v>
      </c>
      <c r="F1310" s="396" t="s">
        <v>1313</v>
      </c>
    </row>
    <row r="1311" spans="1:6" ht="48">
      <c r="A1311" s="405" t="s">
        <v>2111</v>
      </c>
      <c r="B1311" s="384" t="s">
        <v>23</v>
      </c>
      <c r="C1311" s="384" t="s">
        <v>1277</v>
      </c>
      <c r="D1311" s="385" t="s">
        <v>1976</v>
      </c>
      <c r="E1311" s="390" t="s">
        <v>1239</v>
      </c>
      <c r="F1311" s="396" t="s">
        <v>1313</v>
      </c>
    </row>
    <row r="1312" spans="1:6" ht="48">
      <c r="A1312" s="405" t="s">
        <v>2111</v>
      </c>
      <c r="B1312" s="384" t="s">
        <v>23</v>
      </c>
      <c r="C1312" s="384" t="s">
        <v>1277</v>
      </c>
      <c r="D1312" s="385" t="s">
        <v>1975</v>
      </c>
      <c r="E1312" s="390" t="s">
        <v>1239</v>
      </c>
      <c r="F1312" s="396" t="s">
        <v>1313</v>
      </c>
    </row>
    <row r="1313" spans="1:6" ht="48">
      <c r="A1313" s="405" t="s">
        <v>2111</v>
      </c>
      <c r="B1313" s="384" t="s">
        <v>23</v>
      </c>
      <c r="C1313" s="384" t="s">
        <v>1277</v>
      </c>
      <c r="D1313" s="385" t="s">
        <v>1974</v>
      </c>
      <c r="E1313" s="390" t="s">
        <v>1239</v>
      </c>
      <c r="F1313" s="396" t="s">
        <v>1313</v>
      </c>
    </row>
    <row r="1314" spans="1:6" ht="48">
      <c r="A1314" s="405" t="s">
        <v>2110</v>
      </c>
      <c r="B1314" s="384" t="s">
        <v>23</v>
      </c>
      <c r="C1314" s="384" t="s">
        <v>1277</v>
      </c>
      <c r="D1314" s="385" t="s">
        <v>2028</v>
      </c>
      <c r="E1314" s="390" t="s">
        <v>1239</v>
      </c>
      <c r="F1314" s="396" t="s">
        <v>1313</v>
      </c>
    </row>
    <row r="1315" spans="1:6" ht="48">
      <c r="A1315" s="405" t="s">
        <v>2110</v>
      </c>
      <c r="B1315" s="384" t="s">
        <v>23</v>
      </c>
      <c r="C1315" s="384" t="s">
        <v>1277</v>
      </c>
      <c r="D1315" s="385" t="s">
        <v>1946</v>
      </c>
      <c r="E1315" s="390" t="s">
        <v>1239</v>
      </c>
      <c r="F1315" s="396" t="s">
        <v>1313</v>
      </c>
    </row>
    <row r="1316" spans="1:6" ht="48">
      <c r="A1316" s="405" t="s">
        <v>2110</v>
      </c>
      <c r="B1316" s="384" t="s">
        <v>23</v>
      </c>
      <c r="C1316" s="384" t="s">
        <v>1277</v>
      </c>
      <c r="D1316" s="385" t="s">
        <v>1945</v>
      </c>
      <c r="E1316" s="390" t="s">
        <v>1239</v>
      </c>
      <c r="F1316" s="396" t="s">
        <v>1313</v>
      </c>
    </row>
    <row r="1317" spans="1:6" ht="48">
      <c r="A1317" s="405" t="s">
        <v>2110</v>
      </c>
      <c r="B1317" s="384" t="s">
        <v>23</v>
      </c>
      <c r="C1317" s="384" t="s">
        <v>1277</v>
      </c>
      <c r="D1317" s="385" t="s">
        <v>1944</v>
      </c>
      <c r="E1317" s="390" t="s">
        <v>1239</v>
      </c>
      <c r="F1317" s="396" t="s">
        <v>1313</v>
      </c>
    </row>
    <row r="1318" spans="1:6" ht="48">
      <c r="A1318" s="405" t="s">
        <v>2110</v>
      </c>
      <c r="B1318" s="384" t="s">
        <v>23</v>
      </c>
      <c r="C1318" s="384" t="s">
        <v>1277</v>
      </c>
      <c r="D1318" s="385" t="s">
        <v>1943</v>
      </c>
      <c r="E1318" s="390" t="s">
        <v>1239</v>
      </c>
      <c r="F1318" s="396" t="s">
        <v>1313</v>
      </c>
    </row>
    <row r="1319" spans="1:6" ht="48">
      <c r="A1319" s="405" t="s">
        <v>2110</v>
      </c>
      <c r="B1319" s="384" t="s">
        <v>23</v>
      </c>
      <c r="C1319" s="384" t="s">
        <v>1277</v>
      </c>
      <c r="D1319" s="385" t="s">
        <v>1942</v>
      </c>
      <c r="E1319" s="390" t="s">
        <v>1239</v>
      </c>
      <c r="F1319" s="396" t="s">
        <v>1313</v>
      </c>
    </row>
    <row r="1320" spans="1:6" ht="48">
      <c r="A1320" s="405" t="s">
        <v>2110</v>
      </c>
      <c r="B1320" s="384" t="s">
        <v>23</v>
      </c>
      <c r="C1320" s="384" t="s">
        <v>1277</v>
      </c>
      <c r="D1320" s="385" t="s">
        <v>1941</v>
      </c>
      <c r="E1320" s="390" t="s">
        <v>1239</v>
      </c>
      <c r="F1320" s="396" t="s">
        <v>1313</v>
      </c>
    </row>
    <row r="1321" spans="1:6" ht="72">
      <c r="A1321" s="405" t="s">
        <v>2108</v>
      </c>
      <c r="B1321" s="384" t="s">
        <v>88</v>
      </c>
      <c r="C1321" s="384" t="s">
        <v>1255</v>
      </c>
      <c r="D1321" s="385" t="s">
        <v>1565</v>
      </c>
      <c r="E1321" s="390" t="s">
        <v>1239</v>
      </c>
      <c r="F1321" s="396" t="s">
        <v>1313</v>
      </c>
    </row>
    <row r="1322" spans="1:6" ht="72">
      <c r="A1322" s="405" t="s">
        <v>2108</v>
      </c>
      <c r="B1322" s="384" t="s">
        <v>88</v>
      </c>
      <c r="C1322" s="384" t="s">
        <v>1255</v>
      </c>
      <c r="D1322" s="385" t="s">
        <v>1564</v>
      </c>
      <c r="E1322" s="390" t="s">
        <v>1239</v>
      </c>
      <c r="F1322" s="396" t="s">
        <v>1313</v>
      </c>
    </row>
    <row r="1323" spans="1:6" ht="72">
      <c r="A1323" s="405" t="s">
        <v>2108</v>
      </c>
      <c r="B1323" s="384" t="s">
        <v>88</v>
      </c>
      <c r="C1323" s="384" t="s">
        <v>1255</v>
      </c>
      <c r="D1323" s="385" t="s">
        <v>2109</v>
      </c>
      <c r="E1323" s="390" t="s">
        <v>1239</v>
      </c>
      <c r="F1323" s="396" t="s">
        <v>1313</v>
      </c>
    </row>
    <row r="1324" spans="1:6" ht="48">
      <c r="A1324" s="405" t="s">
        <v>2106</v>
      </c>
      <c r="B1324" s="384" t="s">
        <v>23</v>
      </c>
      <c r="C1324" s="384" t="s">
        <v>1277</v>
      </c>
      <c r="D1324" s="385" t="s">
        <v>2107</v>
      </c>
      <c r="E1324" s="390" t="s">
        <v>1239</v>
      </c>
      <c r="F1324" s="396" t="s">
        <v>1313</v>
      </c>
    </row>
    <row r="1325" spans="1:6" ht="48">
      <c r="A1325" s="405" t="s">
        <v>2106</v>
      </c>
      <c r="B1325" s="384" t="s">
        <v>23</v>
      </c>
      <c r="C1325" s="384" t="s">
        <v>1277</v>
      </c>
      <c r="D1325" s="385" t="s">
        <v>1979</v>
      </c>
      <c r="E1325" s="390" t="s">
        <v>1239</v>
      </c>
      <c r="F1325" s="396" t="s">
        <v>1313</v>
      </c>
    </row>
    <row r="1326" spans="1:6" ht="48">
      <c r="A1326" s="405" t="s">
        <v>2106</v>
      </c>
      <c r="B1326" s="384" t="s">
        <v>23</v>
      </c>
      <c r="C1326" s="384" t="s">
        <v>1277</v>
      </c>
      <c r="D1326" s="385" t="s">
        <v>1978</v>
      </c>
      <c r="E1326" s="390" t="s">
        <v>1239</v>
      </c>
      <c r="F1326" s="396" t="s">
        <v>1313</v>
      </c>
    </row>
    <row r="1327" spans="1:6" ht="48">
      <c r="A1327" s="405" t="s">
        <v>2106</v>
      </c>
      <c r="B1327" s="384" t="s">
        <v>23</v>
      </c>
      <c r="C1327" s="384" t="s">
        <v>1277</v>
      </c>
      <c r="D1327" s="385" t="s">
        <v>1977</v>
      </c>
      <c r="E1327" s="390" t="s">
        <v>1239</v>
      </c>
      <c r="F1327" s="396" t="s">
        <v>1313</v>
      </c>
    </row>
    <row r="1328" spans="1:6" ht="48">
      <c r="A1328" s="405" t="s">
        <v>2106</v>
      </c>
      <c r="B1328" s="384" t="s">
        <v>23</v>
      </c>
      <c r="C1328" s="384" t="s">
        <v>1277</v>
      </c>
      <c r="D1328" s="385" t="s">
        <v>1976</v>
      </c>
      <c r="E1328" s="390" t="s">
        <v>1239</v>
      </c>
      <c r="F1328" s="396" t="s">
        <v>1313</v>
      </c>
    </row>
    <row r="1329" spans="1:6" ht="48">
      <c r="A1329" s="405" t="s">
        <v>2106</v>
      </c>
      <c r="B1329" s="384" t="s">
        <v>23</v>
      </c>
      <c r="C1329" s="384" t="s">
        <v>1277</v>
      </c>
      <c r="D1329" s="385" t="s">
        <v>1975</v>
      </c>
      <c r="E1329" s="390" t="s">
        <v>1239</v>
      </c>
      <c r="F1329" s="396" t="s">
        <v>1313</v>
      </c>
    </row>
    <row r="1330" spans="1:6" ht="48">
      <c r="A1330" s="405" t="s">
        <v>2106</v>
      </c>
      <c r="B1330" s="384" t="s">
        <v>23</v>
      </c>
      <c r="C1330" s="384" t="s">
        <v>1277</v>
      </c>
      <c r="D1330" s="385" t="s">
        <v>1974</v>
      </c>
      <c r="E1330" s="390" t="s">
        <v>1239</v>
      </c>
      <c r="F1330" s="396" t="s">
        <v>1313</v>
      </c>
    </row>
    <row r="1331" spans="1:6" ht="48">
      <c r="A1331" s="405" t="s">
        <v>2105</v>
      </c>
      <c r="B1331" s="384" t="s">
        <v>23</v>
      </c>
      <c r="C1331" s="384" t="s">
        <v>1277</v>
      </c>
      <c r="D1331" s="385" t="s">
        <v>2028</v>
      </c>
      <c r="E1331" s="390" t="s">
        <v>1239</v>
      </c>
      <c r="F1331" s="396" t="s">
        <v>1313</v>
      </c>
    </row>
    <row r="1332" spans="1:6" ht="48">
      <c r="A1332" s="405" t="s">
        <v>2105</v>
      </c>
      <c r="B1332" s="384" t="s">
        <v>23</v>
      </c>
      <c r="C1332" s="384" t="s">
        <v>1277</v>
      </c>
      <c r="D1332" s="385" t="s">
        <v>1946</v>
      </c>
      <c r="E1332" s="390" t="s">
        <v>1239</v>
      </c>
      <c r="F1332" s="396" t="s">
        <v>1313</v>
      </c>
    </row>
    <row r="1333" spans="1:6" ht="48">
      <c r="A1333" s="405" t="s">
        <v>2105</v>
      </c>
      <c r="B1333" s="384" t="s">
        <v>23</v>
      </c>
      <c r="C1333" s="384" t="s">
        <v>1277</v>
      </c>
      <c r="D1333" s="385" t="s">
        <v>1945</v>
      </c>
      <c r="E1333" s="390" t="s">
        <v>1239</v>
      </c>
      <c r="F1333" s="396" t="s">
        <v>1313</v>
      </c>
    </row>
    <row r="1334" spans="1:6" ht="48">
      <c r="A1334" s="405" t="s">
        <v>2105</v>
      </c>
      <c r="B1334" s="384" t="s">
        <v>23</v>
      </c>
      <c r="C1334" s="384" t="s">
        <v>1277</v>
      </c>
      <c r="D1334" s="385" t="s">
        <v>1944</v>
      </c>
      <c r="E1334" s="390" t="s">
        <v>1239</v>
      </c>
      <c r="F1334" s="396" t="s">
        <v>1313</v>
      </c>
    </row>
    <row r="1335" spans="1:6" ht="48">
      <c r="A1335" s="405" t="s">
        <v>2105</v>
      </c>
      <c r="B1335" s="384" t="s">
        <v>23</v>
      </c>
      <c r="C1335" s="384" t="s">
        <v>1277</v>
      </c>
      <c r="D1335" s="385" t="s">
        <v>1943</v>
      </c>
      <c r="E1335" s="390" t="s">
        <v>1239</v>
      </c>
      <c r="F1335" s="396" t="s">
        <v>1313</v>
      </c>
    </row>
    <row r="1336" spans="1:6" ht="48">
      <c r="A1336" s="405" t="s">
        <v>2105</v>
      </c>
      <c r="B1336" s="384" t="s">
        <v>23</v>
      </c>
      <c r="C1336" s="384" t="s">
        <v>1277</v>
      </c>
      <c r="D1336" s="385" t="s">
        <v>1942</v>
      </c>
      <c r="E1336" s="390" t="s">
        <v>1239</v>
      </c>
      <c r="F1336" s="396" t="s">
        <v>1313</v>
      </c>
    </row>
    <row r="1337" spans="1:6" ht="72">
      <c r="A1337" s="405" t="s">
        <v>2104</v>
      </c>
      <c r="B1337" s="384" t="s">
        <v>88</v>
      </c>
      <c r="C1337" s="384" t="s">
        <v>1255</v>
      </c>
      <c r="D1337" s="385" t="s">
        <v>1565</v>
      </c>
      <c r="E1337" s="390" t="s">
        <v>1239</v>
      </c>
      <c r="F1337" s="396" t="s">
        <v>1313</v>
      </c>
    </row>
    <row r="1338" spans="1:6" ht="72">
      <c r="A1338" s="405" t="s">
        <v>2104</v>
      </c>
      <c r="B1338" s="384" t="s">
        <v>88</v>
      </c>
      <c r="C1338" s="384" t="s">
        <v>1255</v>
      </c>
      <c r="D1338" s="385" t="s">
        <v>1564</v>
      </c>
      <c r="E1338" s="390" t="s">
        <v>1239</v>
      </c>
      <c r="F1338" s="396" t="s">
        <v>1313</v>
      </c>
    </row>
    <row r="1339" spans="1:6" ht="72">
      <c r="A1339" s="405" t="s">
        <v>2101</v>
      </c>
      <c r="B1339" s="384" t="s">
        <v>88</v>
      </c>
      <c r="C1339" s="384" t="s">
        <v>1277</v>
      </c>
      <c r="D1339" s="385" t="s">
        <v>2102</v>
      </c>
      <c r="E1339" s="390" t="s">
        <v>1239</v>
      </c>
      <c r="F1339" s="396" t="s">
        <v>1313</v>
      </c>
    </row>
    <row r="1340" spans="1:6" ht="48">
      <c r="A1340" s="405" t="s">
        <v>2095</v>
      </c>
      <c r="B1340" s="384" t="s">
        <v>23</v>
      </c>
      <c r="C1340" s="384" t="s">
        <v>1277</v>
      </c>
      <c r="D1340" s="385" t="s">
        <v>2097</v>
      </c>
      <c r="E1340" s="390" t="s">
        <v>1239</v>
      </c>
      <c r="F1340" s="396" t="s">
        <v>1313</v>
      </c>
    </row>
    <row r="1341" spans="1:6" ht="48">
      <c r="A1341" s="405" t="s">
        <v>2095</v>
      </c>
      <c r="B1341" s="384" t="s">
        <v>23</v>
      </c>
      <c r="C1341" s="384" t="s">
        <v>1277</v>
      </c>
      <c r="D1341" s="385" t="s">
        <v>2096</v>
      </c>
      <c r="E1341" s="390" t="s">
        <v>1239</v>
      </c>
      <c r="F1341" s="396" t="s">
        <v>1313</v>
      </c>
    </row>
    <row r="1342" spans="1:6" ht="48">
      <c r="A1342" s="405" t="s">
        <v>2078</v>
      </c>
      <c r="B1342" s="384" t="s">
        <v>23</v>
      </c>
      <c r="C1342" s="384" t="s">
        <v>1277</v>
      </c>
      <c r="D1342" s="385" t="s">
        <v>1941</v>
      </c>
      <c r="E1342" s="390" t="s">
        <v>1239</v>
      </c>
      <c r="F1342" s="396" t="s">
        <v>1313</v>
      </c>
    </row>
    <row r="1343" spans="1:6" ht="48">
      <c r="A1343" s="405" t="s">
        <v>2078</v>
      </c>
      <c r="B1343" s="384" t="s">
        <v>23</v>
      </c>
      <c r="C1343" s="384" t="s">
        <v>1277</v>
      </c>
      <c r="D1343" s="385" t="s">
        <v>2090</v>
      </c>
      <c r="E1343" s="390" t="s">
        <v>1239</v>
      </c>
      <c r="F1343" s="396" t="s">
        <v>1313</v>
      </c>
    </row>
    <row r="1344" spans="1:6" ht="48">
      <c r="A1344" s="405" t="s">
        <v>2078</v>
      </c>
      <c r="B1344" s="384" t="s">
        <v>23</v>
      </c>
      <c r="C1344" s="384" t="s">
        <v>1277</v>
      </c>
      <c r="D1344" s="385" t="s">
        <v>2089</v>
      </c>
      <c r="E1344" s="390" t="s">
        <v>1239</v>
      </c>
      <c r="F1344" s="396" t="s">
        <v>1313</v>
      </c>
    </row>
    <row r="1345" spans="1:6" ht="48">
      <c r="A1345" s="405" t="s">
        <v>2078</v>
      </c>
      <c r="B1345" s="384" t="s">
        <v>23</v>
      </c>
      <c r="C1345" s="384" t="s">
        <v>1277</v>
      </c>
      <c r="D1345" s="385" t="s">
        <v>2088</v>
      </c>
      <c r="E1345" s="390" t="s">
        <v>1239</v>
      </c>
      <c r="F1345" s="396" t="s">
        <v>1313</v>
      </c>
    </row>
    <row r="1346" spans="1:6" ht="48">
      <c r="A1346" s="405" t="s">
        <v>2078</v>
      </c>
      <c r="B1346" s="384" t="s">
        <v>23</v>
      </c>
      <c r="C1346" s="384" t="s">
        <v>1277</v>
      </c>
      <c r="D1346" s="385" t="s">
        <v>2087</v>
      </c>
      <c r="E1346" s="390" t="s">
        <v>1239</v>
      </c>
      <c r="F1346" s="396" t="s">
        <v>1313</v>
      </c>
    </row>
    <row r="1347" spans="1:6" ht="48">
      <c r="A1347" s="405" t="s">
        <v>2078</v>
      </c>
      <c r="B1347" s="384" t="s">
        <v>23</v>
      </c>
      <c r="C1347" s="384" t="s">
        <v>1277</v>
      </c>
      <c r="D1347" s="385" t="s">
        <v>2086</v>
      </c>
      <c r="E1347" s="390" t="s">
        <v>1239</v>
      </c>
      <c r="F1347" s="396" t="s">
        <v>1313</v>
      </c>
    </row>
    <row r="1348" spans="1:6" ht="48">
      <c r="A1348" s="405" t="s">
        <v>2078</v>
      </c>
      <c r="B1348" s="384" t="s">
        <v>23</v>
      </c>
      <c r="C1348" s="384" t="s">
        <v>1277</v>
      </c>
      <c r="D1348" s="385" t="s">
        <v>2085</v>
      </c>
      <c r="E1348" s="390" t="s">
        <v>1239</v>
      </c>
      <c r="F1348" s="396" t="s">
        <v>1313</v>
      </c>
    </row>
    <row r="1349" spans="1:6" ht="48">
      <c r="A1349" s="405" t="s">
        <v>2078</v>
      </c>
      <c r="B1349" s="384" t="s">
        <v>23</v>
      </c>
      <c r="C1349" s="384" t="s">
        <v>1277</v>
      </c>
      <c r="D1349" s="385" t="s">
        <v>2084</v>
      </c>
      <c r="E1349" s="390" t="s">
        <v>1239</v>
      </c>
      <c r="F1349" s="396" t="s">
        <v>1313</v>
      </c>
    </row>
    <row r="1350" spans="1:6" ht="48">
      <c r="A1350" s="405" t="s">
        <v>2078</v>
      </c>
      <c r="B1350" s="384" t="s">
        <v>23</v>
      </c>
      <c r="C1350" s="384" t="s">
        <v>1277</v>
      </c>
      <c r="D1350" s="385" t="s">
        <v>2083</v>
      </c>
      <c r="E1350" s="390" t="s">
        <v>1239</v>
      </c>
      <c r="F1350" s="396" t="s">
        <v>1313</v>
      </c>
    </row>
    <row r="1351" spans="1:6" ht="48">
      <c r="A1351" s="405" t="s">
        <v>2078</v>
      </c>
      <c r="B1351" s="384" t="s">
        <v>23</v>
      </c>
      <c r="C1351" s="384" t="s">
        <v>1277</v>
      </c>
      <c r="D1351" s="385" t="s">
        <v>2082</v>
      </c>
      <c r="E1351" s="390" t="s">
        <v>1239</v>
      </c>
      <c r="F1351" s="396" t="s">
        <v>1313</v>
      </c>
    </row>
    <row r="1352" spans="1:6" ht="48">
      <c r="A1352" s="405" t="s">
        <v>2078</v>
      </c>
      <c r="B1352" s="384" t="s">
        <v>23</v>
      </c>
      <c r="C1352" s="384" t="s">
        <v>1277</v>
      </c>
      <c r="D1352" s="385" t="s">
        <v>2081</v>
      </c>
      <c r="E1352" s="390" t="s">
        <v>1239</v>
      </c>
      <c r="F1352" s="396" t="s">
        <v>1313</v>
      </c>
    </row>
    <row r="1353" spans="1:6" ht="48">
      <c r="A1353" s="405" t="s">
        <v>2078</v>
      </c>
      <c r="B1353" s="384" t="s">
        <v>23</v>
      </c>
      <c r="C1353" s="384" t="s">
        <v>1277</v>
      </c>
      <c r="D1353" s="385" t="s">
        <v>2080</v>
      </c>
      <c r="E1353" s="390" t="s">
        <v>1239</v>
      </c>
      <c r="F1353" s="396" t="s">
        <v>1313</v>
      </c>
    </row>
    <row r="1354" spans="1:6" ht="48">
      <c r="A1354" s="405" t="s">
        <v>2078</v>
      </c>
      <c r="B1354" s="384" t="s">
        <v>23</v>
      </c>
      <c r="C1354" s="384" t="s">
        <v>1277</v>
      </c>
      <c r="D1354" s="385" t="s">
        <v>2079</v>
      </c>
      <c r="E1354" s="390" t="s">
        <v>1239</v>
      </c>
      <c r="F1354" s="396" t="s">
        <v>1313</v>
      </c>
    </row>
    <row r="1355" spans="1:6" ht="48">
      <c r="A1355" s="405" t="s">
        <v>2053</v>
      </c>
      <c r="B1355" s="384" t="s">
        <v>23</v>
      </c>
      <c r="C1355" s="384" t="s">
        <v>1277</v>
      </c>
      <c r="D1355" s="385" t="s">
        <v>1992</v>
      </c>
      <c r="E1355" s="390" t="s">
        <v>1239</v>
      </c>
      <c r="F1355" s="396" t="s">
        <v>1313</v>
      </c>
    </row>
    <row r="1356" spans="1:6" ht="48">
      <c r="A1356" s="405" t="s">
        <v>2053</v>
      </c>
      <c r="B1356" s="384" t="s">
        <v>23</v>
      </c>
      <c r="C1356" s="384" t="s">
        <v>1277</v>
      </c>
      <c r="D1356" s="385" t="s">
        <v>1991</v>
      </c>
      <c r="E1356" s="390" t="s">
        <v>1239</v>
      </c>
      <c r="F1356" s="396" t="s">
        <v>1313</v>
      </c>
    </row>
    <row r="1357" spans="1:6" ht="48">
      <c r="A1357" s="405" t="s">
        <v>2053</v>
      </c>
      <c r="B1357" s="384" t="s">
        <v>23</v>
      </c>
      <c r="C1357" s="384" t="s">
        <v>1277</v>
      </c>
      <c r="D1357" s="385" t="s">
        <v>1990</v>
      </c>
      <c r="E1357" s="390" t="s">
        <v>1239</v>
      </c>
      <c r="F1357" s="396" t="s">
        <v>1313</v>
      </c>
    </row>
    <row r="1358" spans="1:6" ht="48">
      <c r="A1358" s="405" t="s">
        <v>2053</v>
      </c>
      <c r="B1358" s="384" t="s">
        <v>23</v>
      </c>
      <c r="C1358" s="384" t="s">
        <v>1277</v>
      </c>
      <c r="D1358" s="385" t="s">
        <v>1989</v>
      </c>
      <c r="E1358" s="390" t="s">
        <v>1239</v>
      </c>
      <c r="F1358" s="396" t="s">
        <v>1313</v>
      </c>
    </row>
    <row r="1359" spans="1:6" ht="48">
      <c r="A1359" s="405" t="s">
        <v>2053</v>
      </c>
      <c r="B1359" s="384" t="s">
        <v>23</v>
      </c>
      <c r="C1359" s="384" t="s">
        <v>1277</v>
      </c>
      <c r="D1359" s="385" t="s">
        <v>1988</v>
      </c>
      <c r="E1359" s="390" t="s">
        <v>1239</v>
      </c>
      <c r="F1359" s="396" t="s">
        <v>1313</v>
      </c>
    </row>
    <row r="1360" spans="1:6" ht="48">
      <c r="A1360" s="405" t="s">
        <v>2053</v>
      </c>
      <c r="B1360" s="384" t="s">
        <v>23</v>
      </c>
      <c r="C1360" s="384" t="s">
        <v>1277</v>
      </c>
      <c r="D1360" s="385" t="s">
        <v>1987</v>
      </c>
      <c r="E1360" s="390" t="s">
        <v>1239</v>
      </c>
      <c r="F1360" s="396" t="s">
        <v>1313</v>
      </c>
    </row>
    <row r="1361" spans="1:6" ht="48">
      <c r="A1361" s="405" t="s">
        <v>2053</v>
      </c>
      <c r="B1361" s="384" t="s">
        <v>23</v>
      </c>
      <c r="C1361" s="384" t="s">
        <v>1277</v>
      </c>
      <c r="D1361" s="385" t="s">
        <v>1986</v>
      </c>
      <c r="E1361" s="390" t="s">
        <v>1239</v>
      </c>
      <c r="F1361" s="396" t="s">
        <v>1313</v>
      </c>
    </row>
    <row r="1362" spans="1:6" ht="48">
      <c r="A1362" s="405" t="s">
        <v>2053</v>
      </c>
      <c r="B1362" s="384" t="s">
        <v>23</v>
      </c>
      <c r="C1362" s="384" t="s">
        <v>1277</v>
      </c>
      <c r="D1362" s="385" t="s">
        <v>1985</v>
      </c>
      <c r="E1362" s="390" t="s">
        <v>1239</v>
      </c>
      <c r="F1362" s="396" t="s">
        <v>1313</v>
      </c>
    </row>
    <row r="1363" spans="1:6" ht="48">
      <c r="A1363" s="405" t="s">
        <v>2053</v>
      </c>
      <c r="B1363" s="384" t="s">
        <v>23</v>
      </c>
      <c r="C1363" s="384" t="s">
        <v>1277</v>
      </c>
      <c r="D1363" s="385" t="s">
        <v>1984</v>
      </c>
      <c r="E1363" s="390" t="s">
        <v>1239</v>
      </c>
      <c r="F1363" s="396" t="s">
        <v>1313</v>
      </c>
    </row>
    <row r="1364" spans="1:6" ht="48">
      <c r="A1364" s="405" t="s">
        <v>2053</v>
      </c>
      <c r="B1364" s="384" t="s">
        <v>23</v>
      </c>
      <c r="C1364" s="384" t="s">
        <v>1277</v>
      </c>
      <c r="D1364" s="385" t="s">
        <v>1983</v>
      </c>
      <c r="E1364" s="390" t="s">
        <v>1239</v>
      </c>
      <c r="F1364" s="396" t="s">
        <v>1313</v>
      </c>
    </row>
    <row r="1365" spans="1:6" ht="48">
      <c r="A1365" s="405" t="s">
        <v>2053</v>
      </c>
      <c r="B1365" s="384" t="s">
        <v>23</v>
      </c>
      <c r="C1365" s="384" t="s">
        <v>1277</v>
      </c>
      <c r="D1365" s="385" t="s">
        <v>1982</v>
      </c>
      <c r="E1365" s="390" t="s">
        <v>1239</v>
      </c>
      <c r="F1365" s="396" t="s">
        <v>1313</v>
      </c>
    </row>
    <row r="1366" spans="1:6" ht="48">
      <c r="A1366" s="405" t="s">
        <v>2053</v>
      </c>
      <c r="B1366" s="384" t="s">
        <v>23</v>
      </c>
      <c r="C1366" s="384" t="s">
        <v>1277</v>
      </c>
      <c r="D1366" s="385" t="s">
        <v>1981</v>
      </c>
      <c r="E1366" s="390" t="s">
        <v>1239</v>
      </c>
      <c r="F1366" s="396" t="s">
        <v>1313</v>
      </c>
    </row>
    <row r="1367" spans="1:6" ht="48">
      <c r="A1367" s="405" t="s">
        <v>2053</v>
      </c>
      <c r="B1367" s="384" t="s">
        <v>23</v>
      </c>
      <c r="C1367" s="384" t="s">
        <v>1277</v>
      </c>
      <c r="D1367" s="385" t="s">
        <v>1980</v>
      </c>
      <c r="E1367" s="390" t="s">
        <v>1239</v>
      </c>
      <c r="F1367" s="396" t="s">
        <v>1313</v>
      </c>
    </row>
    <row r="1368" spans="1:6" ht="48">
      <c r="A1368" s="405" t="s">
        <v>2053</v>
      </c>
      <c r="B1368" s="384" t="s">
        <v>23</v>
      </c>
      <c r="C1368" s="384" t="s">
        <v>1277</v>
      </c>
      <c r="D1368" s="385" t="s">
        <v>1979</v>
      </c>
      <c r="E1368" s="390" t="s">
        <v>1239</v>
      </c>
      <c r="F1368" s="396" t="s">
        <v>1313</v>
      </c>
    </row>
    <row r="1369" spans="1:6" ht="48">
      <c r="A1369" s="405" t="s">
        <v>2053</v>
      </c>
      <c r="B1369" s="384" t="s">
        <v>23</v>
      </c>
      <c r="C1369" s="384" t="s">
        <v>1277</v>
      </c>
      <c r="D1369" s="385" t="s">
        <v>1978</v>
      </c>
      <c r="E1369" s="390" t="s">
        <v>1239</v>
      </c>
      <c r="F1369" s="396" t="s">
        <v>1313</v>
      </c>
    </row>
    <row r="1370" spans="1:6" ht="48">
      <c r="A1370" s="405" t="s">
        <v>2053</v>
      </c>
      <c r="B1370" s="384" t="s">
        <v>23</v>
      </c>
      <c r="C1370" s="384" t="s">
        <v>1277</v>
      </c>
      <c r="D1370" s="385" t="s">
        <v>1977</v>
      </c>
      <c r="E1370" s="390" t="s">
        <v>1239</v>
      </c>
      <c r="F1370" s="396" t="s">
        <v>1313</v>
      </c>
    </row>
    <row r="1371" spans="1:6" ht="48">
      <c r="A1371" s="405" t="s">
        <v>2053</v>
      </c>
      <c r="B1371" s="384" t="s">
        <v>23</v>
      </c>
      <c r="C1371" s="384" t="s">
        <v>1277</v>
      </c>
      <c r="D1371" s="385" t="s">
        <v>1976</v>
      </c>
      <c r="E1371" s="390" t="s">
        <v>1239</v>
      </c>
      <c r="F1371" s="396" t="s">
        <v>1313</v>
      </c>
    </row>
    <row r="1372" spans="1:6" ht="48">
      <c r="A1372" s="405" t="s">
        <v>2053</v>
      </c>
      <c r="B1372" s="384" t="s">
        <v>23</v>
      </c>
      <c r="C1372" s="384" t="s">
        <v>1277</v>
      </c>
      <c r="D1372" s="385" t="s">
        <v>1975</v>
      </c>
      <c r="E1372" s="390" t="s">
        <v>1239</v>
      </c>
      <c r="F1372" s="396" t="s">
        <v>1313</v>
      </c>
    </row>
    <row r="1373" spans="1:6" ht="48">
      <c r="A1373" s="405" t="s">
        <v>2053</v>
      </c>
      <c r="B1373" s="384" t="s">
        <v>23</v>
      </c>
      <c r="C1373" s="384" t="s">
        <v>1277</v>
      </c>
      <c r="D1373" s="385" t="s">
        <v>1974</v>
      </c>
      <c r="E1373" s="390" t="s">
        <v>1239</v>
      </c>
      <c r="F1373" s="396" t="s">
        <v>1313</v>
      </c>
    </row>
    <row r="1374" spans="1:6" ht="48">
      <c r="A1374" s="405" t="s">
        <v>2053</v>
      </c>
      <c r="B1374" s="384" t="s">
        <v>23</v>
      </c>
      <c r="C1374" s="384" t="s">
        <v>1277</v>
      </c>
      <c r="D1374" s="385" t="s">
        <v>2051</v>
      </c>
      <c r="E1374" s="390" t="s">
        <v>1239</v>
      </c>
      <c r="F1374" s="396" t="s">
        <v>1313</v>
      </c>
    </row>
    <row r="1375" spans="1:6" ht="48">
      <c r="A1375" s="405" t="s">
        <v>2053</v>
      </c>
      <c r="B1375" s="384" t="s">
        <v>23</v>
      </c>
      <c r="C1375" s="384" t="s">
        <v>1277</v>
      </c>
      <c r="D1375" s="385" t="s">
        <v>2050</v>
      </c>
      <c r="E1375" s="390" t="s">
        <v>1239</v>
      </c>
      <c r="F1375" s="396" t="s">
        <v>1313</v>
      </c>
    </row>
    <row r="1376" spans="1:6" ht="48">
      <c r="A1376" s="405" t="s">
        <v>2053</v>
      </c>
      <c r="B1376" s="384" t="s">
        <v>23</v>
      </c>
      <c r="C1376" s="384" t="s">
        <v>1277</v>
      </c>
      <c r="D1376" s="385" t="s">
        <v>2032</v>
      </c>
      <c r="E1376" s="390" t="s">
        <v>1239</v>
      </c>
      <c r="F1376" s="396" t="s">
        <v>1313</v>
      </c>
    </row>
    <row r="1377" spans="1:6" ht="48">
      <c r="A1377" s="405" t="s">
        <v>2053</v>
      </c>
      <c r="B1377" s="384" t="s">
        <v>23</v>
      </c>
      <c r="C1377" s="384" t="s">
        <v>1277</v>
      </c>
      <c r="D1377" s="385" t="s">
        <v>2031</v>
      </c>
      <c r="E1377" s="390" t="s">
        <v>1239</v>
      </c>
      <c r="F1377" s="396" t="s">
        <v>1313</v>
      </c>
    </row>
    <row r="1378" spans="1:6" ht="48">
      <c r="A1378" s="405" t="s">
        <v>2053</v>
      </c>
      <c r="B1378" s="384" t="s">
        <v>23</v>
      </c>
      <c r="C1378" s="384" t="s">
        <v>1277</v>
      </c>
      <c r="D1378" s="385" t="s">
        <v>2030</v>
      </c>
      <c r="E1378" s="390" t="s">
        <v>1239</v>
      </c>
      <c r="F1378" s="396" t="s">
        <v>1313</v>
      </c>
    </row>
    <row r="1379" spans="1:6" ht="48">
      <c r="A1379" s="405" t="s">
        <v>2053</v>
      </c>
      <c r="B1379" s="384" t="s">
        <v>23</v>
      </c>
      <c r="C1379" s="384" t="s">
        <v>1277</v>
      </c>
      <c r="D1379" s="385" t="s">
        <v>2029</v>
      </c>
      <c r="E1379" s="390" t="s">
        <v>1239</v>
      </c>
      <c r="F1379" s="396" t="s">
        <v>1313</v>
      </c>
    </row>
    <row r="1380" spans="1:6" ht="48">
      <c r="A1380" s="405" t="s">
        <v>2053</v>
      </c>
      <c r="B1380" s="384" t="s">
        <v>23</v>
      </c>
      <c r="C1380" s="384" t="s">
        <v>1277</v>
      </c>
      <c r="D1380" s="385" t="s">
        <v>2028</v>
      </c>
      <c r="E1380" s="390" t="s">
        <v>1239</v>
      </c>
      <c r="F1380" s="396" t="s">
        <v>1313</v>
      </c>
    </row>
    <row r="1381" spans="1:6" ht="48">
      <c r="A1381" s="405" t="s">
        <v>2053</v>
      </c>
      <c r="B1381" s="384" t="s">
        <v>23</v>
      </c>
      <c r="C1381" s="384" t="s">
        <v>1277</v>
      </c>
      <c r="D1381" s="385" t="s">
        <v>1946</v>
      </c>
      <c r="E1381" s="390" t="s">
        <v>1239</v>
      </c>
      <c r="F1381" s="396" t="s">
        <v>1313</v>
      </c>
    </row>
    <row r="1382" spans="1:6" ht="48">
      <c r="A1382" s="405" t="s">
        <v>2053</v>
      </c>
      <c r="B1382" s="384" t="s">
        <v>23</v>
      </c>
      <c r="C1382" s="384" t="s">
        <v>1277</v>
      </c>
      <c r="D1382" s="385" t="s">
        <v>1945</v>
      </c>
      <c r="E1382" s="390" t="s">
        <v>1239</v>
      </c>
      <c r="F1382" s="396" t="s">
        <v>1313</v>
      </c>
    </row>
    <row r="1383" spans="1:6" ht="48">
      <c r="A1383" s="405" t="s">
        <v>2053</v>
      </c>
      <c r="B1383" s="384" t="s">
        <v>23</v>
      </c>
      <c r="C1383" s="384" t="s">
        <v>1277</v>
      </c>
      <c r="D1383" s="385" t="s">
        <v>1944</v>
      </c>
      <c r="E1383" s="390" t="s">
        <v>1239</v>
      </c>
      <c r="F1383" s="396" t="s">
        <v>1313</v>
      </c>
    </row>
    <row r="1384" spans="1:6" ht="48">
      <c r="A1384" s="405" t="s">
        <v>2053</v>
      </c>
      <c r="B1384" s="384" t="s">
        <v>23</v>
      </c>
      <c r="C1384" s="384" t="s">
        <v>1277</v>
      </c>
      <c r="D1384" s="385" t="s">
        <v>1943</v>
      </c>
      <c r="E1384" s="390" t="s">
        <v>1239</v>
      </c>
      <c r="F1384" s="396" t="s">
        <v>1313</v>
      </c>
    </row>
    <row r="1385" spans="1:6" ht="48">
      <c r="A1385" s="405" t="s">
        <v>2053</v>
      </c>
      <c r="B1385" s="384" t="s">
        <v>23</v>
      </c>
      <c r="C1385" s="384" t="s">
        <v>1277</v>
      </c>
      <c r="D1385" s="385" t="s">
        <v>1942</v>
      </c>
      <c r="E1385" s="390" t="s">
        <v>1239</v>
      </c>
      <c r="F1385" s="396" t="s">
        <v>1313</v>
      </c>
    </row>
    <row r="1386" spans="1:6" ht="48">
      <c r="A1386" s="405" t="s">
        <v>2053</v>
      </c>
      <c r="B1386" s="384" t="s">
        <v>23</v>
      </c>
      <c r="C1386" s="384" t="s">
        <v>1277</v>
      </c>
      <c r="D1386" s="385" t="s">
        <v>1941</v>
      </c>
      <c r="E1386" s="390" t="s">
        <v>1239</v>
      </c>
      <c r="F1386" s="396" t="s">
        <v>1313</v>
      </c>
    </row>
    <row r="1387" spans="1:6" ht="48">
      <c r="A1387" s="405" t="s">
        <v>2053</v>
      </c>
      <c r="B1387" s="384" t="s">
        <v>23</v>
      </c>
      <c r="C1387" s="384" t="s">
        <v>1277</v>
      </c>
      <c r="D1387" s="385" t="s">
        <v>1940</v>
      </c>
      <c r="E1387" s="390" t="s">
        <v>1239</v>
      </c>
      <c r="F1387" s="396" t="s">
        <v>1313</v>
      </c>
    </row>
    <row r="1388" spans="1:6" ht="48">
      <c r="A1388" s="405" t="s">
        <v>2053</v>
      </c>
      <c r="B1388" s="384" t="s">
        <v>23</v>
      </c>
      <c r="C1388" s="384" t="s">
        <v>1277</v>
      </c>
      <c r="D1388" s="385" t="s">
        <v>2027</v>
      </c>
      <c r="E1388" s="390" t="s">
        <v>1239</v>
      </c>
      <c r="F1388" s="396" t="s">
        <v>1313</v>
      </c>
    </row>
    <row r="1389" spans="1:6" ht="48">
      <c r="A1389" s="405" t="s">
        <v>2053</v>
      </c>
      <c r="B1389" s="384" t="s">
        <v>23</v>
      </c>
      <c r="C1389" s="384" t="s">
        <v>1277</v>
      </c>
      <c r="D1389" s="385" t="s">
        <v>2026</v>
      </c>
      <c r="E1389" s="390" t="s">
        <v>1239</v>
      </c>
      <c r="F1389" s="396" t="s">
        <v>1313</v>
      </c>
    </row>
    <row r="1390" spans="1:6" ht="48">
      <c r="A1390" s="405" t="s">
        <v>2053</v>
      </c>
      <c r="B1390" s="384" t="s">
        <v>23</v>
      </c>
      <c r="C1390" s="384" t="s">
        <v>1277</v>
      </c>
      <c r="D1390" s="385" t="s">
        <v>2025</v>
      </c>
      <c r="E1390" s="390" t="s">
        <v>1239</v>
      </c>
      <c r="F1390" s="396" t="s">
        <v>1313</v>
      </c>
    </row>
    <row r="1391" spans="1:6" ht="48">
      <c r="A1391" s="405" t="s">
        <v>2053</v>
      </c>
      <c r="B1391" s="384" t="s">
        <v>23</v>
      </c>
      <c r="C1391" s="384" t="s">
        <v>1277</v>
      </c>
      <c r="D1391" s="385" t="s">
        <v>2024</v>
      </c>
      <c r="E1391" s="390" t="s">
        <v>1239</v>
      </c>
      <c r="F1391" s="396" t="s">
        <v>1313</v>
      </c>
    </row>
    <row r="1392" spans="1:6" ht="48">
      <c r="A1392" s="405" t="s">
        <v>2053</v>
      </c>
      <c r="B1392" s="384" t="s">
        <v>23</v>
      </c>
      <c r="C1392" s="384" t="s">
        <v>1277</v>
      </c>
      <c r="D1392" s="385" t="s">
        <v>2023</v>
      </c>
      <c r="E1392" s="390" t="s">
        <v>1239</v>
      </c>
      <c r="F1392" s="396" t="s">
        <v>1313</v>
      </c>
    </row>
    <row r="1393" spans="1:6" ht="48">
      <c r="A1393" s="405" t="s">
        <v>2053</v>
      </c>
      <c r="B1393" s="384" t="s">
        <v>23</v>
      </c>
      <c r="C1393" s="384" t="s">
        <v>1277</v>
      </c>
      <c r="D1393" s="385" t="s">
        <v>2022</v>
      </c>
      <c r="E1393" s="390" t="s">
        <v>1239</v>
      </c>
      <c r="F1393" s="396" t="s">
        <v>1313</v>
      </c>
    </row>
    <row r="1394" spans="1:6" ht="48">
      <c r="A1394" s="405" t="s">
        <v>2052</v>
      </c>
      <c r="B1394" s="384" t="s">
        <v>23</v>
      </c>
      <c r="C1394" s="384" t="s">
        <v>1277</v>
      </c>
      <c r="D1394" s="385" t="s">
        <v>1992</v>
      </c>
      <c r="E1394" s="390" t="s">
        <v>1239</v>
      </c>
      <c r="F1394" s="396" t="s">
        <v>1313</v>
      </c>
    </row>
    <row r="1395" spans="1:6" ht="48">
      <c r="A1395" s="405" t="s">
        <v>2052</v>
      </c>
      <c r="B1395" s="384" t="s">
        <v>23</v>
      </c>
      <c r="C1395" s="384" t="s">
        <v>1277</v>
      </c>
      <c r="D1395" s="385" t="s">
        <v>1991</v>
      </c>
      <c r="E1395" s="390" t="s">
        <v>1239</v>
      </c>
      <c r="F1395" s="396" t="s">
        <v>1313</v>
      </c>
    </row>
    <row r="1396" spans="1:6" ht="48">
      <c r="A1396" s="405" t="s">
        <v>2052</v>
      </c>
      <c r="B1396" s="384" t="s">
        <v>23</v>
      </c>
      <c r="C1396" s="384" t="s">
        <v>1277</v>
      </c>
      <c r="D1396" s="385" t="s">
        <v>1990</v>
      </c>
      <c r="E1396" s="390" t="s">
        <v>1239</v>
      </c>
      <c r="F1396" s="396" t="s">
        <v>1313</v>
      </c>
    </row>
    <row r="1397" spans="1:6" ht="48">
      <c r="A1397" s="405" t="s">
        <v>2052</v>
      </c>
      <c r="B1397" s="384" t="s">
        <v>23</v>
      </c>
      <c r="C1397" s="384" t="s">
        <v>1277</v>
      </c>
      <c r="D1397" s="385" t="s">
        <v>1989</v>
      </c>
      <c r="E1397" s="390" t="s">
        <v>1239</v>
      </c>
      <c r="F1397" s="396" t="s">
        <v>1313</v>
      </c>
    </row>
    <row r="1398" spans="1:6" ht="48">
      <c r="A1398" s="405" t="s">
        <v>2052</v>
      </c>
      <c r="B1398" s="384" t="s">
        <v>23</v>
      </c>
      <c r="C1398" s="384" t="s">
        <v>1277</v>
      </c>
      <c r="D1398" s="385" t="s">
        <v>1988</v>
      </c>
      <c r="E1398" s="390" t="s">
        <v>1239</v>
      </c>
      <c r="F1398" s="396" t="s">
        <v>1313</v>
      </c>
    </row>
    <row r="1399" spans="1:6" ht="48">
      <c r="A1399" s="405" t="s">
        <v>2052</v>
      </c>
      <c r="B1399" s="384" t="s">
        <v>23</v>
      </c>
      <c r="C1399" s="384" t="s">
        <v>1277</v>
      </c>
      <c r="D1399" s="385" t="s">
        <v>1987</v>
      </c>
      <c r="E1399" s="390" t="s">
        <v>1239</v>
      </c>
      <c r="F1399" s="396" t="s">
        <v>1313</v>
      </c>
    </row>
    <row r="1400" spans="1:6" ht="48">
      <c r="A1400" s="405" t="s">
        <v>2052</v>
      </c>
      <c r="B1400" s="384" t="s">
        <v>23</v>
      </c>
      <c r="C1400" s="384" t="s">
        <v>1277</v>
      </c>
      <c r="D1400" s="385" t="s">
        <v>1986</v>
      </c>
      <c r="E1400" s="390" t="s">
        <v>1239</v>
      </c>
      <c r="F1400" s="396" t="s">
        <v>1313</v>
      </c>
    </row>
    <row r="1401" spans="1:6" ht="48">
      <c r="A1401" s="405" t="s">
        <v>2052</v>
      </c>
      <c r="B1401" s="384" t="s">
        <v>23</v>
      </c>
      <c r="C1401" s="384" t="s">
        <v>1277</v>
      </c>
      <c r="D1401" s="385" t="s">
        <v>1985</v>
      </c>
      <c r="E1401" s="390" t="s">
        <v>1239</v>
      </c>
      <c r="F1401" s="396" t="s">
        <v>1313</v>
      </c>
    </row>
    <row r="1402" spans="1:6" ht="48">
      <c r="A1402" s="405" t="s">
        <v>2052</v>
      </c>
      <c r="B1402" s="384" t="s">
        <v>23</v>
      </c>
      <c r="C1402" s="384" t="s">
        <v>1277</v>
      </c>
      <c r="D1402" s="385" t="s">
        <v>1984</v>
      </c>
      <c r="E1402" s="390" t="s">
        <v>1239</v>
      </c>
      <c r="F1402" s="396" t="s">
        <v>1313</v>
      </c>
    </row>
    <row r="1403" spans="1:6" ht="48">
      <c r="A1403" s="405" t="s">
        <v>2052</v>
      </c>
      <c r="B1403" s="384" t="s">
        <v>23</v>
      </c>
      <c r="C1403" s="384" t="s">
        <v>1277</v>
      </c>
      <c r="D1403" s="385" t="s">
        <v>1983</v>
      </c>
      <c r="E1403" s="390" t="s">
        <v>1239</v>
      </c>
      <c r="F1403" s="396" t="s">
        <v>1313</v>
      </c>
    </row>
    <row r="1404" spans="1:6" ht="48">
      <c r="A1404" s="405" t="s">
        <v>2052</v>
      </c>
      <c r="B1404" s="384" t="s">
        <v>23</v>
      </c>
      <c r="C1404" s="384" t="s">
        <v>1277</v>
      </c>
      <c r="D1404" s="385" t="s">
        <v>1982</v>
      </c>
      <c r="E1404" s="390" t="s">
        <v>1239</v>
      </c>
      <c r="F1404" s="396" t="s">
        <v>1313</v>
      </c>
    </row>
    <row r="1405" spans="1:6" ht="48">
      <c r="A1405" s="405" t="s">
        <v>2052</v>
      </c>
      <c r="B1405" s="384" t="s">
        <v>23</v>
      </c>
      <c r="C1405" s="384" t="s">
        <v>1277</v>
      </c>
      <c r="D1405" s="385" t="s">
        <v>1981</v>
      </c>
      <c r="E1405" s="390" t="s">
        <v>1239</v>
      </c>
      <c r="F1405" s="396" t="s">
        <v>1313</v>
      </c>
    </row>
    <row r="1406" spans="1:6" ht="48">
      <c r="A1406" s="405" t="s">
        <v>2049</v>
      </c>
      <c r="B1406" s="384" t="s">
        <v>23</v>
      </c>
      <c r="C1406" s="384" t="s">
        <v>1277</v>
      </c>
      <c r="D1406" s="385" t="s">
        <v>1980</v>
      </c>
      <c r="E1406" s="390" t="s">
        <v>1239</v>
      </c>
      <c r="F1406" s="396" t="s">
        <v>1313</v>
      </c>
    </row>
    <row r="1407" spans="1:6" ht="48">
      <c r="A1407" s="405" t="s">
        <v>2049</v>
      </c>
      <c r="B1407" s="384" t="s">
        <v>23</v>
      </c>
      <c r="C1407" s="384" t="s">
        <v>1277</v>
      </c>
      <c r="D1407" s="385" t="s">
        <v>2051</v>
      </c>
      <c r="E1407" s="390" t="s">
        <v>1239</v>
      </c>
      <c r="F1407" s="396" t="s">
        <v>1313</v>
      </c>
    </row>
    <row r="1408" spans="1:6" ht="48">
      <c r="A1408" s="405" t="s">
        <v>2049</v>
      </c>
      <c r="B1408" s="384" t="s">
        <v>23</v>
      </c>
      <c r="C1408" s="384" t="s">
        <v>1277</v>
      </c>
      <c r="D1408" s="385" t="s">
        <v>2050</v>
      </c>
      <c r="E1408" s="390" t="s">
        <v>1239</v>
      </c>
      <c r="F1408" s="396" t="s">
        <v>1313</v>
      </c>
    </row>
    <row r="1409" spans="1:6" ht="48">
      <c r="A1409" s="405" t="s">
        <v>2049</v>
      </c>
      <c r="B1409" s="384" t="s">
        <v>23</v>
      </c>
      <c r="C1409" s="384" t="s">
        <v>1277</v>
      </c>
      <c r="D1409" s="385" t="s">
        <v>2032</v>
      </c>
      <c r="E1409" s="390" t="s">
        <v>1239</v>
      </c>
      <c r="F1409" s="396" t="s">
        <v>1313</v>
      </c>
    </row>
    <row r="1410" spans="1:6" ht="48">
      <c r="A1410" s="405" t="s">
        <v>2049</v>
      </c>
      <c r="B1410" s="384" t="s">
        <v>23</v>
      </c>
      <c r="C1410" s="384" t="s">
        <v>1277</v>
      </c>
      <c r="D1410" s="385" t="s">
        <v>2031</v>
      </c>
      <c r="E1410" s="390" t="s">
        <v>1239</v>
      </c>
      <c r="F1410" s="396" t="s">
        <v>1313</v>
      </c>
    </row>
    <row r="1411" spans="1:6" ht="48">
      <c r="A1411" s="405" t="s">
        <v>2049</v>
      </c>
      <c r="B1411" s="384" t="s">
        <v>23</v>
      </c>
      <c r="C1411" s="384" t="s">
        <v>1277</v>
      </c>
      <c r="D1411" s="385" t="s">
        <v>2030</v>
      </c>
      <c r="E1411" s="390" t="s">
        <v>1239</v>
      </c>
      <c r="F1411" s="396" t="s">
        <v>1313</v>
      </c>
    </row>
    <row r="1412" spans="1:6" ht="48">
      <c r="A1412" s="405" t="s">
        <v>2049</v>
      </c>
      <c r="B1412" s="384" t="s">
        <v>23</v>
      </c>
      <c r="C1412" s="384" t="s">
        <v>1277</v>
      </c>
      <c r="D1412" s="385" t="s">
        <v>2029</v>
      </c>
      <c r="E1412" s="390" t="s">
        <v>1239</v>
      </c>
      <c r="F1412" s="396" t="s">
        <v>1313</v>
      </c>
    </row>
    <row r="1413" spans="1:6" ht="48">
      <c r="A1413" s="405" t="s">
        <v>2049</v>
      </c>
      <c r="B1413" s="384" t="s">
        <v>23</v>
      </c>
      <c r="C1413" s="384" t="s">
        <v>1277</v>
      </c>
      <c r="D1413" s="385" t="s">
        <v>2028</v>
      </c>
      <c r="E1413" s="390" t="s">
        <v>1239</v>
      </c>
      <c r="F1413" s="396" t="s">
        <v>1313</v>
      </c>
    </row>
    <row r="1414" spans="1:6" ht="48">
      <c r="A1414" s="405" t="s">
        <v>2049</v>
      </c>
      <c r="B1414" s="384" t="s">
        <v>23</v>
      </c>
      <c r="C1414" s="384" t="s">
        <v>1277</v>
      </c>
      <c r="D1414" s="385" t="s">
        <v>1946</v>
      </c>
      <c r="E1414" s="390" t="s">
        <v>1239</v>
      </c>
      <c r="F1414" s="396" t="s">
        <v>1313</v>
      </c>
    </row>
    <row r="1415" spans="1:6" ht="48">
      <c r="A1415" s="405" t="s">
        <v>2049</v>
      </c>
      <c r="B1415" s="384" t="s">
        <v>23</v>
      </c>
      <c r="C1415" s="384" t="s">
        <v>1277</v>
      </c>
      <c r="D1415" s="385" t="s">
        <v>2022</v>
      </c>
      <c r="E1415" s="390" t="s">
        <v>1239</v>
      </c>
      <c r="F1415" s="396" t="s">
        <v>1313</v>
      </c>
    </row>
    <row r="1416" spans="1:6" ht="48">
      <c r="A1416" s="405" t="s">
        <v>2048</v>
      </c>
      <c r="B1416" s="384" t="s">
        <v>23</v>
      </c>
      <c r="C1416" s="384" t="s">
        <v>1277</v>
      </c>
      <c r="D1416" s="385" t="s">
        <v>1992</v>
      </c>
      <c r="E1416" s="390" t="s">
        <v>1239</v>
      </c>
      <c r="F1416" s="396" t="s">
        <v>1313</v>
      </c>
    </row>
    <row r="1417" spans="1:6" ht="48">
      <c r="A1417" s="405" t="s">
        <v>2048</v>
      </c>
      <c r="B1417" s="384" t="s">
        <v>23</v>
      </c>
      <c r="C1417" s="384" t="s">
        <v>1277</v>
      </c>
      <c r="D1417" s="385" t="s">
        <v>1991</v>
      </c>
      <c r="E1417" s="390" t="s">
        <v>1239</v>
      </c>
      <c r="F1417" s="396" t="s">
        <v>1313</v>
      </c>
    </row>
    <row r="1418" spans="1:6" ht="48">
      <c r="A1418" s="405" t="s">
        <v>2048</v>
      </c>
      <c r="B1418" s="384" t="s">
        <v>23</v>
      </c>
      <c r="C1418" s="384" t="s">
        <v>1277</v>
      </c>
      <c r="D1418" s="385" t="s">
        <v>1990</v>
      </c>
      <c r="E1418" s="390" t="s">
        <v>1239</v>
      </c>
      <c r="F1418" s="396" t="s">
        <v>1313</v>
      </c>
    </row>
    <row r="1419" spans="1:6" ht="48">
      <c r="A1419" s="405" t="s">
        <v>2048</v>
      </c>
      <c r="B1419" s="384" t="s">
        <v>23</v>
      </c>
      <c r="C1419" s="384" t="s">
        <v>1277</v>
      </c>
      <c r="D1419" s="385" t="s">
        <v>1989</v>
      </c>
      <c r="E1419" s="390" t="s">
        <v>1239</v>
      </c>
      <c r="F1419" s="396" t="s">
        <v>1313</v>
      </c>
    </row>
    <row r="1420" spans="1:6" ht="48">
      <c r="A1420" s="405" t="s">
        <v>2048</v>
      </c>
      <c r="B1420" s="384" t="s">
        <v>23</v>
      </c>
      <c r="C1420" s="384" t="s">
        <v>1277</v>
      </c>
      <c r="D1420" s="385" t="s">
        <v>1988</v>
      </c>
      <c r="E1420" s="390" t="s">
        <v>1239</v>
      </c>
      <c r="F1420" s="396" t="s">
        <v>1313</v>
      </c>
    </row>
    <row r="1421" spans="1:6" ht="48">
      <c r="A1421" s="405" t="s">
        <v>2048</v>
      </c>
      <c r="B1421" s="384" t="s">
        <v>23</v>
      </c>
      <c r="C1421" s="384" t="s">
        <v>1277</v>
      </c>
      <c r="D1421" s="385" t="s">
        <v>1987</v>
      </c>
      <c r="E1421" s="390" t="s">
        <v>1239</v>
      </c>
      <c r="F1421" s="396" t="s">
        <v>1313</v>
      </c>
    </row>
    <row r="1422" spans="1:6" ht="48">
      <c r="A1422" s="405" t="s">
        <v>2048</v>
      </c>
      <c r="B1422" s="384" t="s">
        <v>23</v>
      </c>
      <c r="C1422" s="384" t="s">
        <v>1277</v>
      </c>
      <c r="D1422" s="385" t="s">
        <v>1986</v>
      </c>
      <c r="E1422" s="390" t="s">
        <v>1239</v>
      </c>
      <c r="F1422" s="396" t="s">
        <v>1313</v>
      </c>
    </row>
    <row r="1423" spans="1:6" ht="48">
      <c r="A1423" s="405" t="s">
        <v>2048</v>
      </c>
      <c r="B1423" s="384" t="s">
        <v>23</v>
      </c>
      <c r="C1423" s="384" t="s">
        <v>1277</v>
      </c>
      <c r="D1423" s="385" t="s">
        <v>1985</v>
      </c>
      <c r="E1423" s="390" t="s">
        <v>1239</v>
      </c>
      <c r="F1423" s="396" t="s">
        <v>1313</v>
      </c>
    </row>
    <row r="1424" spans="1:6" ht="48">
      <c r="A1424" s="405" t="s">
        <v>2048</v>
      </c>
      <c r="B1424" s="384" t="s">
        <v>23</v>
      </c>
      <c r="C1424" s="384" t="s">
        <v>1277</v>
      </c>
      <c r="D1424" s="385" t="s">
        <v>1984</v>
      </c>
      <c r="E1424" s="390" t="s">
        <v>1239</v>
      </c>
      <c r="F1424" s="396" t="s">
        <v>1313</v>
      </c>
    </row>
    <row r="1425" spans="1:6" ht="48">
      <c r="A1425" s="405" t="s">
        <v>2048</v>
      </c>
      <c r="B1425" s="384" t="s">
        <v>23</v>
      </c>
      <c r="C1425" s="384" t="s">
        <v>1277</v>
      </c>
      <c r="D1425" s="385" t="s">
        <v>1983</v>
      </c>
      <c r="E1425" s="390" t="s">
        <v>1239</v>
      </c>
      <c r="F1425" s="396" t="s">
        <v>1313</v>
      </c>
    </row>
    <row r="1426" spans="1:6" ht="48">
      <c r="A1426" s="405" t="s">
        <v>2048</v>
      </c>
      <c r="B1426" s="384" t="s">
        <v>23</v>
      </c>
      <c r="C1426" s="384" t="s">
        <v>1277</v>
      </c>
      <c r="D1426" s="385" t="s">
        <v>1982</v>
      </c>
      <c r="E1426" s="390" t="s">
        <v>1239</v>
      </c>
      <c r="F1426" s="396" t="s">
        <v>1313</v>
      </c>
    </row>
    <row r="1427" spans="1:6" ht="48">
      <c r="A1427" s="405" t="s">
        <v>2048</v>
      </c>
      <c r="B1427" s="384" t="s">
        <v>23</v>
      </c>
      <c r="C1427" s="384" t="s">
        <v>1277</v>
      </c>
      <c r="D1427" s="385" t="s">
        <v>1981</v>
      </c>
      <c r="E1427" s="390" t="s">
        <v>1239</v>
      </c>
      <c r="F1427" s="396" t="s">
        <v>1313</v>
      </c>
    </row>
    <row r="1428" spans="1:6" ht="48">
      <c r="A1428" s="405" t="s">
        <v>2048</v>
      </c>
      <c r="B1428" s="384" t="s">
        <v>23</v>
      </c>
      <c r="C1428" s="384" t="s">
        <v>1277</v>
      </c>
      <c r="D1428" s="385" t="s">
        <v>1980</v>
      </c>
      <c r="E1428" s="390" t="s">
        <v>1239</v>
      </c>
      <c r="F1428" s="396" t="s">
        <v>1313</v>
      </c>
    </row>
    <row r="1429" spans="1:6" ht="48">
      <c r="A1429" s="405" t="s">
        <v>2048</v>
      </c>
      <c r="B1429" s="384" t="s">
        <v>23</v>
      </c>
      <c r="C1429" s="384" t="s">
        <v>1277</v>
      </c>
      <c r="D1429" s="385" t="s">
        <v>1976</v>
      </c>
      <c r="E1429" s="390" t="s">
        <v>1239</v>
      </c>
      <c r="F1429" s="396" t="s">
        <v>1313</v>
      </c>
    </row>
    <row r="1430" spans="1:6" ht="48">
      <c r="A1430" s="405" t="s">
        <v>2047</v>
      </c>
      <c r="B1430" s="384" t="s">
        <v>23</v>
      </c>
      <c r="C1430" s="384" t="s">
        <v>1277</v>
      </c>
      <c r="D1430" s="385" t="s">
        <v>2029</v>
      </c>
      <c r="E1430" s="390" t="s">
        <v>1239</v>
      </c>
      <c r="F1430" s="396" t="s">
        <v>1313</v>
      </c>
    </row>
    <row r="1431" spans="1:6" ht="48">
      <c r="A1431" s="405" t="s">
        <v>2047</v>
      </c>
      <c r="B1431" s="384" t="s">
        <v>23</v>
      </c>
      <c r="C1431" s="384" t="s">
        <v>1277</v>
      </c>
      <c r="D1431" s="385" t="s">
        <v>2028</v>
      </c>
      <c r="E1431" s="390" t="s">
        <v>1239</v>
      </c>
      <c r="F1431" s="396" t="s">
        <v>1313</v>
      </c>
    </row>
    <row r="1432" spans="1:6" ht="48">
      <c r="A1432" s="405" t="s">
        <v>2047</v>
      </c>
      <c r="B1432" s="384" t="s">
        <v>23</v>
      </c>
      <c r="C1432" s="384" t="s">
        <v>1277</v>
      </c>
      <c r="D1432" s="385" t="s">
        <v>1946</v>
      </c>
      <c r="E1432" s="390" t="s">
        <v>1239</v>
      </c>
      <c r="F1432" s="396" t="s">
        <v>1313</v>
      </c>
    </row>
    <row r="1433" spans="1:6" ht="48">
      <c r="A1433" s="405" t="s">
        <v>2047</v>
      </c>
      <c r="B1433" s="384" t="s">
        <v>23</v>
      </c>
      <c r="C1433" s="384" t="s">
        <v>1277</v>
      </c>
      <c r="D1433" s="385" t="s">
        <v>2022</v>
      </c>
      <c r="E1433" s="390" t="s">
        <v>1239</v>
      </c>
      <c r="F1433" s="396" t="s">
        <v>1313</v>
      </c>
    </row>
    <row r="1434" spans="1:6" ht="72">
      <c r="A1434" s="405" t="s">
        <v>2046</v>
      </c>
      <c r="B1434" s="384" t="s">
        <v>88</v>
      </c>
      <c r="C1434" s="384" t="s">
        <v>1255</v>
      </c>
      <c r="D1434" s="385" t="s">
        <v>1565</v>
      </c>
      <c r="E1434" s="390" t="s">
        <v>1239</v>
      </c>
      <c r="F1434" s="396" t="s">
        <v>1313</v>
      </c>
    </row>
    <row r="1435" spans="1:6" ht="72">
      <c r="A1435" s="405" t="s">
        <v>2046</v>
      </c>
      <c r="B1435" s="384" t="s">
        <v>88</v>
      </c>
      <c r="C1435" s="384" t="s">
        <v>1255</v>
      </c>
      <c r="D1435" s="385" t="s">
        <v>1564</v>
      </c>
      <c r="E1435" s="390" t="s">
        <v>1239</v>
      </c>
      <c r="F1435" s="396" t="s">
        <v>1313</v>
      </c>
    </row>
    <row r="1436" spans="1:6" ht="72">
      <c r="A1436" s="405" t="s">
        <v>2044</v>
      </c>
      <c r="B1436" s="384" t="s">
        <v>88</v>
      </c>
      <c r="C1436" s="384" t="s">
        <v>1277</v>
      </c>
      <c r="D1436" s="385" t="s">
        <v>2045</v>
      </c>
      <c r="E1436" s="390" t="s">
        <v>1239</v>
      </c>
      <c r="F1436" s="396" t="s">
        <v>1313</v>
      </c>
    </row>
    <row r="1437" spans="1:6" ht="48">
      <c r="A1437" s="405" t="s">
        <v>2039</v>
      </c>
      <c r="B1437" s="384" t="s">
        <v>23</v>
      </c>
      <c r="C1437" s="384" t="s">
        <v>1277</v>
      </c>
      <c r="D1437" s="385" t="s">
        <v>1992</v>
      </c>
      <c r="E1437" s="390" t="s">
        <v>1239</v>
      </c>
      <c r="F1437" s="396" t="s">
        <v>1313</v>
      </c>
    </row>
    <row r="1438" spans="1:6" ht="48">
      <c r="A1438" s="405" t="s">
        <v>2039</v>
      </c>
      <c r="B1438" s="384" t="s">
        <v>23</v>
      </c>
      <c r="C1438" s="384" t="s">
        <v>1277</v>
      </c>
      <c r="D1438" s="385" t="s">
        <v>1991</v>
      </c>
      <c r="E1438" s="390" t="s">
        <v>1239</v>
      </c>
      <c r="F1438" s="396" t="s">
        <v>1313</v>
      </c>
    </row>
    <row r="1439" spans="1:6" ht="48">
      <c r="A1439" s="405" t="s">
        <v>2039</v>
      </c>
      <c r="B1439" s="384" t="s">
        <v>23</v>
      </c>
      <c r="C1439" s="384" t="s">
        <v>1277</v>
      </c>
      <c r="D1439" s="385" t="s">
        <v>1989</v>
      </c>
      <c r="E1439" s="390" t="s">
        <v>1239</v>
      </c>
      <c r="F1439" s="396" t="s">
        <v>1313</v>
      </c>
    </row>
    <row r="1440" spans="1:6" ht="48">
      <c r="A1440" s="405" t="s">
        <v>2039</v>
      </c>
      <c r="B1440" s="384" t="s">
        <v>23</v>
      </c>
      <c r="C1440" s="384" t="s">
        <v>1277</v>
      </c>
      <c r="D1440" s="385" t="s">
        <v>1979</v>
      </c>
      <c r="E1440" s="390" t="s">
        <v>1239</v>
      </c>
      <c r="F1440" s="396" t="s">
        <v>1313</v>
      </c>
    </row>
    <row r="1441" spans="1:6" ht="48">
      <c r="A1441" s="405" t="s">
        <v>2039</v>
      </c>
      <c r="B1441" s="384" t="s">
        <v>23</v>
      </c>
      <c r="C1441" s="384" t="s">
        <v>1277</v>
      </c>
      <c r="D1441" s="385" t="s">
        <v>1978</v>
      </c>
      <c r="E1441" s="390" t="s">
        <v>1239</v>
      </c>
      <c r="F1441" s="396" t="s">
        <v>1313</v>
      </c>
    </row>
    <row r="1442" spans="1:6" ht="48">
      <c r="A1442" s="405" t="s">
        <v>2039</v>
      </c>
      <c r="B1442" s="384" t="s">
        <v>23</v>
      </c>
      <c r="C1442" s="384" t="s">
        <v>1277</v>
      </c>
      <c r="D1442" s="385" t="s">
        <v>1977</v>
      </c>
      <c r="E1442" s="390" t="s">
        <v>1239</v>
      </c>
      <c r="F1442" s="396" t="s">
        <v>1313</v>
      </c>
    </row>
    <row r="1443" spans="1:6" ht="48">
      <c r="A1443" s="405" t="s">
        <v>2039</v>
      </c>
      <c r="B1443" s="384" t="s">
        <v>23</v>
      </c>
      <c r="C1443" s="384" t="s">
        <v>1277</v>
      </c>
      <c r="D1443" s="385" t="s">
        <v>1976</v>
      </c>
      <c r="E1443" s="390" t="s">
        <v>1239</v>
      </c>
      <c r="F1443" s="396" t="s">
        <v>1313</v>
      </c>
    </row>
    <row r="1444" spans="1:6" ht="48">
      <c r="A1444" s="405" t="s">
        <v>2039</v>
      </c>
      <c r="B1444" s="384" t="s">
        <v>23</v>
      </c>
      <c r="C1444" s="384" t="s">
        <v>1277</v>
      </c>
      <c r="D1444" s="385" t="s">
        <v>1975</v>
      </c>
      <c r="E1444" s="390" t="s">
        <v>1239</v>
      </c>
      <c r="F1444" s="396" t="s">
        <v>1313</v>
      </c>
    </row>
    <row r="1445" spans="1:6" ht="48">
      <c r="A1445" s="405" t="s">
        <v>2039</v>
      </c>
      <c r="B1445" s="384" t="s">
        <v>23</v>
      </c>
      <c r="C1445" s="384" t="s">
        <v>1277</v>
      </c>
      <c r="D1445" s="385" t="s">
        <v>1974</v>
      </c>
      <c r="E1445" s="390" t="s">
        <v>1239</v>
      </c>
      <c r="F1445" s="396" t="s">
        <v>1313</v>
      </c>
    </row>
    <row r="1446" spans="1:6" ht="48">
      <c r="A1446" s="405" t="s">
        <v>2038</v>
      </c>
      <c r="B1446" s="384" t="s">
        <v>23</v>
      </c>
      <c r="C1446" s="384" t="s">
        <v>1277</v>
      </c>
      <c r="D1446" s="385" t="s">
        <v>2029</v>
      </c>
      <c r="E1446" s="390" t="s">
        <v>1239</v>
      </c>
      <c r="F1446" s="396" t="s">
        <v>1313</v>
      </c>
    </row>
    <row r="1447" spans="1:6" ht="48">
      <c r="A1447" s="405" t="s">
        <v>2038</v>
      </c>
      <c r="B1447" s="384" t="s">
        <v>23</v>
      </c>
      <c r="C1447" s="384" t="s">
        <v>1277</v>
      </c>
      <c r="D1447" s="385" t="s">
        <v>2028</v>
      </c>
      <c r="E1447" s="390" t="s">
        <v>1239</v>
      </c>
      <c r="F1447" s="396" t="s">
        <v>1313</v>
      </c>
    </row>
    <row r="1448" spans="1:6" ht="48">
      <c r="A1448" s="405" t="s">
        <v>2038</v>
      </c>
      <c r="B1448" s="384" t="s">
        <v>23</v>
      </c>
      <c r="C1448" s="384" t="s">
        <v>1277</v>
      </c>
      <c r="D1448" s="385" t="s">
        <v>1946</v>
      </c>
      <c r="E1448" s="390" t="s">
        <v>1239</v>
      </c>
      <c r="F1448" s="396" t="s">
        <v>1313</v>
      </c>
    </row>
    <row r="1449" spans="1:6" ht="48">
      <c r="A1449" s="405" t="s">
        <v>2038</v>
      </c>
      <c r="B1449" s="384" t="s">
        <v>23</v>
      </c>
      <c r="C1449" s="384" t="s">
        <v>1277</v>
      </c>
      <c r="D1449" s="385" t="s">
        <v>1940</v>
      </c>
      <c r="E1449" s="390" t="s">
        <v>1239</v>
      </c>
      <c r="F1449" s="396" t="s">
        <v>1313</v>
      </c>
    </row>
    <row r="1450" spans="1:6" ht="48">
      <c r="A1450" s="405" t="s">
        <v>2038</v>
      </c>
      <c r="B1450" s="384" t="s">
        <v>23</v>
      </c>
      <c r="C1450" s="384" t="s">
        <v>1277</v>
      </c>
      <c r="D1450" s="385" t="s">
        <v>2027</v>
      </c>
      <c r="E1450" s="390" t="s">
        <v>1239</v>
      </c>
      <c r="F1450" s="396" t="s">
        <v>1313</v>
      </c>
    </row>
    <row r="1451" spans="1:6" ht="48">
      <c r="A1451" s="405" t="s">
        <v>2038</v>
      </c>
      <c r="B1451" s="384" t="s">
        <v>23</v>
      </c>
      <c r="C1451" s="384" t="s">
        <v>1277</v>
      </c>
      <c r="D1451" s="385" t="s">
        <v>2022</v>
      </c>
      <c r="E1451" s="390" t="s">
        <v>1239</v>
      </c>
      <c r="F1451" s="396" t="s">
        <v>1313</v>
      </c>
    </row>
    <row r="1452" spans="1:6" ht="48">
      <c r="A1452" s="405" t="s">
        <v>2037</v>
      </c>
      <c r="B1452" s="384" t="s">
        <v>23</v>
      </c>
      <c r="C1452" s="384" t="s">
        <v>1277</v>
      </c>
      <c r="D1452" s="385" t="s">
        <v>1992</v>
      </c>
      <c r="E1452" s="390" t="s">
        <v>1239</v>
      </c>
      <c r="F1452" s="396" t="s">
        <v>1313</v>
      </c>
    </row>
    <row r="1453" spans="1:6" ht="48">
      <c r="A1453" s="405" t="s">
        <v>2037</v>
      </c>
      <c r="B1453" s="384" t="s">
        <v>23</v>
      </c>
      <c r="C1453" s="384" t="s">
        <v>1277</v>
      </c>
      <c r="D1453" s="385" t="s">
        <v>1991</v>
      </c>
      <c r="E1453" s="390" t="s">
        <v>1239</v>
      </c>
      <c r="F1453" s="396" t="s">
        <v>1313</v>
      </c>
    </row>
    <row r="1454" spans="1:6" ht="48">
      <c r="A1454" s="405" t="s">
        <v>2037</v>
      </c>
      <c r="B1454" s="384" t="s">
        <v>23</v>
      </c>
      <c r="C1454" s="384" t="s">
        <v>1277</v>
      </c>
      <c r="D1454" s="385" t="s">
        <v>1990</v>
      </c>
      <c r="E1454" s="390" t="s">
        <v>1239</v>
      </c>
      <c r="F1454" s="396" t="s">
        <v>1313</v>
      </c>
    </row>
    <row r="1455" spans="1:6" ht="48">
      <c r="A1455" s="405" t="s">
        <v>2037</v>
      </c>
      <c r="B1455" s="384" t="s">
        <v>23</v>
      </c>
      <c r="C1455" s="384" t="s">
        <v>1277</v>
      </c>
      <c r="D1455" s="385" t="s">
        <v>1989</v>
      </c>
      <c r="E1455" s="390" t="s">
        <v>1239</v>
      </c>
      <c r="F1455" s="396" t="s">
        <v>1313</v>
      </c>
    </row>
    <row r="1456" spans="1:6" ht="48">
      <c r="A1456" s="405" t="s">
        <v>2037</v>
      </c>
      <c r="B1456" s="384" t="s">
        <v>23</v>
      </c>
      <c r="C1456" s="384" t="s">
        <v>1277</v>
      </c>
      <c r="D1456" s="385" t="s">
        <v>1988</v>
      </c>
      <c r="E1456" s="390" t="s">
        <v>1239</v>
      </c>
      <c r="F1456" s="396" t="s">
        <v>1313</v>
      </c>
    </row>
    <row r="1457" spans="1:6" ht="48">
      <c r="A1457" s="405" t="s">
        <v>2037</v>
      </c>
      <c r="B1457" s="384" t="s">
        <v>23</v>
      </c>
      <c r="C1457" s="384" t="s">
        <v>1277</v>
      </c>
      <c r="D1457" s="385" t="s">
        <v>1987</v>
      </c>
      <c r="E1457" s="390" t="s">
        <v>1239</v>
      </c>
      <c r="F1457" s="396" t="s">
        <v>1313</v>
      </c>
    </row>
    <row r="1458" spans="1:6" ht="48">
      <c r="A1458" s="405" t="s">
        <v>2037</v>
      </c>
      <c r="B1458" s="384" t="s">
        <v>23</v>
      </c>
      <c r="C1458" s="384" t="s">
        <v>1277</v>
      </c>
      <c r="D1458" s="385" t="s">
        <v>1986</v>
      </c>
      <c r="E1458" s="390" t="s">
        <v>1239</v>
      </c>
      <c r="F1458" s="396" t="s">
        <v>1313</v>
      </c>
    </row>
    <row r="1459" spans="1:6" ht="48">
      <c r="A1459" s="405" t="s">
        <v>2037</v>
      </c>
      <c r="B1459" s="384" t="s">
        <v>23</v>
      </c>
      <c r="C1459" s="384" t="s">
        <v>1277</v>
      </c>
      <c r="D1459" s="385" t="s">
        <v>1985</v>
      </c>
      <c r="E1459" s="390" t="s">
        <v>1239</v>
      </c>
      <c r="F1459" s="396" t="s">
        <v>1313</v>
      </c>
    </row>
    <row r="1460" spans="1:6" ht="48">
      <c r="A1460" s="405" t="s">
        <v>2037</v>
      </c>
      <c r="B1460" s="384" t="s">
        <v>23</v>
      </c>
      <c r="C1460" s="384" t="s">
        <v>1277</v>
      </c>
      <c r="D1460" s="385" t="s">
        <v>1984</v>
      </c>
      <c r="E1460" s="390" t="s">
        <v>1239</v>
      </c>
      <c r="F1460" s="396" t="s">
        <v>1313</v>
      </c>
    </row>
    <row r="1461" spans="1:6" ht="48">
      <c r="A1461" s="405" t="s">
        <v>2037</v>
      </c>
      <c r="B1461" s="384" t="s">
        <v>23</v>
      </c>
      <c r="C1461" s="384" t="s">
        <v>1277</v>
      </c>
      <c r="D1461" s="385" t="s">
        <v>1983</v>
      </c>
      <c r="E1461" s="390" t="s">
        <v>1239</v>
      </c>
      <c r="F1461" s="396" t="s">
        <v>1313</v>
      </c>
    </row>
    <row r="1462" spans="1:6" ht="48">
      <c r="A1462" s="405" t="s">
        <v>2037</v>
      </c>
      <c r="B1462" s="384" t="s">
        <v>23</v>
      </c>
      <c r="C1462" s="384" t="s">
        <v>1277</v>
      </c>
      <c r="D1462" s="385" t="s">
        <v>1982</v>
      </c>
      <c r="E1462" s="390" t="s">
        <v>1239</v>
      </c>
      <c r="F1462" s="396" t="s">
        <v>1313</v>
      </c>
    </row>
    <row r="1463" spans="1:6" ht="48">
      <c r="A1463" s="405" t="s">
        <v>2037</v>
      </c>
      <c r="B1463" s="384" t="s">
        <v>23</v>
      </c>
      <c r="C1463" s="384" t="s">
        <v>1277</v>
      </c>
      <c r="D1463" s="385" t="s">
        <v>1981</v>
      </c>
      <c r="E1463" s="390" t="s">
        <v>1239</v>
      </c>
      <c r="F1463" s="396" t="s">
        <v>1313</v>
      </c>
    </row>
    <row r="1464" spans="1:6" ht="48">
      <c r="A1464" s="405" t="s">
        <v>2037</v>
      </c>
      <c r="B1464" s="384" t="s">
        <v>23</v>
      </c>
      <c r="C1464" s="384" t="s">
        <v>1277</v>
      </c>
      <c r="D1464" s="385" t="s">
        <v>1980</v>
      </c>
      <c r="E1464" s="390" t="s">
        <v>1239</v>
      </c>
      <c r="F1464" s="396" t="s">
        <v>1313</v>
      </c>
    </row>
    <row r="1465" spans="1:6" ht="48">
      <c r="A1465" s="405" t="s">
        <v>2036</v>
      </c>
      <c r="B1465" s="384" t="s">
        <v>23</v>
      </c>
      <c r="C1465" s="384" t="s">
        <v>1277</v>
      </c>
      <c r="D1465" s="385" t="s">
        <v>2035</v>
      </c>
      <c r="E1465" s="390" t="s">
        <v>1239</v>
      </c>
      <c r="F1465" s="396" t="s">
        <v>1313</v>
      </c>
    </row>
    <row r="1466" spans="1:6" ht="48">
      <c r="A1466" s="405" t="s">
        <v>2034</v>
      </c>
      <c r="B1466" s="384" t="s">
        <v>23</v>
      </c>
      <c r="C1466" s="384" t="s">
        <v>1277</v>
      </c>
      <c r="D1466" s="385" t="s">
        <v>2035</v>
      </c>
      <c r="E1466" s="390" t="s">
        <v>1239</v>
      </c>
      <c r="F1466" s="396" t="s">
        <v>1313</v>
      </c>
    </row>
    <row r="1467" spans="1:6" ht="48">
      <c r="A1467" s="405" t="s">
        <v>2034</v>
      </c>
      <c r="B1467" s="384" t="s">
        <v>23</v>
      </c>
      <c r="C1467" s="384" t="s">
        <v>1277</v>
      </c>
      <c r="D1467" s="385" t="s">
        <v>2032</v>
      </c>
      <c r="E1467" s="390" t="s">
        <v>1239</v>
      </c>
      <c r="F1467" s="396" t="s">
        <v>1313</v>
      </c>
    </row>
    <row r="1468" spans="1:6" ht="48">
      <c r="A1468" s="405" t="s">
        <v>2034</v>
      </c>
      <c r="B1468" s="384" t="s">
        <v>23</v>
      </c>
      <c r="C1468" s="384" t="s">
        <v>1277</v>
      </c>
      <c r="D1468" s="385" t="s">
        <v>2031</v>
      </c>
      <c r="E1468" s="390" t="s">
        <v>1239</v>
      </c>
      <c r="F1468" s="396" t="s">
        <v>1313</v>
      </c>
    </row>
    <row r="1469" spans="1:6" ht="48">
      <c r="A1469" s="405" t="s">
        <v>2034</v>
      </c>
      <c r="B1469" s="384" t="s">
        <v>23</v>
      </c>
      <c r="C1469" s="384" t="s">
        <v>1277</v>
      </c>
      <c r="D1469" s="385" t="s">
        <v>2030</v>
      </c>
      <c r="E1469" s="390" t="s">
        <v>1239</v>
      </c>
      <c r="F1469" s="396" t="s">
        <v>1313</v>
      </c>
    </row>
    <row r="1470" spans="1:6" ht="48">
      <c r="A1470" s="405" t="s">
        <v>2034</v>
      </c>
      <c r="B1470" s="384" t="s">
        <v>23</v>
      </c>
      <c r="C1470" s="384" t="s">
        <v>1277</v>
      </c>
      <c r="D1470" s="385" t="s">
        <v>2029</v>
      </c>
      <c r="E1470" s="390" t="s">
        <v>1239</v>
      </c>
      <c r="F1470" s="396" t="s">
        <v>1313</v>
      </c>
    </row>
    <row r="1471" spans="1:6" ht="48">
      <c r="A1471" s="405" t="s">
        <v>2034</v>
      </c>
      <c r="B1471" s="384" t="s">
        <v>23</v>
      </c>
      <c r="C1471" s="384" t="s">
        <v>1277</v>
      </c>
      <c r="D1471" s="385" t="s">
        <v>2028</v>
      </c>
      <c r="E1471" s="390" t="s">
        <v>1239</v>
      </c>
      <c r="F1471" s="396" t="s">
        <v>1313</v>
      </c>
    </row>
    <row r="1472" spans="1:6" ht="48">
      <c r="A1472" s="405" t="s">
        <v>2034</v>
      </c>
      <c r="B1472" s="384" t="s">
        <v>23</v>
      </c>
      <c r="C1472" s="384" t="s">
        <v>1277</v>
      </c>
      <c r="D1472" s="385" t="s">
        <v>1946</v>
      </c>
      <c r="E1472" s="390" t="s">
        <v>1239</v>
      </c>
      <c r="F1472" s="396" t="s">
        <v>1313</v>
      </c>
    </row>
    <row r="1473" spans="1:6" ht="48">
      <c r="A1473" s="405" t="s">
        <v>2034</v>
      </c>
      <c r="B1473" s="384" t="s">
        <v>23</v>
      </c>
      <c r="C1473" s="384" t="s">
        <v>1277</v>
      </c>
      <c r="D1473" s="385" t="s">
        <v>1945</v>
      </c>
      <c r="E1473" s="390" t="s">
        <v>1239</v>
      </c>
      <c r="F1473" s="396" t="s">
        <v>1313</v>
      </c>
    </row>
    <row r="1474" spans="1:6" ht="48">
      <c r="A1474" s="405" t="s">
        <v>2034</v>
      </c>
      <c r="B1474" s="384" t="s">
        <v>23</v>
      </c>
      <c r="C1474" s="384" t="s">
        <v>1277</v>
      </c>
      <c r="D1474" s="385" t="s">
        <v>1944</v>
      </c>
      <c r="E1474" s="390" t="s">
        <v>1239</v>
      </c>
      <c r="F1474" s="396" t="s">
        <v>1313</v>
      </c>
    </row>
    <row r="1475" spans="1:6" ht="48">
      <c r="A1475" s="405" t="s">
        <v>2034</v>
      </c>
      <c r="B1475" s="384" t="s">
        <v>23</v>
      </c>
      <c r="C1475" s="384" t="s">
        <v>1277</v>
      </c>
      <c r="D1475" s="385" t="s">
        <v>1943</v>
      </c>
      <c r="E1475" s="390" t="s">
        <v>1239</v>
      </c>
      <c r="F1475" s="396" t="s">
        <v>1313</v>
      </c>
    </row>
    <row r="1476" spans="1:6" ht="48">
      <c r="A1476" s="405" t="s">
        <v>2034</v>
      </c>
      <c r="B1476" s="384" t="s">
        <v>23</v>
      </c>
      <c r="C1476" s="384" t="s">
        <v>1277</v>
      </c>
      <c r="D1476" s="385" t="s">
        <v>1942</v>
      </c>
      <c r="E1476" s="390" t="s">
        <v>1239</v>
      </c>
      <c r="F1476" s="396" t="s">
        <v>1313</v>
      </c>
    </row>
    <row r="1477" spans="1:6" ht="48">
      <c r="A1477" s="405" t="s">
        <v>2034</v>
      </c>
      <c r="B1477" s="384" t="s">
        <v>23</v>
      </c>
      <c r="C1477" s="384" t="s">
        <v>1277</v>
      </c>
      <c r="D1477" s="385" t="s">
        <v>1941</v>
      </c>
      <c r="E1477" s="390" t="s">
        <v>1239</v>
      </c>
      <c r="F1477" s="396" t="s">
        <v>1313</v>
      </c>
    </row>
    <row r="1478" spans="1:6" ht="48">
      <c r="A1478" s="405" t="s">
        <v>2034</v>
      </c>
      <c r="B1478" s="384" t="s">
        <v>23</v>
      </c>
      <c r="C1478" s="384" t="s">
        <v>1277</v>
      </c>
      <c r="D1478" s="385" t="s">
        <v>1940</v>
      </c>
      <c r="E1478" s="390" t="s">
        <v>1239</v>
      </c>
      <c r="F1478" s="396" t="s">
        <v>1313</v>
      </c>
    </row>
    <row r="1479" spans="1:6" ht="48">
      <c r="A1479" s="405" t="s">
        <v>2034</v>
      </c>
      <c r="B1479" s="384" t="s">
        <v>23</v>
      </c>
      <c r="C1479" s="384" t="s">
        <v>1277</v>
      </c>
      <c r="D1479" s="385" t="s">
        <v>2027</v>
      </c>
      <c r="E1479" s="390" t="s">
        <v>1239</v>
      </c>
      <c r="F1479" s="396" t="s">
        <v>1313</v>
      </c>
    </row>
    <row r="1480" spans="1:6" ht="48">
      <c r="A1480" s="405" t="s">
        <v>2034</v>
      </c>
      <c r="B1480" s="384" t="s">
        <v>23</v>
      </c>
      <c r="C1480" s="384" t="s">
        <v>1277</v>
      </c>
      <c r="D1480" s="385" t="s">
        <v>2026</v>
      </c>
      <c r="E1480" s="390" t="s">
        <v>1239</v>
      </c>
      <c r="F1480" s="396" t="s">
        <v>1313</v>
      </c>
    </row>
    <row r="1481" spans="1:6" ht="48">
      <c r="A1481" s="405" t="s">
        <v>2034</v>
      </c>
      <c r="B1481" s="384" t="s">
        <v>23</v>
      </c>
      <c r="C1481" s="384" t="s">
        <v>1277</v>
      </c>
      <c r="D1481" s="385" t="s">
        <v>2025</v>
      </c>
      <c r="E1481" s="390" t="s">
        <v>1239</v>
      </c>
      <c r="F1481" s="396" t="s">
        <v>1313</v>
      </c>
    </row>
    <row r="1482" spans="1:6" ht="48">
      <c r="A1482" s="405" t="s">
        <v>2034</v>
      </c>
      <c r="B1482" s="384" t="s">
        <v>23</v>
      </c>
      <c r="C1482" s="384" t="s">
        <v>1277</v>
      </c>
      <c r="D1482" s="385" t="s">
        <v>2024</v>
      </c>
      <c r="E1482" s="390" t="s">
        <v>1239</v>
      </c>
      <c r="F1482" s="396" t="s">
        <v>1313</v>
      </c>
    </row>
    <row r="1483" spans="1:6" ht="48">
      <c r="A1483" s="405" t="s">
        <v>2034</v>
      </c>
      <c r="B1483" s="384" t="s">
        <v>23</v>
      </c>
      <c r="C1483" s="384" t="s">
        <v>1277</v>
      </c>
      <c r="D1483" s="385" t="s">
        <v>2023</v>
      </c>
      <c r="E1483" s="390" t="s">
        <v>1239</v>
      </c>
      <c r="F1483" s="396" t="s">
        <v>1313</v>
      </c>
    </row>
    <row r="1484" spans="1:6" ht="48">
      <c r="A1484" s="405" t="s">
        <v>2034</v>
      </c>
      <c r="B1484" s="384" t="s">
        <v>23</v>
      </c>
      <c r="C1484" s="384" t="s">
        <v>1277</v>
      </c>
      <c r="D1484" s="385" t="s">
        <v>2022</v>
      </c>
      <c r="E1484" s="390" t="s">
        <v>1239</v>
      </c>
      <c r="F1484" s="396" t="s">
        <v>1313</v>
      </c>
    </row>
    <row r="1485" spans="1:6" ht="48">
      <c r="A1485" s="405" t="s">
        <v>2021</v>
      </c>
      <c r="B1485" s="384" t="s">
        <v>23</v>
      </c>
      <c r="C1485" s="384" t="s">
        <v>1277</v>
      </c>
      <c r="D1485" s="385" t="s">
        <v>2032</v>
      </c>
      <c r="E1485" s="390" t="s">
        <v>1239</v>
      </c>
      <c r="F1485" s="396" t="s">
        <v>1313</v>
      </c>
    </row>
    <row r="1486" spans="1:6" ht="48">
      <c r="A1486" s="405" t="s">
        <v>2021</v>
      </c>
      <c r="B1486" s="384" t="s">
        <v>23</v>
      </c>
      <c r="C1486" s="384" t="s">
        <v>1277</v>
      </c>
      <c r="D1486" s="385" t="s">
        <v>2031</v>
      </c>
      <c r="E1486" s="390" t="s">
        <v>1239</v>
      </c>
      <c r="F1486" s="396" t="s">
        <v>1313</v>
      </c>
    </row>
    <row r="1487" spans="1:6" ht="48">
      <c r="A1487" s="405" t="s">
        <v>2021</v>
      </c>
      <c r="B1487" s="384" t="s">
        <v>23</v>
      </c>
      <c r="C1487" s="384" t="s">
        <v>1277</v>
      </c>
      <c r="D1487" s="385" t="s">
        <v>2030</v>
      </c>
      <c r="E1487" s="390" t="s">
        <v>1239</v>
      </c>
      <c r="F1487" s="396" t="s">
        <v>1313</v>
      </c>
    </row>
    <row r="1488" spans="1:6" ht="48">
      <c r="A1488" s="405" t="s">
        <v>2021</v>
      </c>
      <c r="B1488" s="384" t="s">
        <v>23</v>
      </c>
      <c r="C1488" s="384" t="s">
        <v>1277</v>
      </c>
      <c r="D1488" s="385" t="s">
        <v>2029</v>
      </c>
      <c r="E1488" s="390" t="s">
        <v>1239</v>
      </c>
      <c r="F1488" s="396" t="s">
        <v>1313</v>
      </c>
    </row>
    <row r="1489" spans="1:6" ht="48">
      <c r="A1489" s="405" t="s">
        <v>2021</v>
      </c>
      <c r="B1489" s="384" t="s">
        <v>23</v>
      </c>
      <c r="C1489" s="384" t="s">
        <v>1277</v>
      </c>
      <c r="D1489" s="385" t="s">
        <v>2028</v>
      </c>
      <c r="E1489" s="390" t="s">
        <v>1239</v>
      </c>
      <c r="F1489" s="396" t="s">
        <v>1313</v>
      </c>
    </row>
    <row r="1490" spans="1:6" ht="48">
      <c r="A1490" s="405" t="s">
        <v>2021</v>
      </c>
      <c r="B1490" s="384" t="s">
        <v>23</v>
      </c>
      <c r="C1490" s="384" t="s">
        <v>1277</v>
      </c>
      <c r="D1490" s="385" t="s">
        <v>1946</v>
      </c>
      <c r="E1490" s="390" t="s">
        <v>1239</v>
      </c>
      <c r="F1490" s="396" t="s">
        <v>1313</v>
      </c>
    </row>
    <row r="1491" spans="1:6" ht="48">
      <c r="A1491" s="405" t="s">
        <v>2021</v>
      </c>
      <c r="B1491" s="384" t="s">
        <v>23</v>
      </c>
      <c r="C1491" s="384" t="s">
        <v>1277</v>
      </c>
      <c r="D1491" s="385" t="s">
        <v>1945</v>
      </c>
      <c r="E1491" s="390" t="s">
        <v>1239</v>
      </c>
      <c r="F1491" s="396" t="s">
        <v>1313</v>
      </c>
    </row>
    <row r="1492" spans="1:6" ht="48">
      <c r="A1492" s="405" t="s">
        <v>2021</v>
      </c>
      <c r="B1492" s="384" t="s">
        <v>23</v>
      </c>
      <c r="C1492" s="384" t="s">
        <v>1277</v>
      </c>
      <c r="D1492" s="385" t="s">
        <v>1944</v>
      </c>
      <c r="E1492" s="390" t="s">
        <v>1239</v>
      </c>
      <c r="F1492" s="396" t="s">
        <v>1313</v>
      </c>
    </row>
    <row r="1493" spans="1:6" ht="48">
      <c r="A1493" s="405" t="s">
        <v>2021</v>
      </c>
      <c r="B1493" s="384" t="s">
        <v>23</v>
      </c>
      <c r="C1493" s="384" t="s">
        <v>1277</v>
      </c>
      <c r="D1493" s="385" t="s">
        <v>1943</v>
      </c>
      <c r="E1493" s="390" t="s">
        <v>1239</v>
      </c>
      <c r="F1493" s="396" t="s">
        <v>1313</v>
      </c>
    </row>
    <row r="1494" spans="1:6" ht="48">
      <c r="A1494" s="405" t="s">
        <v>2021</v>
      </c>
      <c r="B1494" s="384" t="s">
        <v>23</v>
      </c>
      <c r="C1494" s="384" t="s">
        <v>1277</v>
      </c>
      <c r="D1494" s="385" t="s">
        <v>1942</v>
      </c>
      <c r="E1494" s="390" t="s">
        <v>1239</v>
      </c>
      <c r="F1494" s="396" t="s">
        <v>1313</v>
      </c>
    </row>
    <row r="1495" spans="1:6" ht="48">
      <c r="A1495" s="405" t="s">
        <v>2021</v>
      </c>
      <c r="B1495" s="384" t="s">
        <v>23</v>
      </c>
      <c r="C1495" s="384" t="s">
        <v>1277</v>
      </c>
      <c r="D1495" s="385" t="s">
        <v>1941</v>
      </c>
      <c r="E1495" s="390" t="s">
        <v>1239</v>
      </c>
      <c r="F1495" s="396" t="s">
        <v>1313</v>
      </c>
    </row>
    <row r="1496" spans="1:6" ht="48">
      <c r="A1496" s="405" t="s">
        <v>2021</v>
      </c>
      <c r="B1496" s="384" t="s">
        <v>23</v>
      </c>
      <c r="C1496" s="384" t="s">
        <v>1277</v>
      </c>
      <c r="D1496" s="385" t="s">
        <v>1940</v>
      </c>
      <c r="E1496" s="390" t="s">
        <v>1239</v>
      </c>
      <c r="F1496" s="396" t="s">
        <v>1313</v>
      </c>
    </row>
    <row r="1497" spans="1:6" ht="48">
      <c r="A1497" s="405" t="s">
        <v>2021</v>
      </c>
      <c r="B1497" s="384" t="s">
        <v>23</v>
      </c>
      <c r="C1497" s="384" t="s">
        <v>1277</v>
      </c>
      <c r="D1497" s="385" t="s">
        <v>2027</v>
      </c>
      <c r="E1497" s="390" t="s">
        <v>1239</v>
      </c>
      <c r="F1497" s="396" t="s">
        <v>1313</v>
      </c>
    </row>
    <row r="1498" spans="1:6" ht="48">
      <c r="A1498" s="405" t="s">
        <v>2021</v>
      </c>
      <c r="B1498" s="384" t="s">
        <v>23</v>
      </c>
      <c r="C1498" s="384" t="s">
        <v>1277</v>
      </c>
      <c r="D1498" s="385" t="s">
        <v>2026</v>
      </c>
      <c r="E1498" s="390" t="s">
        <v>1239</v>
      </c>
      <c r="F1498" s="396" t="s">
        <v>1313</v>
      </c>
    </row>
    <row r="1499" spans="1:6" ht="48">
      <c r="A1499" s="405" t="s">
        <v>2021</v>
      </c>
      <c r="B1499" s="384" t="s">
        <v>23</v>
      </c>
      <c r="C1499" s="384" t="s">
        <v>1277</v>
      </c>
      <c r="D1499" s="385" t="s">
        <v>2025</v>
      </c>
      <c r="E1499" s="390" t="s">
        <v>1239</v>
      </c>
      <c r="F1499" s="396" t="s">
        <v>1313</v>
      </c>
    </row>
    <row r="1500" spans="1:6" ht="48">
      <c r="A1500" s="405" t="s">
        <v>2021</v>
      </c>
      <c r="B1500" s="384" t="s">
        <v>23</v>
      </c>
      <c r="C1500" s="384" t="s">
        <v>1277</v>
      </c>
      <c r="D1500" s="385" t="s">
        <v>2024</v>
      </c>
      <c r="E1500" s="390" t="s">
        <v>1239</v>
      </c>
      <c r="F1500" s="396" t="s">
        <v>1313</v>
      </c>
    </row>
    <row r="1501" spans="1:6" ht="48">
      <c r="A1501" s="405" t="s">
        <v>2021</v>
      </c>
      <c r="B1501" s="384" t="s">
        <v>23</v>
      </c>
      <c r="C1501" s="384" t="s">
        <v>1277</v>
      </c>
      <c r="D1501" s="385" t="s">
        <v>2023</v>
      </c>
      <c r="E1501" s="390" t="s">
        <v>1239</v>
      </c>
      <c r="F1501" s="396" t="s">
        <v>1313</v>
      </c>
    </row>
    <row r="1502" spans="1:6" ht="48">
      <c r="A1502" s="405" t="s">
        <v>2021</v>
      </c>
      <c r="B1502" s="384" t="s">
        <v>23</v>
      </c>
      <c r="C1502" s="384" t="s">
        <v>1277</v>
      </c>
      <c r="D1502" s="385" t="s">
        <v>2022</v>
      </c>
      <c r="E1502" s="390" t="s">
        <v>1239</v>
      </c>
      <c r="F1502" s="396" t="s">
        <v>1313</v>
      </c>
    </row>
    <row r="1503" spans="1:6" ht="72">
      <c r="A1503" s="405" t="s">
        <v>2017</v>
      </c>
      <c r="B1503" s="384" t="s">
        <v>88</v>
      </c>
      <c r="C1503" s="384"/>
      <c r="D1503" s="386" t="s">
        <v>2018</v>
      </c>
      <c r="E1503" s="390" t="s">
        <v>1249</v>
      </c>
      <c r="F1503" s="396" t="s">
        <v>1313</v>
      </c>
    </row>
    <row r="1504" spans="1:6" ht="72">
      <c r="A1504" s="405" t="s">
        <v>2015</v>
      </c>
      <c r="B1504" s="384" t="s">
        <v>88</v>
      </c>
      <c r="C1504" s="384"/>
      <c r="D1504" s="386" t="s">
        <v>2016</v>
      </c>
      <c r="E1504" s="390" t="s">
        <v>1249</v>
      </c>
      <c r="F1504" s="396" t="s">
        <v>1313</v>
      </c>
    </row>
    <row r="1505" spans="1:6" ht="72">
      <c r="A1505" s="405" t="s">
        <v>2013</v>
      </c>
      <c r="B1505" s="384" t="s">
        <v>88</v>
      </c>
      <c r="C1505" s="384" t="s">
        <v>1255</v>
      </c>
      <c r="D1505" s="385" t="s">
        <v>1565</v>
      </c>
      <c r="E1505" s="390" t="s">
        <v>1239</v>
      </c>
      <c r="F1505" s="396" t="s">
        <v>1313</v>
      </c>
    </row>
    <row r="1506" spans="1:6" ht="72">
      <c r="A1506" s="405" t="s">
        <v>2013</v>
      </c>
      <c r="B1506" s="384" t="s">
        <v>88</v>
      </c>
      <c r="C1506" s="384" t="s">
        <v>1255</v>
      </c>
      <c r="D1506" s="385" t="s">
        <v>1564</v>
      </c>
      <c r="E1506" s="390" t="s">
        <v>1239</v>
      </c>
      <c r="F1506" s="396" t="s">
        <v>1313</v>
      </c>
    </row>
    <row r="1507" spans="1:6" ht="72">
      <c r="A1507" s="405" t="s">
        <v>2013</v>
      </c>
      <c r="B1507" s="384" t="s">
        <v>88</v>
      </c>
      <c r="C1507" s="384" t="s">
        <v>1255</v>
      </c>
      <c r="D1507" s="385" t="s">
        <v>2014</v>
      </c>
      <c r="E1507" s="390" t="s">
        <v>1239</v>
      </c>
      <c r="F1507" s="396" t="s">
        <v>1313</v>
      </c>
    </row>
    <row r="1508" spans="1:6" ht="72">
      <c r="A1508" s="405" t="s">
        <v>2009</v>
      </c>
      <c r="B1508" s="384" t="s">
        <v>88</v>
      </c>
      <c r="C1508" s="384" t="s">
        <v>1277</v>
      </c>
      <c r="D1508" s="385" t="s">
        <v>2012</v>
      </c>
      <c r="E1508" s="390" t="s">
        <v>1239</v>
      </c>
      <c r="F1508" s="396" t="s">
        <v>1313</v>
      </c>
    </row>
    <row r="1509" spans="1:6" ht="72">
      <c r="A1509" s="405" t="s">
        <v>2009</v>
      </c>
      <c r="B1509" s="384" t="s">
        <v>88</v>
      </c>
      <c r="C1509" s="384" t="s">
        <v>1277</v>
      </c>
      <c r="D1509" s="385" t="s">
        <v>2011</v>
      </c>
      <c r="E1509" s="390" t="s">
        <v>1239</v>
      </c>
      <c r="F1509" s="396" t="s">
        <v>1313</v>
      </c>
    </row>
    <row r="1510" spans="1:6" ht="72">
      <c r="A1510" s="405" t="s">
        <v>2009</v>
      </c>
      <c r="B1510" s="384" t="s">
        <v>88</v>
      </c>
      <c r="C1510" s="384" t="s">
        <v>1277</v>
      </c>
      <c r="D1510" s="385" t="s">
        <v>2010</v>
      </c>
      <c r="E1510" s="390" t="s">
        <v>1239</v>
      </c>
      <c r="F1510" s="396" t="s">
        <v>1313</v>
      </c>
    </row>
    <row r="1511" spans="1:6" ht="72">
      <c r="A1511" s="405" t="s">
        <v>2001</v>
      </c>
      <c r="B1511" s="384" t="s">
        <v>88</v>
      </c>
      <c r="C1511" s="384"/>
      <c r="D1511" s="386" t="s">
        <v>2002</v>
      </c>
      <c r="E1511" s="390" t="s">
        <v>1249</v>
      </c>
      <c r="F1511" s="396" t="s">
        <v>1313</v>
      </c>
    </row>
    <row r="1512" spans="1:6" ht="72">
      <c r="A1512" s="405" t="s">
        <v>1999</v>
      </c>
      <c r="B1512" s="384" t="s">
        <v>88</v>
      </c>
      <c r="C1512" s="384"/>
      <c r="D1512" s="386" t="s">
        <v>2000</v>
      </c>
      <c r="E1512" s="390" t="s">
        <v>1249</v>
      </c>
      <c r="F1512" s="396" t="s">
        <v>1313</v>
      </c>
    </row>
    <row r="1513" spans="1:6" ht="72">
      <c r="A1513" s="405" t="s">
        <v>1997</v>
      </c>
      <c r="B1513" s="384" t="s">
        <v>88</v>
      </c>
      <c r="C1513" s="384"/>
      <c r="D1513" s="386" t="s">
        <v>1998</v>
      </c>
      <c r="E1513" s="390" t="s">
        <v>1249</v>
      </c>
      <c r="F1513" s="396" t="s">
        <v>1313</v>
      </c>
    </row>
    <row r="1514" spans="1:6" ht="72">
      <c r="A1514" s="405" t="s">
        <v>1995</v>
      </c>
      <c r="B1514" s="384" t="s">
        <v>88</v>
      </c>
      <c r="C1514" s="384"/>
      <c r="D1514" s="386" t="s">
        <v>1996</v>
      </c>
      <c r="E1514" s="390" t="s">
        <v>1249</v>
      </c>
      <c r="F1514" s="396" t="s">
        <v>1313</v>
      </c>
    </row>
    <row r="1515" spans="1:6" ht="72">
      <c r="A1515" s="405" t="s">
        <v>1993</v>
      </c>
      <c r="B1515" s="384" t="s">
        <v>88</v>
      </c>
      <c r="C1515" s="384"/>
      <c r="D1515" s="386" t="s">
        <v>1994</v>
      </c>
      <c r="E1515" s="390" t="s">
        <v>1249</v>
      </c>
      <c r="F1515" s="396" t="s">
        <v>1313</v>
      </c>
    </row>
    <row r="1516" spans="1:6" ht="48">
      <c r="A1516" s="405" t="s">
        <v>1973</v>
      </c>
      <c r="B1516" s="384" t="s">
        <v>23</v>
      </c>
      <c r="C1516" s="384" t="s">
        <v>1277</v>
      </c>
      <c r="D1516" s="385" t="s">
        <v>1992</v>
      </c>
      <c r="E1516" s="390" t="s">
        <v>1239</v>
      </c>
      <c r="F1516" s="396" t="s">
        <v>1313</v>
      </c>
    </row>
    <row r="1517" spans="1:6" ht="48">
      <c r="A1517" s="405" t="s">
        <v>1973</v>
      </c>
      <c r="B1517" s="384" t="s">
        <v>23</v>
      </c>
      <c r="C1517" s="384" t="s">
        <v>1277</v>
      </c>
      <c r="D1517" s="385" t="s">
        <v>1991</v>
      </c>
      <c r="E1517" s="390" t="s">
        <v>1239</v>
      </c>
      <c r="F1517" s="396" t="s">
        <v>1313</v>
      </c>
    </row>
    <row r="1518" spans="1:6" ht="48">
      <c r="A1518" s="405" t="s">
        <v>1973</v>
      </c>
      <c r="B1518" s="384" t="s">
        <v>23</v>
      </c>
      <c r="C1518" s="384" t="s">
        <v>1277</v>
      </c>
      <c r="D1518" s="385" t="s">
        <v>1990</v>
      </c>
      <c r="E1518" s="390" t="s">
        <v>1239</v>
      </c>
      <c r="F1518" s="396" t="s">
        <v>1313</v>
      </c>
    </row>
    <row r="1519" spans="1:6" ht="48">
      <c r="A1519" s="405" t="s">
        <v>1973</v>
      </c>
      <c r="B1519" s="384" t="s">
        <v>23</v>
      </c>
      <c r="C1519" s="384" t="s">
        <v>1277</v>
      </c>
      <c r="D1519" s="385" t="s">
        <v>1989</v>
      </c>
      <c r="E1519" s="390" t="s">
        <v>1239</v>
      </c>
      <c r="F1519" s="396" t="s">
        <v>1313</v>
      </c>
    </row>
    <row r="1520" spans="1:6" ht="48">
      <c r="A1520" s="405" t="s">
        <v>1973</v>
      </c>
      <c r="B1520" s="384" t="s">
        <v>23</v>
      </c>
      <c r="C1520" s="384" t="s">
        <v>1277</v>
      </c>
      <c r="D1520" s="385" t="s">
        <v>1988</v>
      </c>
      <c r="E1520" s="390" t="s">
        <v>1239</v>
      </c>
      <c r="F1520" s="396" t="s">
        <v>1313</v>
      </c>
    </row>
    <row r="1521" spans="1:6" ht="48">
      <c r="A1521" s="405" t="s">
        <v>1973</v>
      </c>
      <c r="B1521" s="384" t="s">
        <v>23</v>
      </c>
      <c r="C1521" s="384" t="s">
        <v>1277</v>
      </c>
      <c r="D1521" s="385" t="s">
        <v>1987</v>
      </c>
      <c r="E1521" s="390" t="s">
        <v>1239</v>
      </c>
      <c r="F1521" s="396" t="s">
        <v>1313</v>
      </c>
    </row>
    <row r="1522" spans="1:6" ht="48">
      <c r="A1522" s="405" t="s">
        <v>1973</v>
      </c>
      <c r="B1522" s="384" t="s">
        <v>23</v>
      </c>
      <c r="C1522" s="384" t="s">
        <v>1277</v>
      </c>
      <c r="D1522" s="385" t="s">
        <v>1986</v>
      </c>
      <c r="E1522" s="390" t="s">
        <v>1239</v>
      </c>
      <c r="F1522" s="396" t="s">
        <v>1313</v>
      </c>
    </row>
    <row r="1523" spans="1:6" ht="48">
      <c r="A1523" s="405" t="s">
        <v>1973</v>
      </c>
      <c r="B1523" s="384" t="s">
        <v>23</v>
      </c>
      <c r="C1523" s="384" t="s">
        <v>1277</v>
      </c>
      <c r="D1523" s="385" t="s">
        <v>1985</v>
      </c>
      <c r="E1523" s="390" t="s">
        <v>1239</v>
      </c>
      <c r="F1523" s="396" t="s">
        <v>1313</v>
      </c>
    </row>
    <row r="1524" spans="1:6" ht="48">
      <c r="A1524" s="405" t="s">
        <v>1973</v>
      </c>
      <c r="B1524" s="384" t="s">
        <v>23</v>
      </c>
      <c r="C1524" s="384" t="s">
        <v>1277</v>
      </c>
      <c r="D1524" s="385" t="s">
        <v>1984</v>
      </c>
      <c r="E1524" s="390" t="s">
        <v>1239</v>
      </c>
      <c r="F1524" s="396" t="s">
        <v>1313</v>
      </c>
    </row>
    <row r="1525" spans="1:6" ht="48">
      <c r="A1525" s="405" t="s">
        <v>1973</v>
      </c>
      <c r="B1525" s="384" t="s">
        <v>23</v>
      </c>
      <c r="C1525" s="384" t="s">
        <v>1277</v>
      </c>
      <c r="D1525" s="385" t="s">
        <v>1983</v>
      </c>
      <c r="E1525" s="390" t="s">
        <v>1239</v>
      </c>
      <c r="F1525" s="396" t="s">
        <v>1313</v>
      </c>
    </row>
    <row r="1526" spans="1:6" ht="48">
      <c r="A1526" s="405" t="s">
        <v>1973</v>
      </c>
      <c r="B1526" s="384" t="s">
        <v>23</v>
      </c>
      <c r="C1526" s="384" t="s">
        <v>1277</v>
      </c>
      <c r="D1526" s="385" t="s">
        <v>1982</v>
      </c>
      <c r="E1526" s="390" t="s">
        <v>1239</v>
      </c>
      <c r="F1526" s="396" t="s">
        <v>1313</v>
      </c>
    </row>
    <row r="1527" spans="1:6" ht="48">
      <c r="A1527" s="405" t="s">
        <v>1973</v>
      </c>
      <c r="B1527" s="384" t="s">
        <v>23</v>
      </c>
      <c r="C1527" s="384" t="s">
        <v>1277</v>
      </c>
      <c r="D1527" s="385" t="s">
        <v>1981</v>
      </c>
      <c r="E1527" s="390" t="s">
        <v>1239</v>
      </c>
      <c r="F1527" s="396" t="s">
        <v>1313</v>
      </c>
    </row>
    <row r="1528" spans="1:6" ht="48">
      <c r="A1528" s="405" t="s">
        <v>1973</v>
      </c>
      <c r="B1528" s="384" t="s">
        <v>23</v>
      </c>
      <c r="C1528" s="384" t="s">
        <v>1277</v>
      </c>
      <c r="D1528" s="385" t="s">
        <v>1980</v>
      </c>
      <c r="E1528" s="390" t="s">
        <v>1239</v>
      </c>
      <c r="F1528" s="396" t="s">
        <v>1313</v>
      </c>
    </row>
    <row r="1529" spans="1:6" ht="48">
      <c r="A1529" s="405" t="s">
        <v>1973</v>
      </c>
      <c r="B1529" s="384" t="s">
        <v>23</v>
      </c>
      <c r="C1529" s="384" t="s">
        <v>1277</v>
      </c>
      <c r="D1529" s="385" t="s">
        <v>1979</v>
      </c>
      <c r="E1529" s="390" t="s">
        <v>1239</v>
      </c>
      <c r="F1529" s="396" t="s">
        <v>1313</v>
      </c>
    </row>
    <row r="1530" spans="1:6" ht="48">
      <c r="A1530" s="405" t="s">
        <v>1973</v>
      </c>
      <c r="B1530" s="384" t="s">
        <v>23</v>
      </c>
      <c r="C1530" s="384" t="s">
        <v>1277</v>
      </c>
      <c r="D1530" s="385" t="s">
        <v>1978</v>
      </c>
      <c r="E1530" s="390" t="s">
        <v>1239</v>
      </c>
      <c r="F1530" s="396" t="s">
        <v>1313</v>
      </c>
    </row>
    <row r="1531" spans="1:6" ht="48">
      <c r="A1531" s="405" t="s">
        <v>1973</v>
      </c>
      <c r="B1531" s="384" t="s">
        <v>23</v>
      </c>
      <c r="C1531" s="384" t="s">
        <v>1277</v>
      </c>
      <c r="D1531" s="385" t="s">
        <v>1977</v>
      </c>
      <c r="E1531" s="390" t="s">
        <v>1239</v>
      </c>
      <c r="F1531" s="396" t="s">
        <v>1313</v>
      </c>
    </row>
    <row r="1532" spans="1:6" ht="48">
      <c r="A1532" s="405" t="s">
        <v>1973</v>
      </c>
      <c r="B1532" s="384" t="s">
        <v>23</v>
      </c>
      <c r="C1532" s="384" t="s">
        <v>1277</v>
      </c>
      <c r="D1532" s="385" t="s">
        <v>1976</v>
      </c>
      <c r="E1532" s="390" t="s">
        <v>1239</v>
      </c>
      <c r="F1532" s="396" t="s">
        <v>1313</v>
      </c>
    </row>
    <row r="1533" spans="1:6" ht="48">
      <c r="A1533" s="405" t="s">
        <v>1973</v>
      </c>
      <c r="B1533" s="384" t="s">
        <v>23</v>
      </c>
      <c r="C1533" s="384" t="s">
        <v>1277</v>
      </c>
      <c r="D1533" s="385" t="s">
        <v>1975</v>
      </c>
      <c r="E1533" s="390" t="s">
        <v>1239</v>
      </c>
      <c r="F1533" s="396" t="s">
        <v>1313</v>
      </c>
    </row>
    <row r="1534" spans="1:6" ht="48">
      <c r="A1534" s="405" t="s">
        <v>1973</v>
      </c>
      <c r="B1534" s="384" t="s">
        <v>23</v>
      </c>
      <c r="C1534" s="384" t="s">
        <v>1277</v>
      </c>
      <c r="D1534" s="385" t="s">
        <v>1974</v>
      </c>
      <c r="E1534" s="390" t="s">
        <v>1239</v>
      </c>
      <c r="F1534" s="396" t="s">
        <v>1313</v>
      </c>
    </row>
    <row r="1535" spans="1:6" ht="72">
      <c r="A1535" s="405" t="s">
        <v>1972</v>
      </c>
      <c r="B1535" s="384" t="s">
        <v>88</v>
      </c>
      <c r="C1535" s="384" t="s">
        <v>1255</v>
      </c>
      <c r="D1535" s="385" t="s">
        <v>1565</v>
      </c>
      <c r="E1535" s="390" t="s">
        <v>1239</v>
      </c>
      <c r="F1535" s="396" t="s">
        <v>1313</v>
      </c>
    </row>
    <row r="1536" spans="1:6" ht="72">
      <c r="A1536" s="405" t="s">
        <v>1972</v>
      </c>
      <c r="B1536" s="384" t="s">
        <v>88</v>
      </c>
      <c r="C1536" s="384" t="s">
        <v>1255</v>
      </c>
      <c r="D1536" s="385" t="s">
        <v>1564</v>
      </c>
      <c r="E1536" s="390" t="s">
        <v>1239</v>
      </c>
      <c r="F1536" s="396" t="s">
        <v>1313</v>
      </c>
    </row>
    <row r="1537" spans="1:6" ht="48">
      <c r="A1537" s="405" t="s">
        <v>1970</v>
      </c>
      <c r="B1537" s="384" t="s">
        <v>88</v>
      </c>
      <c r="C1537" s="384"/>
      <c r="D1537" s="386" t="s">
        <v>1971</v>
      </c>
      <c r="E1537" s="390" t="s">
        <v>1249</v>
      </c>
      <c r="F1537" s="396" t="s">
        <v>1313</v>
      </c>
    </row>
    <row r="1538" spans="1:6" ht="72">
      <c r="A1538" s="405" t="s">
        <v>1968</v>
      </c>
      <c r="B1538" s="384" t="s">
        <v>88</v>
      </c>
      <c r="C1538" s="384"/>
      <c r="D1538" s="386" t="s">
        <v>1969</v>
      </c>
      <c r="E1538" s="390" t="s">
        <v>1249</v>
      </c>
      <c r="F1538" s="396" t="s">
        <v>1313</v>
      </c>
    </row>
    <row r="1539" spans="1:6" ht="72">
      <c r="A1539" s="405" t="s">
        <v>1966</v>
      </c>
      <c r="B1539" s="384" t="s">
        <v>88</v>
      </c>
      <c r="C1539" s="384" t="s">
        <v>1277</v>
      </c>
      <c r="D1539" s="385" t="s">
        <v>1967</v>
      </c>
      <c r="E1539" s="390" t="s">
        <v>1239</v>
      </c>
      <c r="F1539" s="396" t="s">
        <v>1313</v>
      </c>
    </row>
    <row r="1540" spans="1:6" ht="72">
      <c r="A1540" s="405" t="s">
        <v>1960</v>
      </c>
      <c r="B1540" s="384" t="s">
        <v>88</v>
      </c>
      <c r="C1540" s="384"/>
      <c r="D1540" s="386" t="s">
        <v>1961</v>
      </c>
      <c r="E1540" s="390" t="s">
        <v>1249</v>
      </c>
      <c r="F1540" s="396" t="s">
        <v>1313</v>
      </c>
    </row>
    <row r="1541" spans="1:6" ht="72">
      <c r="A1541" s="405" t="s">
        <v>1958</v>
      </c>
      <c r="B1541" s="384" t="s">
        <v>88</v>
      </c>
      <c r="C1541" s="384"/>
      <c r="D1541" s="386" t="s">
        <v>1959</v>
      </c>
      <c r="E1541" s="390" t="s">
        <v>1249</v>
      </c>
      <c r="F1541" s="396" t="s">
        <v>1313</v>
      </c>
    </row>
    <row r="1542" spans="1:6" ht="72">
      <c r="A1542" s="405" t="s">
        <v>1956</v>
      </c>
      <c r="B1542" s="384" t="s">
        <v>88</v>
      </c>
      <c r="C1542" s="384" t="s">
        <v>1277</v>
      </c>
      <c r="D1542" s="385" t="s">
        <v>1957</v>
      </c>
      <c r="E1542" s="390" t="s">
        <v>1239</v>
      </c>
      <c r="F1542" s="396" t="s">
        <v>1313</v>
      </c>
    </row>
    <row r="1543" spans="1:6" ht="72">
      <c r="A1543" s="405" t="s">
        <v>1954</v>
      </c>
      <c r="B1543" s="384" t="s">
        <v>88</v>
      </c>
      <c r="C1543" s="384"/>
      <c r="D1543" s="386" t="s">
        <v>1955</v>
      </c>
      <c r="E1543" s="390" t="s">
        <v>1249</v>
      </c>
      <c r="F1543" s="396" t="s">
        <v>1313</v>
      </c>
    </row>
    <row r="1544" spans="1:6" ht="48">
      <c r="A1544" s="405" t="s">
        <v>1952</v>
      </c>
      <c r="B1544" s="384" t="s">
        <v>88</v>
      </c>
      <c r="C1544" s="384"/>
      <c r="D1544" s="386" t="s">
        <v>1953</v>
      </c>
      <c r="E1544" s="390" t="s">
        <v>1249</v>
      </c>
      <c r="F1544" s="396" t="s">
        <v>1313</v>
      </c>
    </row>
    <row r="1545" spans="1:6" ht="48">
      <c r="A1545" s="405" t="s">
        <v>1950</v>
      </c>
      <c r="B1545" s="384" t="s">
        <v>23</v>
      </c>
      <c r="C1545" s="384" t="s">
        <v>1277</v>
      </c>
      <c r="D1545" s="385" t="s">
        <v>1951</v>
      </c>
      <c r="E1545" s="390" t="s">
        <v>1239</v>
      </c>
      <c r="F1545" s="396" t="s">
        <v>1313</v>
      </c>
    </row>
    <row r="1546" spans="1:6" ht="48">
      <c r="A1546" s="405" t="s">
        <v>1949</v>
      </c>
      <c r="B1546" s="384" t="s">
        <v>23</v>
      </c>
      <c r="C1546" s="384" t="s">
        <v>1277</v>
      </c>
      <c r="D1546" s="385" t="s">
        <v>1946</v>
      </c>
      <c r="E1546" s="390" t="s">
        <v>1239</v>
      </c>
      <c r="F1546" s="396" t="s">
        <v>1313</v>
      </c>
    </row>
    <row r="1547" spans="1:6" ht="48">
      <c r="A1547" s="405" t="s">
        <v>1949</v>
      </c>
      <c r="B1547" s="384" t="s">
        <v>23</v>
      </c>
      <c r="C1547" s="384" t="s">
        <v>1277</v>
      </c>
      <c r="D1547" s="385" t="s">
        <v>1945</v>
      </c>
      <c r="E1547" s="390" t="s">
        <v>1239</v>
      </c>
      <c r="F1547" s="396" t="s">
        <v>1313</v>
      </c>
    </row>
    <row r="1548" spans="1:6" ht="48">
      <c r="A1548" s="405" t="s">
        <v>1949</v>
      </c>
      <c r="B1548" s="384" t="s">
        <v>23</v>
      </c>
      <c r="C1548" s="384" t="s">
        <v>1277</v>
      </c>
      <c r="D1548" s="385" t="s">
        <v>1944</v>
      </c>
      <c r="E1548" s="390" t="s">
        <v>1239</v>
      </c>
      <c r="F1548" s="396" t="s">
        <v>1313</v>
      </c>
    </row>
    <row r="1549" spans="1:6" ht="48">
      <c r="A1549" s="405" t="s">
        <v>1949</v>
      </c>
      <c r="B1549" s="384" t="s">
        <v>23</v>
      </c>
      <c r="C1549" s="384" t="s">
        <v>1277</v>
      </c>
      <c r="D1549" s="385" t="s">
        <v>1943</v>
      </c>
      <c r="E1549" s="390" t="s">
        <v>1239</v>
      </c>
      <c r="F1549" s="396" t="s">
        <v>1313</v>
      </c>
    </row>
    <row r="1550" spans="1:6" ht="48">
      <c r="A1550" s="405" t="s">
        <v>1949</v>
      </c>
      <c r="B1550" s="384" t="s">
        <v>23</v>
      </c>
      <c r="C1550" s="384" t="s">
        <v>1277</v>
      </c>
      <c r="D1550" s="385" t="s">
        <v>1942</v>
      </c>
      <c r="E1550" s="390" t="s">
        <v>1239</v>
      </c>
      <c r="F1550" s="396" t="s">
        <v>1313</v>
      </c>
    </row>
    <row r="1551" spans="1:6" ht="48">
      <c r="A1551" s="405" t="s">
        <v>1949</v>
      </c>
      <c r="B1551" s="384" t="s">
        <v>23</v>
      </c>
      <c r="C1551" s="384" t="s">
        <v>1277</v>
      </c>
      <c r="D1551" s="385" t="s">
        <v>1941</v>
      </c>
      <c r="E1551" s="390" t="s">
        <v>1239</v>
      </c>
      <c r="F1551" s="396" t="s">
        <v>1313</v>
      </c>
    </row>
    <row r="1552" spans="1:6" ht="48">
      <c r="A1552" s="405" t="s">
        <v>1949</v>
      </c>
      <c r="B1552" s="384" t="s">
        <v>23</v>
      </c>
      <c r="C1552" s="384" t="s">
        <v>1277</v>
      </c>
      <c r="D1552" s="385" t="s">
        <v>1940</v>
      </c>
      <c r="E1552" s="390" t="s">
        <v>1239</v>
      </c>
      <c r="F1552" s="396" t="s">
        <v>1313</v>
      </c>
    </row>
    <row r="1553" spans="1:6" ht="72">
      <c r="A1553" s="405" t="s">
        <v>1947</v>
      </c>
      <c r="B1553" s="384" t="s">
        <v>23</v>
      </c>
      <c r="C1553" s="384"/>
      <c r="D1553" s="386" t="s">
        <v>1948</v>
      </c>
      <c r="E1553" s="390" t="s">
        <v>1249</v>
      </c>
      <c r="F1553" s="396" t="s">
        <v>1313</v>
      </c>
    </row>
    <row r="1554" spans="1:6" ht="48">
      <c r="A1554" s="405" t="s">
        <v>1939</v>
      </c>
      <c r="B1554" s="384" t="s">
        <v>23</v>
      </c>
      <c r="C1554" s="384" t="s">
        <v>1277</v>
      </c>
      <c r="D1554" s="385" t="s">
        <v>1946</v>
      </c>
      <c r="E1554" s="390" t="s">
        <v>1239</v>
      </c>
      <c r="F1554" s="396" t="s">
        <v>1313</v>
      </c>
    </row>
    <row r="1555" spans="1:6" ht="48">
      <c r="A1555" s="405" t="s">
        <v>1939</v>
      </c>
      <c r="B1555" s="384" t="s">
        <v>23</v>
      </c>
      <c r="C1555" s="384" t="s">
        <v>1277</v>
      </c>
      <c r="D1555" s="385" t="s">
        <v>1945</v>
      </c>
      <c r="E1555" s="390" t="s">
        <v>1239</v>
      </c>
      <c r="F1555" s="396" t="s">
        <v>1313</v>
      </c>
    </row>
    <row r="1556" spans="1:6" ht="48">
      <c r="A1556" s="405" t="s">
        <v>1939</v>
      </c>
      <c r="B1556" s="384" t="s">
        <v>23</v>
      </c>
      <c r="C1556" s="384" t="s">
        <v>1277</v>
      </c>
      <c r="D1556" s="385" t="s">
        <v>1944</v>
      </c>
      <c r="E1556" s="390" t="s">
        <v>1239</v>
      </c>
      <c r="F1556" s="396" t="s">
        <v>1313</v>
      </c>
    </row>
    <row r="1557" spans="1:6" ht="48">
      <c r="A1557" s="405" t="s">
        <v>1939</v>
      </c>
      <c r="B1557" s="384" t="s">
        <v>23</v>
      </c>
      <c r="C1557" s="384" t="s">
        <v>1277</v>
      </c>
      <c r="D1557" s="385" t="s">
        <v>1943</v>
      </c>
      <c r="E1557" s="390" t="s">
        <v>1239</v>
      </c>
      <c r="F1557" s="396" t="s">
        <v>1313</v>
      </c>
    </row>
    <row r="1558" spans="1:6" ht="48">
      <c r="A1558" s="405" t="s">
        <v>1939</v>
      </c>
      <c r="B1558" s="384" t="s">
        <v>23</v>
      </c>
      <c r="C1558" s="384" t="s">
        <v>1277</v>
      </c>
      <c r="D1558" s="385" t="s">
        <v>1942</v>
      </c>
      <c r="E1558" s="390" t="s">
        <v>1239</v>
      </c>
      <c r="F1558" s="396" t="s">
        <v>1313</v>
      </c>
    </row>
    <row r="1559" spans="1:6" ht="48">
      <c r="A1559" s="405" t="s">
        <v>1939</v>
      </c>
      <c r="B1559" s="384" t="s">
        <v>23</v>
      </c>
      <c r="C1559" s="384" t="s">
        <v>1277</v>
      </c>
      <c r="D1559" s="385" t="s">
        <v>1941</v>
      </c>
      <c r="E1559" s="390" t="s">
        <v>1239</v>
      </c>
      <c r="F1559" s="396" t="s">
        <v>1313</v>
      </c>
    </row>
    <row r="1560" spans="1:6" ht="48">
      <c r="A1560" s="405" t="s">
        <v>1939</v>
      </c>
      <c r="B1560" s="384" t="s">
        <v>23</v>
      </c>
      <c r="C1560" s="384" t="s">
        <v>1277</v>
      </c>
      <c r="D1560" s="385" t="s">
        <v>1940</v>
      </c>
      <c r="E1560" s="390" t="s">
        <v>1239</v>
      </c>
      <c r="F1560" s="396" t="s">
        <v>1313</v>
      </c>
    </row>
    <row r="1561" spans="1:6" ht="72">
      <c r="A1561" s="405" t="s">
        <v>1936</v>
      </c>
      <c r="B1561" s="384" t="s">
        <v>88</v>
      </c>
      <c r="C1561" s="384" t="s">
        <v>1255</v>
      </c>
      <c r="D1561" s="385" t="s">
        <v>1565</v>
      </c>
      <c r="E1561" s="390" t="s">
        <v>1239</v>
      </c>
      <c r="F1561" s="396" t="s">
        <v>1313</v>
      </c>
    </row>
    <row r="1562" spans="1:6" ht="72">
      <c r="A1562" s="405" t="s">
        <v>1936</v>
      </c>
      <c r="B1562" s="384" t="s">
        <v>88</v>
      </c>
      <c r="C1562" s="384" t="s">
        <v>1255</v>
      </c>
      <c r="D1562" s="385" t="s">
        <v>1564</v>
      </c>
      <c r="E1562" s="390" t="s">
        <v>1239</v>
      </c>
      <c r="F1562" s="396" t="s">
        <v>1313</v>
      </c>
    </row>
    <row r="1563" spans="1:6" ht="72">
      <c r="A1563" s="405" t="s">
        <v>1934</v>
      </c>
      <c r="B1563" s="384" t="s">
        <v>88</v>
      </c>
      <c r="C1563" s="384"/>
      <c r="D1563" s="386" t="s">
        <v>1935</v>
      </c>
      <c r="E1563" s="390" t="s">
        <v>1249</v>
      </c>
      <c r="F1563" s="396" t="s">
        <v>1313</v>
      </c>
    </row>
    <row r="1564" spans="1:6" ht="48">
      <c r="A1564" s="405" t="s">
        <v>1932</v>
      </c>
      <c r="B1564" s="384" t="s">
        <v>88</v>
      </c>
      <c r="C1564" s="384"/>
      <c r="D1564" s="386" t="s">
        <v>1933</v>
      </c>
      <c r="E1564" s="390" t="s">
        <v>1249</v>
      </c>
      <c r="F1564" s="396" t="s">
        <v>1313</v>
      </c>
    </row>
    <row r="1565" spans="1:6" ht="72">
      <c r="A1565" s="405" t="s">
        <v>1930</v>
      </c>
      <c r="B1565" s="384" t="s">
        <v>88</v>
      </c>
      <c r="C1565" s="384"/>
      <c r="D1565" s="386" t="s">
        <v>1931</v>
      </c>
      <c r="E1565" s="390" t="s">
        <v>1249</v>
      </c>
      <c r="F1565" s="396" t="s">
        <v>1313</v>
      </c>
    </row>
    <row r="1566" spans="1:6" ht="72">
      <c r="A1566" s="405" t="s">
        <v>1928</v>
      </c>
      <c r="B1566" s="384" t="s">
        <v>88</v>
      </c>
      <c r="C1566" s="384"/>
      <c r="D1566" s="386" t="s">
        <v>1929</v>
      </c>
      <c r="E1566" s="390" t="s">
        <v>1249</v>
      </c>
      <c r="F1566" s="396" t="s">
        <v>1313</v>
      </c>
    </row>
    <row r="1567" spans="1:6" ht="48">
      <c r="A1567" s="405" t="s">
        <v>1926</v>
      </c>
      <c r="B1567" s="384" t="s">
        <v>88</v>
      </c>
      <c r="C1567" s="384" t="s">
        <v>1238</v>
      </c>
      <c r="D1567" s="385" t="s">
        <v>1927</v>
      </c>
      <c r="E1567" s="390" t="s">
        <v>1239</v>
      </c>
      <c r="F1567" s="396" t="s">
        <v>1313</v>
      </c>
    </row>
    <row r="1568" spans="1:6" ht="48">
      <c r="A1568" s="405" t="s">
        <v>1924</v>
      </c>
      <c r="B1568" s="384" t="s">
        <v>23</v>
      </c>
      <c r="C1568" s="384" t="s">
        <v>1277</v>
      </c>
      <c r="D1568" s="385" t="s">
        <v>1925</v>
      </c>
      <c r="E1568" s="390" t="s">
        <v>1239</v>
      </c>
      <c r="F1568" s="396" t="s">
        <v>1313</v>
      </c>
    </row>
    <row r="1569" spans="1:6" ht="72">
      <c r="A1569" s="405" t="s">
        <v>1922</v>
      </c>
      <c r="B1569" s="384" t="s">
        <v>88</v>
      </c>
      <c r="C1569" s="384" t="s">
        <v>1255</v>
      </c>
      <c r="D1569" s="385" t="s">
        <v>1565</v>
      </c>
      <c r="E1569" s="390" t="s">
        <v>1239</v>
      </c>
      <c r="F1569" s="396" t="s">
        <v>1313</v>
      </c>
    </row>
    <row r="1570" spans="1:6" ht="72">
      <c r="A1570" s="405" t="s">
        <v>1922</v>
      </c>
      <c r="B1570" s="384" t="s">
        <v>88</v>
      </c>
      <c r="C1570" s="384" t="s">
        <v>1255</v>
      </c>
      <c r="D1570" s="385" t="s">
        <v>1564</v>
      </c>
      <c r="E1570" s="390" t="s">
        <v>1239</v>
      </c>
      <c r="F1570" s="396" t="s">
        <v>1313</v>
      </c>
    </row>
    <row r="1571" spans="1:6" ht="72">
      <c r="A1571" s="405" t="s">
        <v>1919</v>
      </c>
      <c r="B1571" s="384" t="s">
        <v>88</v>
      </c>
      <c r="C1571" s="384" t="s">
        <v>1277</v>
      </c>
      <c r="D1571" s="385" t="s">
        <v>1921</v>
      </c>
      <c r="E1571" s="390" t="s">
        <v>1239</v>
      </c>
      <c r="F1571" s="396" t="s">
        <v>1313</v>
      </c>
    </row>
    <row r="1572" spans="1:6">
      <c r="A1572" s="405" t="s">
        <v>1919</v>
      </c>
      <c r="B1572" s="384" t="s">
        <v>88</v>
      </c>
      <c r="C1572" s="384" t="s">
        <v>1277</v>
      </c>
      <c r="D1572" s="385" t="s">
        <v>1920</v>
      </c>
      <c r="E1572" s="390" t="s">
        <v>1239</v>
      </c>
      <c r="F1572" s="396" t="s">
        <v>1313</v>
      </c>
    </row>
    <row r="1573" spans="1:6" ht="72">
      <c r="A1573" s="405" t="s">
        <v>1913</v>
      </c>
      <c r="B1573" s="384" t="s">
        <v>88</v>
      </c>
      <c r="C1573" s="384"/>
      <c r="D1573" s="386" t="s">
        <v>1914</v>
      </c>
      <c r="E1573" s="390" t="s">
        <v>1249</v>
      </c>
      <c r="F1573" s="396" t="s">
        <v>1313</v>
      </c>
    </row>
    <row r="1574" spans="1:6" ht="72">
      <c r="A1574" s="405" t="s">
        <v>1911</v>
      </c>
      <c r="B1574" s="384" t="s">
        <v>88</v>
      </c>
      <c r="C1574" s="384"/>
      <c r="D1574" s="386" t="s">
        <v>1912</v>
      </c>
      <c r="E1574" s="390" t="s">
        <v>1249</v>
      </c>
      <c r="F1574" s="396" t="s">
        <v>1313</v>
      </c>
    </row>
    <row r="1575" spans="1:6" ht="48">
      <c r="A1575" s="405" t="s">
        <v>1909</v>
      </c>
      <c r="B1575" s="384" t="s">
        <v>88</v>
      </c>
      <c r="C1575" s="384"/>
      <c r="D1575" s="386" t="s">
        <v>1910</v>
      </c>
      <c r="E1575" s="390" t="s">
        <v>1249</v>
      </c>
      <c r="F1575" s="396" t="s">
        <v>1313</v>
      </c>
    </row>
    <row r="1576" spans="1:6" ht="72">
      <c r="A1576" s="405" t="s">
        <v>1907</v>
      </c>
      <c r="B1576" s="384" t="s">
        <v>88</v>
      </c>
      <c r="C1576" s="384"/>
      <c r="D1576" s="386" t="s">
        <v>1908</v>
      </c>
      <c r="E1576" s="390" t="s">
        <v>1249</v>
      </c>
      <c r="F1576" s="396" t="s">
        <v>1313</v>
      </c>
    </row>
    <row r="1577" spans="1:6" ht="72">
      <c r="A1577" s="405" t="s">
        <v>1905</v>
      </c>
      <c r="B1577" s="384" t="s">
        <v>88</v>
      </c>
      <c r="C1577" s="384"/>
      <c r="D1577" s="386" t="s">
        <v>1906</v>
      </c>
      <c r="E1577" s="390" t="s">
        <v>1249</v>
      </c>
      <c r="F1577" s="396" t="s">
        <v>1313</v>
      </c>
    </row>
    <row r="1578" spans="1:6" ht="72">
      <c r="A1578" s="405" t="s">
        <v>1903</v>
      </c>
      <c r="B1578" s="384" t="s">
        <v>88</v>
      </c>
      <c r="C1578" s="384"/>
      <c r="D1578" s="386" t="s">
        <v>1904</v>
      </c>
      <c r="E1578" s="390" t="s">
        <v>1249</v>
      </c>
      <c r="F1578" s="396" t="s">
        <v>1313</v>
      </c>
    </row>
    <row r="1579" spans="1:6" ht="72">
      <c r="A1579" s="405" t="s">
        <v>1901</v>
      </c>
      <c r="B1579" s="384" t="s">
        <v>88</v>
      </c>
      <c r="C1579" s="384"/>
      <c r="D1579" s="386" t="s">
        <v>1902</v>
      </c>
      <c r="E1579" s="390" t="s">
        <v>1249</v>
      </c>
      <c r="F1579" s="396" t="s">
        <v>1313</v>
      </c>
    </row>
    <row r="1580" spans="1:6" ht="72">
      <c r="A1580" s="405" t="s">
        <v>1899</v>
      </c>
      <c r="B1580" s="384" t="s">
        <v>88</v>
      </c>
      <c r="C1580" s="384"/>
      <c r="D1580" s="386" t="s">
        <v>1900</v>
      </c>
      <c r="E1580" s="390" t="s">
        <v>1249</v>
      </c>
      <c r="F1580" s="396" t="s">
        <v>1313</v>
      </c>
    </row>
    <row r="1581" spans="1:6" ht="72">
      <c r="A1581" s="405" t="s">
        <v>1897</v>
      </c>
      <c r="B1581" s="384" t="s">
        <v>88</v>
      </c>
      <c r="C1581" s="384"/>
      <c r="D1581" s="386" t="s">
        <v>1898</v>
      </c>
      <c r="E1581" s="390" t="s">
        <v>1249</v>
      </c>
      <c r="F1581" s="396" t="s">
        <v>1313</v>
      </c>
    </row>
    <row r="1582" spans="1:6" ht="72">
      <c r="A1582" s="405" t="s">
        <v>1895</v>
      </c>
      <c r="B1582" s="384" t="s">
        <v>23</v>
      </c>
      <c r="C1582" s="384"/>
      <c r="D1582" s="386" t="s">
        <v>1896</v>
      </c>
      <c r="E1582" s="390" t="s">
        <v>1249</v>
      </c>
      <c r="F1582" s="396" t="s">
        <v>1313</v>
      </c>
    </row>
    <row r="1583" spans="1:6" ht="72">
      <c r="A1583" s="405" t="s">
        <v>1894</v>
      </c>
      <c r="B1583" s="384" t="s">
        <v>88</v>
      </c>
      <c r="C1583" s="384" t="s">
        <v>1255</v>
      </c>
      <c r="D1583" s="385" t="s">
        <v>1565</v>
      </c>
      <c r="E1583" s="390" t="s">
        <v>1239</v>
      </c>
      <c r="F1583" s="396" t="s">
        <v>1313</v>
      </c>
    </row>
    <row r="1584" spans="1:6" ht="72">
      <c r="A1584" s="405" t="s">
        <v>1894</v>
      </c>
      <c r="B1584" s="384" t="s">
        <v>88</v>
      </c>
      <c r="C1584" s="384" t="s">
        <v>1255</v>
      </c>
      <c r="D1584" s="385" t="s">
        <v>1564</v>
      </c>
      <c r="E1584" s="390" t="s">
        <v>1239</v>
      </c>
      <c r="F1584" s="396" t="s">
        <v>1313</v>
      </c>
    </row>
    <row r="1585" spans="1:6" ht="72">
      <c r="A1585" s="405" t="s">
        <v>1892</v>
      </c>
      <c r="B1585" s="384" t="s">
        <v>88</v>
      </c>
      <c r="C1585" s="384" t="s">
        <v>1277</v>
      </c>
      <c r="D1585" s="385" t="s">
        <v>1893</v>
      </c>
      <c r="E1585" s="390" t="s">
        <v>1239</v>
      </c>
      <c r="F1585" s="396" t="s">
        <v>1313</v>
      </c>
    </row>
    <row r="1586" spans="1:6" ht="72">
      <c r="A1586" s="405" t="s">
        <v>1890</v>
      </c>
      <c r="B1586" s="384" t="s">
        <v>88</v>
      </c>
      <c r="C1586" s="384"/>
      <c r="D1586" s="386" t="s">
        <v>1891</v>
      </c>
      <c r="E1586" s="390" t="s">
        <v>1249</v>
      </c>
      <c r="F1586" s="396" t="s">
        <v>1313</v>
      </c>
    </row>
    <row r="1587" spans="1:6" ht="72">
      <c r="A1587" s="405" t="s">
        <v>1889</v>
      </c>
      <c r="B1587" s="384" t="s">
        <v>88</v>
      </c>
      <c r="C1587" s="384" t="s">
        <v>1255</v>
      </c>
      <c r="D1587" s="385" t="s">
        <v>1565</v>
      </c>
      <c r="E1587" s="390" t="s">
        <v>1239</v>
      </c>
      <c r="F1587" s="396" t="s">
        <v>1313</v>
      </c>
    </row>
    <row r="1588" spans="1:6" ht="72">
      <c r="A1588" s="405" t="s">
        <v>1889</v>
      </c>
      <c r="B1588" s="384" t="s">
        <v>88</v>
      </c>
      <c r="C1588" s="384" t="s">
        <v>1255</v>
      </c>
      <c r="D1588" s="385" t="s">
        <v>1564</v>
      </c>
      <c r="E1588" s="390" t="s">
        <v>1239</v>
      </c>
      <c r="F1588" s="396" t="s">
        <v>1313</v>
      </c>
    </row>
    <row r="1589" spans="1:6" ht="72">
      <c r="A1589" s="405" t="s">
        <v>1887</v>
      </c>
      <c r="B1589" s="384" t="s">
        <v>88</v>
      </c>
      <c r="C1589" s="384"/>
      <c r="D1589" s="386" t="s">
        <v>1888</v>
      </c>
      <c r="E1589" s="390" t="s">
        <v>1249</v>
      </c>
      <c r="F1589" s="396" t="s">
        <v>1313</v>
      </c>
    </row>
    <row r="1590" spans="1:6" ht="72">
      <c r="A1590" s="405" t="s">
        <v>1885</v>
      </c>
      <c r="B1590" s="384" t="s">
        <v>88</v>
      </c>
      <c r="C1590" s="384"/>
      <c r="D1590" s="386" t="s">
        <v>1886</v>
      </c>
      <c r="E1590" s="390" t="s">
        <v>1249</v>
      </c>
      <c r="F1590" s="396" t="s">
        <v>1313</v>
      </c>
    </row>
    <row r="1591" spans="1:6" ht="48">
      <c r="A1591" s="405" t="s">
        <v>1883</v>
      </c>
      <c r="B1591" s="384" t="s">
        <v>23</v>
      </c>
      <c r="C1591" s="384" t="s">
        <v>1277</v>
      </c>
      <c r="D1591" s="385" t="s">
        <v>1884</v>
      </c>
      <c r="E1591" s="390" t="s">
        <v>1239</v>
      </c>
      <c r="F1591" s="396" t="s">
        <v>1313</v>
      </c>
    </row>
    <row r="1592" spans="1:6" ht="96">
      <c r="A1592" s="405" t="s">
        <v>1881</v>
      </c>
      <c r="B1592" s="384" t="s">
        <v>23</v>
      </c>
      <c r="C1592" s="384"/>
      <c r="D1592" s="386" t="s">
        <v>1882</v>
      </c>
      <c r="E1592" s="390" t="s">
        <v>1249</v>
      </c>
      <c r="F1592" s="396" t="s">
        <v>1313</v>
      </c>
    </row>
    <row r="1593" spans="1:6" ht="72">
      <c r="A1593" s="405" t="s">
        <v>1879</v>
      </c>
      <c r="B1593" s="384" t="s">
        <v>88</v>
      </c>
      <c r="C1593" s="384"/>
      <c r="D1593" s="386" t="s">
        <v>1880</v>
      </c>
      <c r="E1593" s="390" t="s">
        <v>1249</v>
      </c>
      <c r="F1593" s="396" t="s">
        <v>1313</v>
      </c>
    </row>
    <row r="1594" spans="1:6" ht="72">
      <c r="A1594" s="405" t="s">
        <v>1876</v>
      </c>
      <c r="B1594" s="384" t="s">
        <v>23</v>
      </c>
      <c r="C1594" s="384" t="s">
        <v>1277</v>
      </c>
      <c r="D1594" s="385" t="s">
        <v>1878</v>
      </c>
      <c r="E1594" s="390" t="s">
        <v>1239</v>
      </c>
      <c r="F1594" s="396" t="s">
        <v>1313</v>
      </c>
    </row>
    <row r="1595" spans="1:6" ht="48">
      <c r="A1595" s="405" t="s">
        <v>1876</v>
      </c>
      <c r="B1595" s="384" t="s">
        <v>23</v>
      </c>
      <c r="C1595" s="384" t="s">
        <v>1277</v>
      </c>
      <c r="D1595" s="385" t="s">
        <v>1877</v>
      </c>
      <c r="E1595" s="390" t="s">
        <v>1239</v>
      </c>
      <c r="F1595" s="396" t="s">
        <v>1313</v>
      </c>
    </row>
    <row r="1596" spans="1:6" ht="72">
      <c r="A1596" s="405" t="s">
        <v>1874</v>
      </c>
      <c r="B1596" s="384" t="s">
        <v>88</v>
      </c>
      <c r="C1596" s="384" t="s">
        <v>1255</v>
      </c>
      <c r="D1596" s="385" t="s">
        <v>1565</v>
      </c>
      <c r="E1596" s="390" t="s">
        <v>1239</v>
      </c>
      <c r="F1596" s="396" t="s">
        <v>1313</v>
      </c>
    </row>
    <row r="1597" spans="1:6" ht="72">
      <c r="A1597" s="405" t="s">
        <v>1874</v>
      </c>
      <c r="B1597" s="384" t="s">
        <v>88</v>
      </c>
      <c r="C1597" s="384" t="s">
        <v>1255</v>
      </c>
      <c r="D1597" s="385" t="s">
        <v>1564</v>
      </c>
      <c r="E1597" s="390" t="s">
        <v>1239</v>
      </c>
      <c r="F1597" s="396" t="s">
        <v>1313</v>
      </c>
    </row>
    <row r="1598" spans="1:6" ht="72">
      <c r="A1598" s="405" t="s">
        <v>1874</v>
      </c>
      <c r="B1598" s="384" t="s">
        <v>88</v>
      </c>
      <c r="C1598" s="384" t="s">
        <v>1255</v>
      </c>
      <c r="D1598" s="385" t="s">
        <v>1875</v>
      </c>
      <c r="E1598" s="390" t="s">
        <v>1239</v>
      </c>
      <c r="F1598" s="396" t="s">
        <v>1313</v>
      </c>
    </row>
    <row r="1599" spans="1:6" ht="72">
      <c r="A1599" s="405" t="s">
        <v>1872</v>
      </c>
      <c r="B1599" s="384" t="s">
        <v>88</v>
      </c>
      <c r="C1599" s="384" t="s">
        <v>1255</v>
      </c>
      <c r="D1599" s="385" t="s">
        <v>1873</v>
      </c>
      <c r="E1599" s="390" t="s">
        <v>1239</v>
      </c>
      <c r="F1599" s="396" t="s">
        <v>1313</v>
      </c>
    </row>
    <row r="1600" spans="1:6" ht="48">
      <c r="A1600" s="405" t="s">
        <v>1869</v>
      </c>
      <c r="B1600" s="384" t="s">
        <v>88</v>
      </c>
      <c r="C1600" s="384" t="s">
        <v>1238</v>
      </c>
      <c r="D1600" s="385" t="s">
        <v>1871</v>
      </c>
      <c r="E1600" s="390" t="s">
        <v>1239</v>
      </c>
      <c r="F1600" s="396" t="s">
        <v>1313</v>
      </c>
    </row>
    <row r="1601" spans="1:6" ht="72">
      <c r="A1601" s="405" t="s">
        <v>1869</v>
      </c>
      <c r="B1601" s="384" t="s">
        <v>88</v>
      </c>
      <c r="C1601" s="384" t="s">
        <v>1277</v>
      </c>
      <c r="D1601" s="385" t="s">
        <v>1870</v>
      </c>
      <c r="E1601" s="390" t="s">
        <v>1239</v>
      </c>
      <c r="F1601" s="396" t="s">
        <v>1313</v>
      </c>
    </row>
    <row r="1602" spans="1:6" ht="72">
      <c r="A1602" s="405" t="s">
        <v>1863</v>
      </c>
      <c r="B1602" s="384" t="s">
        <v>88</v>
      </c>
      <c r="C1602" s="384"/>
      <c r="D1602" s="386" t="s">
        <v>1864</v>
      </c>
      <c r="E1602" s="390" t="s">
        <v>1249</v>
      </c>
      <c r="F1602" s="396" t="s">
        <v>1313</v>
      </c>
    </row>
    <row r="1603" spans="1:6" ht="48">
      <c r="A1603" s="405" t="s">
        <v>1861</v>
      </c>
      <c r="B1603" s="384" t="s">
        <v>23</v>
      </c>
      <c r="C1603" s="384"/>
      <c r="D1603" s="386" t="s">
        <v>1862</v>
      </c>
      <c r="E1603" s="390" t="s">
        <v>1249</v>
      </c>
      <c r="F1603" s="396" t="s">
        <v>1313</v>
      </c>
    </row>
    <row r="1604" spans="1:6" ht="72">
      <c r="A1604" s="405" t="s">
        <v>1859</v>
      </c>
      <c r="B1604" s="384" t="s">
        <v>88</v>
      </c>
      <c r="C1604" s="384"/>
      <c r="D1604" s="386" t="s">
        <v>1860</v>
      </c>
      <c r="E1604" s="390" t="s">
        <v>1249</v>
      </c>
      <c r="F1604" s="396" t="s">
        <v>1313</v>
      </c>
    </row>
    <row r="1605" spans="1:6" ht="72">
      <c r="A1605" s="405" t="s">
        <v>1857</v>
      </c>
      <c r="B1605" s="384" t="s">
        <v>23</v>
      </c>
      <c r="C1605" s="384"/>
      <c r="D1605" s="386" t="s">
        <v>1858</v>
      </c>
      <c r="E1605" s="390" t="s">
        <v>1249</v>
      </c>
      <c r="F1605" s="396" t="s">
        <v>1313</v>
      </c>
    </row>
    <row r="1606" spans="1:6" ht="48">
      <c r="A1606" s="405" t="s">
        <v>1855</v>
      </c>
      <c r="B1606" s="384" t="s">
        <v>23</v>
      </c>
      <c r="C1606" s="384" t="s">
        <v>1277</v>
      </c>
      <c r="D1606" s="385" t="s">
        <v>1856</v>
      </c>
      <c r="E1606" s="390" t="s">
        <v>1239</v>
      </c>
      <c r="F1606" s="396" t="s">
        <v>1313</v>
      </c>
    </row>
    <row r="1607" spans="1:6" ht="72">
      <c r="A1607" s="405" t="s">
        <v>1851</v>
      </c>
      <c r="B1607" s="384" t="s">
        <v>1076</v>
      </c>
      <c r="C1607" s="384" t="s">
        <v>1277</v>
      </c>
      <c r="D1607" s="385" t="s">
        <v>1852</v>
      </c>
      <c r="E1607" s="390" t="s">
        <v>1239</v>
      </c>
      <c r="F1607" s="396" t="s">
        <v>1313</v>
      </c>
    </row>
    <row r="1608" spans="1:6" ht="72">
      <c r="A1608" s="405" t="s">
        <v>1850</v>
      </c>
      <c r="B1608" s="384" t="s">
        <v>88</v>
      </c>
      <c r="C1608" s="384" t="s">
        <v>1255</v>
      </c>
      <c r="D1608" s="385" t="s">
        <v>1565</v>
      </c>
      <c r="E1608" s="390" t="s">
        <v>1239</v>
      </c>
      <c r="F1608" s="396" t="s">
        <v>1313</v>
      </c>
    </row>
    <row r="1609" spans="1:6" ht="72">
      <c r="A1609" s="405" t="s">
        <v>1850</v>
      </c>
      <c r="B1609" s="384" t="s">
        <v>88</v>
      </c>
      <c r="C1609" s="384" t="s">
        <v>1255</v>
      </c>
      <c r="D1609" s="385" t="s">
        <v>1564</v>
      </c>
      <c r="E1609" s="390" t="s">
        <v>1239</v>
      </c>
      <c r="F1609" s="396" t="s">
        <v>1313</v>
      </c>
    </row>
    <row r="1610" spans="1:6" ht="72">
      <c r="A1610" s="405" t="s">
        <v>1848</v>
      </c>
      <c r="B1610" s="384" t="s">
        <v>88</v>
      </c>
      <c r="C1610" s="384" t="s">
        <v>1277</v>
      </c>
      <c r="D1610" s="385" t="s">
        <v>1849</v>
      </c>
      <c r="E1610" s="390" t="s">
        <v>1239</v>
      </c>
      <c r="F1610" s="396" t="s">
        <v>1313</v>
      </c>
    </row>
    <row r="1611" spans="1:6" ht="72">
      <c r="A1611" s="405" t="s">
        <v>1842</v>
      </c>
      <c r="B1611" s="384" t="s">
        <v>88</v>
      </c>
      <c r="C1611" s="384"/>
      <c r="D1611" s="386" t="s">
        <v>1843</v>
      </c>
      <c r="E1611" s="390" t="s">
        <v>1249</v>
      </c>
      <c r="F1611" s="396" t="s">
        <v>1313</v>
      </c>
    </row>
    <row r="1612" spans="1:6" ht="72">
      <c r="A1612" s="405" t="s">
        <v>1840</v>
      </c>
      <c r="B1612" s="384" t="s">
        <v>88</v>
      </c>
      <c r="C1612" s="384"/>
      <c r="D1612" s="386" t="s">
        <v>1841</v>
      </c>
      <c r="E1612" s="390" t="s">
        <v>1249</v>
      </c>
      <c r="F1612" s="396" t="s">
        <v>1313</v>
      </c>
    </row>
    <row r="1613" spans="1:6" ht="72">
      <c r="A1613" s="405" t="s">
        <v>1838</v>
      </c>
      <c r="B1613" s="384" t="s">
        <v>88</v>
      </c>
      <c r="C1613" s="384"/>
      <c r="D1613" s="386" t="s">
        <v>1839</v>
      </c>
      <c r="E1613" s="390" t="s">
        <v>1249</v>
      </c>
      <c r="F1613" s="396" t="s">
        <v>1313</v>
      </c>
    </row>
    <row r="1614" spans="1:6" ht="72">
      <c r="A1614" s="405" t="s">
        <v>1836</v>
      </c>
      <c r="B1614" s="384" t="s">
        <v>88</v>
      </c>
      <c r="C1614" s="384"/>
      <c r="D1614" s="386" t="s">
        <v>1837</v>
      </c>
      <c r="E1614" s="390" t="s">
        <v>1249</v>
      </c>
      <c r="F1614" s="396" t="s">
        <v>1313</v>
      </c>
    </row>
    <row r="1615" spans="1:6" ht="48">
      <c r="A1615" s="405" t="s">
        <v>1834</v>
      </c>
      <c r="B1615" s="384" t="s">
        <v>88</v>
      </c>
      <c r="C1615" s="384"/>
      <c r="D1615" s="386" t="s">
        <v>1835</v>
      </c>
      <c r="E1615" s="390" t="s">
        <v>1249</v>
      </c>
      <c r="F1615" s="396" t="s">
        <v>1313</v>
      </c>
    </row>
    <row r="1616" spans="1:6" ht="72">
      <c r="A1616" s="405" t="s">
        <v>1832</v>
      </c>
      <c r="B1616" s="384" t="s">
        <v>88</v>
      </c>
      <c r="C1616" s="384"/>
      <c r="D1616" s="386" t="s">
        <v>1833</v>
      </c>
      <c r="E1616" s="390" t="s">
        <v>1249</v>
      </c>
      <c r="F1616" s="396" t="s">
        <v>1313</v>
      </c>
    </row>
    <row r="1617" spans="1:6" ht="72">
      <c r="A1617" s="405" t="s">
        <v>1830</v>
      </c>
      <c r="B1617" s="384" t="s">
        <v>23</v>
      </c>
      <c r="C1617" s="384"/>
      <c r="D1617" s="386" t="s">
        <v>1831</v>
      </c>
      <c r="E1617" s="390" t="s">
        <v>1249</v>
      </c>
      <c r="F1617" s="396" t="s">
        <v>1313</v>
      </c>
    </row>
    <row r="1618" spans="1:6" ht="72">
      <c r="A1618" s="405" t="s">
        <v>1828</v>
      </c>
      <c r="B1618" s="384" t="s">
        <v>88</v>
      </c>
      <c r="C1618" s="384"/>
      <c r="D1618" s="386" t="s">
        <v>1829</v>
      </c>
      <c r="E1618" s="390" t="s">
        <v>1249</v>
      </c>
      <c r="F1618" s="396" t="s">
        <v>1313</v>
      </c>
    </row>
    <row r="1619" spans="1:6" ht="72">
      <c r="A1619" s="405" t="s">
        <v>1826</v>
      </c>
      <c r="B1619" s="384" t="s">
        <v>88</v>
      </c>
      <c r="C1619" s="384"/>
      <c r="D1619" s="386" t="s">
        <v>1827</v>
      </c>
      <c r="E1619" s="390" t="s">
        <v>1249</v>
      </c>
      <c r="F1619" s="396" t="s">
        <v>1313</v>
      </c>
    </row>
    <row r="1620" spans="1:6" ht="72">
      <c r="A1620" s="405" t="s">
        <v>1824</v>
      </c>
      <c r="B1620" s="384" t="s">
        <v>88</v>
      </c>
      <c r="C1620" s="384"/>
      <c r="D1620" s="386" t="s">
        <v>1825</v>
      </c>
      <c r="E1620" s="390" t="s">
        <v>1249</v>
      </c>
      <c r="F1620" s="396" t="s">
        <v>1313</v>
      </c>
    </row>
    <row r="1621" spans="1:6" ht="72">
      <c r="A1621" s="405" t="s">
        <v>1822</v>
      </c>
      <c r="B1621" s="384" t="s">
        <v>88</v>
      </c>
      <c r="C1621" s="384"/>
      <c r="D1621" s="386" t="s">
        <v>1823</v>
      </c>
      <c r="E1621" s="390" t="s">
        <v>1249</v>
      </c>
      <c r="F1621" s="396" t="s">
        <v>1313</v>
      </c>
    </row>
    <row r="1622" spans="1:6" ht="48">
      <c r="A1622" s="405" t="s">
        <v>1820</v>
      </c>
      <c r="B1622" s="384" t="s">
        <v>88</v>
      </c>
      <c r="C1622" s="384"/>
      <c r="D1622" s="386" t="s">
        <v>1821</v>
      </c>
      <c r="E1622" s="390" t="s">
        <v>1249</v>
      </c>
      <c r="F1622" s="396" t="s">
        <v>1313</v>
      </c>
    </row>
    <row r="1623" spans="1:6" ht="48">
      <c r="A1623" s="405" t="s">
        <v>1818</v>
      </c>
      <c r="B1623" s="384" t="s">
        <v>88</v>
      </c>
      <c r="C1623" s="384"/>
      <c r="D1623" s="386" t="s">
        <v>1819</v>
      </c>
      <c r="E1623" s="390" t="s">
        <v>1249</v>
      </c>
      <c r="F1623" s="396" t="s">
        <v>1313</v>
      </c>
    </row>
    <row r="1624" spans="1:6" ht="48">
      <c r="A1624" s="405" t="s">
        <v>1816</v>
      </c>
      <c r="B1624" s="384" t="s">
        <v>88</v>
      </c>
      <c r="C1624" s="384"/>
      <c r="D1624" s="386" t="s">
        <v>1817</v>
      </c>
      <c r="E1624" s="390" t="s">
        <v>1249</v>
      </c>
      <c r="F1624" s="396" t="s">
        <v>1313</v>
      </c>
    </row>
    <row r="1625" spans="1:6" ht="48">
      <c r="A1625" s="405" t="s">
        <v>1814</v>
      </c>
      <c r="B1625" s="384" t="s">
        <v>88</v>
      </c>
      <c r="C1625" s="384"/>
      <c r="D1625" s="386" t="s">
        <v>1815</v>
      </c>
      <c r="E1625" s="390" t="s">
        <v>1249</v>
      </c>
      <c r="F1625" s="396" t="s">
        <v>1313</v>
      </c>
    </row>
    <row r="1626" spans="1:6" ht="72">
      <c r="A1626" s="405" t="s">
        <v>1812</v>
      </c>
      <c r="B1626" s="384" t="s">
        <v>88</v>
      </c>
      <c r="C1626" s="384"/>
      <c r="D1626" s="386" t="s">
        <v>1813</v>
      </c>
      <c r="E1626" s="390" t="s">
        <v>1249</v>
      </c>
      <c r="F1626" s="396" t="s">
        <v>1313</v>
      </c>
    </row>
    <row r="1627" spans="1:6" ht="48">
      <c r="A1627" s="405" t="s">
        <v>1810</v>
      </c>
      <c r="B1627" s="384" t="s">
        <v>88</v>
      </c>
      <c r="C1627" s="384"/>
      <c r="D1627" s="386" t="s">
        <v>1811</v>
      </c>
      <c r="E1627" s="390" t="s">
        <v>1249</v>
      </c>
      <c r="F1627" s="396" t="s">
        <v>1313</v>
      </c>
    </row>
    <row r="1628" spans="1:6" ht="96">
      <c r="A1628" s="405" t="s">
        <v>1808</v>
      </c>
      <c r="B1628" s="384" t="s">
        <v>23</v>
      </c>
      <c r="C1628" s="384" t="s">
        <v>1255</v>
      </c>
      <c r="D1628" s="385" t="s">
        <v>1809</v>
      </c>
      <c r="E1628" s="390" t="s">
        <v>1239</v>
      </c>
      <c r="F1628" s="396" t="s">
        <v>1313</v>
      </c>
    </row>
    <row r="1629" spans="1:6" ht="48">
      <c r="A1629" s="405" t="s">
        <v>1803</v>
      </c>
      <c r="B1629" s="384" t="s">
        <v>23</v>
      </c>
      <c r="C1629" s="384" t="s">
        <v>1277</v>
      </c>
      <c r="D1629" s="385" t="s">
        <v>1807</v>
      </c>
      <c r="E1629" s="390" t="s">
        <v>1239</v>
      </c>
      <c r="F1629" s="396" t="s">
        <v>1313</v>
      </c>
    </row>
    <row r="1630" spans="1:6" ht="72">
      <c r="A1630" s="405" t="s">
        <v>1803</v>
      </c>
      <c r="B1630" s="384" t="s">
        <v>88</v>
      </c>
      <c r="C1630" s="384" t="s">
        <v>1255</v>
      </c>
      <c r="D1630" s="385" t="s">
        <v>1565</v>
      </c>
      <c r="E1630" s="390" t="s">
        <v>1239</v>
      </c>
      <c r="F1630" s="396" t="s">
        <v>1313</v>
      </c>
    </row>
    <row r="1631" spans="1:6" ht="72">
      <c r="A1631" s="405" t="s">
        <v>1803</v>
      </c>
      <c r="B1631" s="384" t="s">
        <v>88</v>
      </c>
      <c r="C1631" s="384" t="s">
        <v>1255</v>
      </c>
      <c r="D1631" s="385" t="s">
        <v>1564</v>
      </c>
      <c r="E1631" s="390" t="s">
        <v>1239</v>
      </c>
      <c r="F1631" s="396" t="s">
        <v>1313</v>
      </c>
    </row>
    <row r="1632" spans="1:6" ht="72">
      <c r="A1632" s="405" t="s">
        <v>1801</v>
      </c>
      <c r="B1632" s="384" t="s">
        <v>88</v>
      </c>
      <c r="C1632" s="384" t="s">
        <v>1277</v>
      </c>
      <c r="D1632" s="385" t="s">
        <v>1802</v>
      </c>
      <c r="E1632" s="390" t="s">
        <v>1239</v>
      </c>
      <c r="F1632" s="396" t="s">
        <v>1313</v>
      </c>
    </row>
    <row r="1633" spans="1:6" ht="72">
      <c r="A1633" s="405" t="s">
        <v>1798</v>
      </c>
      <c r="B1633" s="384" t="s">
        <v>88</v>
      </c>
      <c r="C1633" s="384"/>
      <c r="D1633" s="386" t="s">
        <v>1799</v>
      </c>
      <c r="E1633" s="390" t="s">
        <v>1249</v>
      </c>
      <c r="F1633" s="396" t="s">
        <v>1313</v>
      </c>
    </row>
    <row r="1634" spans="1:6" ht="72">
      <c r="A1634" s="405" t="s">
        <v>1796</v>
      </c>
      <c r="B1634" s="384" t="s">
        <v>88</v>
      </c>
      <c r="C1634" s="384"/>
      <c r="D1634" s="386" t="s">
        <v>1797</v>
      </c>
      <c r="E1634" s="390" t="s">
        <v>1249</v>
      </c>
      <c r="F1634" s="396" t="s">
        <v>1313</v>
      </c>
    </row>
    <row r="1635" spans="1:6" ht="72">
      <c r="A1635" s="405" t="s">
        <v>1794</v>
      </c>
      <c r="B1635" s="384" t="s">
        <v>88</v>
      </c>
      <c r="C1635" s="384"/>
      <c r="D1635" s="386" t="s">
        <v>1795</v>
      </c>
      <c r="E1635" s="390" t="s">
        <v>1249</v>
      </c>
      <c r="F1635" s="396" t="s">
        <v>1313</v>
      </c>
    </row>
    <row r="1636" spans="1:6" ht="96">
      <c r="A1636" s="405" t="s">
        <v>1792</v>
      </c>
      <c r="B1636" s="384" t="s">
        <v>23</v>
      </c>
      <c r="C1636" s="384"/>
      <c r="D1636" s="386" t="s">
        <v>1793</v>
      </c>
      <c r="E1636" s="390" t="s">
        <v>1249</v>
      </c>
      <c r="F1636" s="396" t="s">
        <v>1313</v>
      </c>
    </row>
    <row r="1637" spans="1:6" ht="48">
      <c r="A1637" s="405" t="s">
        <v>1791</v>
      </c>
      <c r="B1637" s="384" t="s">
        <v>23</v>
      </c>
      <c r="C1637" s="384" t="s">
        <v>1238</v>
      </c>
      <c r="D1637" s="385" t="s">
        <v>1623</v>
      </c>
      <c r="E1637" s="390" t="s">
        <v>1239</v>
      </c>
      <c r="F1637" s="396" t="s">
        <v>1313</v>
      </c>
    </row>
    <row r="1638" spans="1:6" ht="48">
      <c r="A1638" s="405" t="s">
        <v>1789</v>
      </c>
      <c r="B1638" s="384" t="s">
        <v>23</v>
      </c>
      <c r="C1638" s="384" t="s">
        <v>1277</v>
      </c>
      <c r="D1638" s="385" t="s">
        <v>1790</v>
      </c>
      <c r="E1638" s="390" t="s">
        <v>1239</v>
      </c>
      <c r="F1638" s="396" t="s">
        <v>1313</v>
      </c>
    </row>
    <row r="1639" spans="1:6" ht="72">
      <c r="A1639" s="405" t="s">
        <v>1786</v>
      </c>
      <c r="B1639" s="384" t="s">
        <v>88</v>
      </c>
      <c r="C1639" s="384"/>
      <c r="D1639" s="386" t="s">
        <v>1787</v>
      </c>
      <c r="E1639" s="390" t="s">
        <v>1249</v>
      </c>
      <c r="F1639" s="396" t="s">
        <v>1313</v>
      </c>
    </row>
    <row r="1640" spans="1:6" ht="48">
      <c r="A1640" s="405" t="s">
        <v>1784</v>
      </c>
      <c r="B1640" s="384" t="s">
        <v>88</v>
      </c>
      <c r="C1640" s="384"/>
      <c r="D1640" s="386" t="s">
        <v>1785</v>
      </c>
      <c r="E1640" s="390" t="s">
        <v>1249</v>
      </c>
      <c r="F1640" s="396" t="s">
        <v>1313</v>
      </c>
    </row>
    <row r="1641" spans="1:6" ht="72">
      <c r="A1641" s="405" t="s">
        <v>1783</v>
      </c>
      <c r="B1641" s="384" t="s">
        <v>88</v>
      </c>
      <c r="C1641" s="384" t="s">
        <v>1255</v>
      </c>
      <c r="D1641" s="385" t="s">
        <v>1565</v>
      </c>
      <c r="E1641" s="390" t="s">
        <v>1239</v>
      </c>
      <c r="F1641" s="396" t="s">
        <v>1313</v>
      </c>
    </row>
    <row r="1642" spans="1:6" ht="72">
      <c r="A1642" s="405" t="s">
        <v>1783</v>
      </c>
      <c r="B1642" s="384" t="s">
        <v>88</v>
      </c>
      <c r="C1642" s="384" t="s">
        <v>1255</v>
      </c>
      <c r="D1642" s="385" t="s">
        <v>1564</v>
      </c>
      <c r="E1642" s="390" t="s">
        <v>1239</v>
      </c>
      <c r="F1642" s="396" t="s">
        <v>1313</v>
      </c>
    </row>
    <row r="1643" spans="1:6" ht="48">
      <c r="A1643" s="405" t="s">
        <v>1776</v>
      </c>
      <c r="B1643" s="384" t="s">
        <v>88</v>
      </c>
      <c r="C1643" s="384" t="s">
        <v>1238</v>
      </c>
      <c r="D1643" s="385" t="s">
        <v>1782</v>
      </c>
      <c r="E1643" s="390" t="s">
        <v>1239</v>
      </c>
      <c r="F1643" s="396" t="s">
        <v>1313</v>
      </c>
    </row>
    <row r="1644" spans="1:6" ht="48">
      <c r="A1644" s="405" t="s">
        <v>1776</v>
      </c>
      <c r="B1644" s="384" t="s">
        <v>88</v>
      </c>
      <c r="C1644" s="384" t="s">
        <v>1238</v>
      </c>
      <c r="D1644" s="385" t="s">
        <v>1781</v>
      </c>
      <c r="E1644" s="390" t="s">
        <v>1239</v>
      </c>
      <c r="F1644" s="396" t="s">
        <v>1313</v>
      </c>
    </row>
    <row r="1645" spans="1:6" ht="48">
      <c r="A1645" s="405" t="s">
        <v>1776</v>
      </c>
      <c r="B1645" s="384" t="s">
        <v>88</v>
      </c>
      <c r="C1645" s="384" t="s">
        <v>1238</v>
      </c>
      <c r="D1645" s="385" t="s">
        <v>1780</v>
      </c>
      <c r="E1645" s="390" t="s">
        <v>1239</v>
      </c>
      <c r="F1645" s="396" t="s">
        <v>1313</v>
      </c>
    </row>
    <row r="1646" spans="1:6" ht="48">
      <c r="A1646" s="405" t="s">
        <v>1776</v>
      </c>
      <c r="B1646" s="384" t="s">
        <v>88</v>
      </c>
      <c r="C1646" s="384" t="s">
        <v>1238</v>
      </c>
      <c r="D1646" s="385" t="s">
        <v>1779</v>
      </c>
      <c r="E1646" s="390" t="s">
        <v>1239</v>
      </c>
      <c r="F1646" s="396" t="s">
        <v>1313</v>
      </c>
    </row>
    <row r="1647" spans="1:6" ht="48">
      <c r="A1647" s="405" t="s">
        <v>1776</v>
      </c>
      <c r="B1647" s="384" t="s">
        <v>88</v>
      </c>
      <c r="C1647" s="384" t="s">
        <v>1238</v>
      </c>
      <c r="D1647" s="385" t="s">
        <v>1778</v>
      </c>
      <c r="E1647" s="390" t="s">
        <v>1239</v>
      </c>
      <c r="F1647" s="396" t="s">
        <v>1313</v>
      </c>
    </row>
    <row r="1648" spans="1:6" ht="48">
      <c r="A1648" s="405" t="s">
        <v>1776</v>
      </c>
      <c r="B1648" s="384" t="s">
        <v>88</v>
      </c>
      <c r="C1648" s="384" t="s">
        <v>1238</v>
      </c>
      <c r="D1648" s="385" t="s">
        <v>1777</v>
      </c>
      <c r="E1648" s="390" t="s">
        <v>1239</v>
      </c>
      <c r="F1648" s="396" t="s">
        <v>1313</v>
      </c>
    </row>
    <row r="1649" spans="1:6" ht="72">
      <c r="A1649" s="405" t="s">
        <v>1764</v>
      </c>
      <c r="B1649" s="384" t="s">
        <v>88</v>
      </c>
      <c r="C1649" s="384" t="s">
        <v>1277</v>
      </c>
      <c r="D1649" s="385" t="s">
        <v>1775</v>
      </c>
      <c r="E1649" s="390" t="s">
        <v>1239</v>
      </c>
      <c r="F1649" s="396" t="s">
        <v>1313</v>
      </c>
    </row>
    <row r="1650" spans="1:6" ht="72">
      <c r="A1650" s="405" t="s">
        <v>1764</v>
      </c>
      <c r="B1650" s="384" t="s">
        <v>88</v>
      </c>
      <c r="C1650" s="384" t="s">
        <v>1277</v>
      </c>
      <c r="D1650" s="385" t="s">
        <v>1774</v>
      </c>
      <c r="E1650" s="390" t="s">
        <v>1239</v>
      </c>
      <c r="F1650" s="396" t="s">
        <v>1313</v>
      </c>
    </row>
    <row r="1651" spans="1:6" ht="72">
      <c r="A1651" s="405" t="s">
        <v>1764</v>
      </c>
      <c r="B1651" s="384" t="s">
        <v>88</v>
      </c>
      <c r="C1651" s="384" t="s">
        <v>1277</v>
      </c>
      <c r="D1651" s="385" t="s">
        <v>1773</v>
      </c>
      <c r="E1651" s="390" t="s">
        <v>1239</v>
      </c>
      <c r="F1651" s="396" t="s">
        <v>1313</v>
      </c>
    </row>
    <row r="1652" spans="1:6" ht="72">
      <c r="A1652" s="405" t="s">
        <v>1764</v>
      </c>
      <c r="B1652" s="384" t="s">
        <v>88</v>
      </c>
      <c r="C1652" s="384" t="s">
        <v>1277</v>
      </c>
      <c r="D1652" s="385" t="s">
        <v>1772</v>
      </c>
      <c r="E1652" s="390" t="s">
        <v>1239</v>
      </c>
      <c r="F1652" s="396" t="s">
        <v>1313</v>
      </c>
    </row>
    <row r="1653" spans="1:6" ht="72">
      <c r="A1653" s="405" t="s">
        <v>1764</v>
      </c>
      <c r="B1653" s="384" t="s">
        <v>88</v>
      </c>
      <c r="C1653" s="384" t="s">
        <v>1277</v>
      </c>
      <c r="D1653" s="385" t="s">
        <v>1771</v>
      </c>
      <c r="E1653" s="390" t="s">
        <v>1239</v>
      </c>
      <c r="F1653" s="396" t="s">
        <v>1313</v>
      </c>
    </row>
    <row r="1654" spans="1:6" ht="72">
      <c r="A1654" s="405" t="s">
        <v>1764</v>
      </c>
      <c r="B1654" s="384" t="s">
        <v>88</v>
      </c>
      <c r="C1654" s="384" t="s">
        <v>1277</v>
      </c>
      <c r="D1654" s="385" t="s">
        <v>1770</v>
      </c>
      <c r="E1654" s="390" t="s">
        <v>1239</v>
      </c>
      <c r="F1654" s="396" t="s">
        <v>1313</v>
      </c>
    </row>
    <row r="1655" spans="1:6" ht="72">
      <c r="A1655" s="405" t="s">
        <v>1764</v>
      </c>
      <c r="B1655" s="384" t="s">
        <v>88</v>
      </c>
      <c r="C1655" s="384" t="s">
        <v>1277</v>
      </c>
      <c r="D1655" s="385" t="s">
        <v>1769</v>
      </c>
      <c r="E1655" s="390" t="s">
        <v>1239</v>
      </c>
      <c r="F1655" s="396" t="s">
        <v>1313</v>
      </c>
    </row>
    <row r="1656" spans="1:6" ht="72">
      <c r="A1656" s="405" t="s">
        <v>1764</v>
      </c>
      <c r="B1656" s="384" t="s">
        <v>88</v>
      </c>
      <c r="C1656" s="384" t="s">
        <v>1277</v>
      </c>
      <c r="D1656" s="385" t="s">
        <v>1768</v>
      </c>
      <c r="E1656" s="390" t="s">
        <v>1239</v>
      </c>
      <c r="F1656" s="396" t="s">
        <v>1313</v>
      </c>
    </row>
    <row r="1657" spans="1:6" ht="72">
      <c r="A1657" s="405" t="s">
        <v>1764</v>
      </c>
      <c r="B1657" s="384" t="s">
        <v>88</v>
      </c>
      <c r="C1657" s="384" t="s">
        <v>1277</v>
      </c>
      <c r="D1657" s="385" t="s">
        <v>1767</v>
      </c>
      <c r="E1657" s="390" t="s">
        <v>1239</v>
      </c>
      <c r="F1657" s="396" t="s">
        <v>1313</v>
      </c>
    </row>
    <row r="1658" spans="1:6" ht="72">
      <c r="A1658" s="405" t="s">
        <v>1764</v>
      </c>
      <c r="B1658" s="384" t="s">
        <v>88</v>
      </c>
      <c r="C1658" s="384" t="s">
        <v>1277</v>
      </c>
      <c r="D1658" s="385" t="s">
        <v>1766</v>
      </c>
      <c r="E1658" s="390" t="s">
        <v>1239</v>
      </c>
      <c r="F1658" s="396" t="s">
        <v>1313</v>
      </c>
    </row>
    <row r="1659" spans="1:6" ht="72">
      <c r="A1659" s="405" t="s">
        <v>1764</v>
      </c>
      <c r="B1659" s="384" t="s">
        <v>88</v>
      </c>
      <c r="C1659" s="384" t="s">
        <v>1277</v>
      </c>
      <c r="D1659" s="385" t="s">
        <v>1765</v>
      </c>
      <c r="E1659" s="390" t="s">
        <v>1239</v>
      </c>
      <c r="F1659" s="396" t="s">
        <v>1313</v>
      </c>
    </row>
    <row r="1660" spans="1:6" ht="72">
      <c r="A1660" s="405" t="s">
        <v>1734</v>
      </c>
      <c r="B1660" s="384" t="s">
        <v>23</v>
      </c>
      <c r="C1660" s="384"/>
      <c r="D1660" s="386" t="s">
        <v>1735</v>
      </c>
      <c r="E1660" s="390" t="s">
        <v>1249</v>
      </c>
      <c r="F1660" s="396" t="s">
        <v>1313</v>
      </c>
    </row>
    <row r="1661" spans="1:6" ht="72">
      <c r="A1661" s="405" t="s">
        <v>1732</v>
      </c>
      <c r="B1661" s="384" t="s">
        <v>88</v>
      </c>
      <c r="C1661" s="384"/>
      <c r="D1661" s="386" t="s">
        <v>1733</v>
      </c>
      <c r="E1661" s="390" t="s">
        <v>1249</v>
      </c>
      <c r="F1661" s="396" t="s">
        <v>1313</v>
      </c>
    </row>
    <row r="1662" spans="1:6" ht="48">
      <c r="A1662" s="405" t="s">
        <v>1730</v>
      </c>
      <c r="B1662" s="384" t="s">
        <v>23</v>
      </c>
      <c r="C1662" s="384"/>
      <c r="D1662" s="386" t="s">
        <v>1731</v>
      </c>
      <c r="E1662" s="390" t="s">
        <v>1249</v>
      </c>
      <c r="F1662" s="396" t="s">
        <v>1313</v>
      </c>
    </row>
    <row r="1663" spans="1:6" ht="72">
      <c r="A1663" s="405" t="s">
        <v>1728</v>
      </c>
      <c r="B1663" s="384" t="s">
        <v>88</v>
      </c>
      <c r="C1663" s="384"/>
      <c r="D1663" s="386" t="s">
        <v>1729</v>
      </c>
      <c r="E1663" s="390" t="s">
        <v>1249</v>
      </c>
      <c r="F1663" s="396" t="s">
        <v>1313</v>
      </c>
    </row>
    <row r="1664" spans="1:6" ht="72">
      <c r="A1664" s="405" t="s">
        <v>1726</v>
      </c>
      <c r="B1664" s="384" t="s">
        <v>88</v>
      </c>
      <c r="C1664" s="384"/>
      <c r="D1664" s="386" t="s">
        <v>1727</v>
      </c>
      <c r="E1664" s="390" t="s">
        <v>1249</v>
      </c>
      <c r="F1664" s="396" t="s">
        <v>1313</v>
      </c>
    </row>
    <row r="1665" spans="1:6" ht="72">
      <c r="A1665" s="405" t="s">
        <v>1724</v>
      </c>
      <c r="B1665" s="384" t="s">
        <v>23</v>
      </c>
      <c r="C1665" s="384"/>
      <c r="D1665" s="386" t="s">
        <v>1725</v>
      </c>
      <c r="E1665" s="390" t="s">
        <v>1249</v>
      </c>
      <c r="F1665" s="396" t="s">
        <v>1313</v>
      </c>
    </row>
    <row r="1666" spans="1:6" ht="72">
      <c r="A1666" s="405" t="s">
        <v>1723</v>
      </c>
      <c r="B1666" s="384" t="s">
        <v>88</v>
      </c>
      <c r="C1666" s="384" t="s">
        <v>1255</v>
      </c>
      <c r="D1666" s="385" t="s">
        <v>1565</v>
      </c>
      <c r="E1666" s="390" t="s">
        <v>1239</v>
      </c>
      <c r="F1666" s="396" t="s">
        <v>1313</v>
      </c>
    </row>
    <row r="1667" spans="1:6" ht="72">
      <c r="A1667" s="405" t="s">
        <v>1723</v>
      </c>
      <c r="B1667" s="384" t="s">
        <v>88</v>
      </c>
      <c r="C1667" s="384" t="s">
        <v>1255</v>
      </c>
      <c r="D1667" s="385" t="s">
        <v>1564</v>
      </c>
      <c r="E1667" s="390" t="s">
        <v>1239</v>
      </c>
      <c r="F1667" s="396" t="s">
        <v>1313</v>
      </c>
    </row>
    <row r="1668" spans="1:6" ht="72">
      <c r="A1668" s="405" t="s">
        <v>1721</v>
      </c>
      <c r="B1668" s="384" t="s">
        <v>23</v>
      </c>
      <c r="C1668" s="384"/>
      <c r="D1668" s="386" t="s">
        <v>1722</v>
      </c>
      <c r="E1668" s="390" t="s">
        <v>1249</v>
      </c>
      <c r="F1668" s="396" t="s">
        <v>1313</v>
      </c>
    </row>
    <row r="1669" spans="1:6" ht="72">
      <c r="A1669" s="405" t="s">
        <v>1719</v>
      </c>
      <c r="B1669" s="384" t="s">
        <v>88</v>
      </c>
      <c r="C1669" s="384"/>
      <c r="D1669" s="386" t="s">
        <v>1720</v>
      </c>
      <c r="E1669" s="390" t="s">
        <v>1249</v>
      </c>
      <c r="F1669" s="396" t="s">
        <v>1313</v>
      </c>
    </row>
    <row r="1670" spans="1:6" ht="72">
      <c r="A1670" s="405" t="s">
        <v>1717</v>
      </c>
      <c r="B1670" s="384" t="s">
        <v>88</v>
      </c>
      <c r="C1670" s="384"/>
      <c r="D1670" s="386" t="s">
        <v>1718</v>
      </c>
      <c r="E1670" s="390" t="s">
        <v>1249</v>
      </c>
      <c r="F1670" s="396" t="s">
        <v>1313</v>
      </c>
    </row>
    <row r="1671" spans="1:6" ht="72">
      <c r="A1671" s="405" t="s">
        <v>1715</v>
      </c>
      <c r="B1671" s="384" t="s">
        <v>88</v>
      </c>
      <c r="C1671" s="384" t="s">
        <v>1277</v>
      </c>
      <c r="D1671" s="385" t="s">
        <v>1716</v>
      </c>
      <c r="E1671" s="390" t="s">
        <v>1239</v>
      </c>
      <c r="F1671" s="396" t="s">
        <v>1313</v>
      </c>
    </row>
    <row r="1672" spans="1:6" ht="72">
      <c r="A1672" s="405" t="s">
        <v>1710</v>
      </c>
      <c r="B1672" s="384" t="s">
        <v>88</v>
      </c>
      <c r="C1672" s="384"/>
      <c r="D1672" s="386" t="s">
        <v>1711</v>
      </c>
      <c r="E1672" s="390" t="s">
        <v>1249</v>
      </c>
      <c r="F1672" s="396" t="s">
        <v>1313</v>
      </c>
    </row>
    <row r="1673" spans="1:6" ht="48">
      <c r="A1673" s="405" t="s">
        <v>1708</v>
      </c>
      <c r="B1673" s="384" t="s">
        <v>88</v>
      </c>
      <c r="C1673" s="384"/>
      <c r="D1673" s="386" t="s">
        <v>1709</v>
      </c>
      <c r="E1673" s="390" t="s">
        <v>1249</v>
      </c>
      <c r="F1673" s="396" t="s">
        <v>1313</v>
      </c>
    </row>
    <row r="1674" spans="1:6" ht="48">
      <c r="A1674" s="405" t="s">
        <v>1706</v>
      </c>
      <c r="B1674" s="384" t="s">
        <v>88</v>
      </c>
      <c r="C1674" s="384" t="s">
        <v>1238</v>
      </c>
      <c r="D1674" s="385" t="s">
        <v>1707</v>
      </c>
      <c r="E1674" s="390" t="s">
        <v>1239</v>
      </c>
      <c r="F1674" s="396" t="s">
        <v>1313</v>
      </c>
    </row>
    <row r="1675" spans="1:6" ht="72">
      <c r="A1675" s="405" t="s">
        <v>1704</v>
      </c>
      <c r="B1675" s="384" t="s">
        <v>88</v>
      </c>
      <c r="C1675" s="384"/>
      <c r="D1675" s="386" t="s">
        <v>1705</v>
      </c>
      <c r="E1675" s="390" t="s">
        <v>1249</v>
      </c>
      <c r="F1675" s="396" t="s">
        <v>1313</v>
      </c>
    </row>
    <row r="1676" spans="1:6" ht="72">
      <c r="A1676" s="405" t="s">
        <v>1702</v>
      </c>
      <c r="B1676" s="384" t="s">
        <v>88</v>
      </c>
      <c r="C1676" s="384"/>
      <c r="D1676" s="386" t="s">
        <v>1703</v>
      </c>
      <c r="E1676" s="390" t="s">
        <v>1249</v>
      </c>
      <c r="F1676" s="396" t="s">
        <v>1313</v>
      </c>
    </row>
    <row r="1677" spans="1:6" ht="72">
      <c r="A1677" s="405" t="s">
        <v>1699</v>
      </c>
      <c r="B1677" s="384" t="s">
        <v>88</v>
      </c>
      <c r="C1677" s="384" t="s">
        <v>1277</v>
      </c>
      <c r="D1677" s="385" t="s">
        <v>1700</v>
      </c>
      <c r="E1677" s="390" t="s">
        <v>1239</v>
      </c>
      <c r="F1677" s="396" t="s">
        <v>1313</v>
      </c>
    </row>
    <row r="1678" spans="1:6" ht="72">
      <c r="A1678" s="405" t="s">
        <v>1694</v>
      </c>
      <c r="B1678" s="384" t="s">
        <v>23</v>
      </c>
      <c r="C1678" s="384"/>
      <c r="D1678" s="386" t="s">
        <v>1268</v>
      </c>
      <c r="E1678" s="390" t="s">
        <v>1249</v>
      </c>
      <c r="F1678" s="396" t="s">
        <v>1313</v>
      </c>
    </row>
    <row r="1679" spans="1:6" ht="72">
      <c r="A1679" s="405" t="s">
        <v>1693</v>
      </c>
      <c r="B1679" s="384" t="s">
        <v>88</v>
      </c>
      <c r="C1679" s="384" t="s">
        <v>1255</v>
      </c>
      <c r="D1679" s="385" t="s">
        <v>1565</v>
      </c>
      <c r="E1679" s="390" t="s">
        <v>1239</v>
      </c>
      <c r="F1679" s="396" t="s">
        <v>1313</v>
      </c>
    </row>
    <row r="1680" spans="1:6" ht="72">
      <c r="A1680" s="405" t="s">
        <v>1693</v>
      </c>
      <c r="B1680" s="384" t="s">
        <v>88</v>
      </c>
      <c r="C1680" s="384" t="s">
        <v>1255</v>
      </c>
      <c r="D1680" s="385" t="s">
        <v>1564</v>
      </c>
      <c r="E1680" s="390" t="s">
        <v>1239</v>
      </c>
      <c r="F1680" s="396" t="s">
        <v>1313</v>
      </c>
    </row>
    <row r="1681" spans="1:6" ht="72">
      <c r="A1681" s="405" t="s">
        <v>1691</v>
      </c>
      <c r="B1681" s="384" t="s">
        <v>88</v>
      </c>
      <c r="C1681" s="384" t="s">
        <v>1277</v>
      </c>
      <c r="D1681" s="385" t="s">
        <v>1692</v>
      </c>
      <c r="E1681" s="390" t="s">
        <v>1239</v>
      </c>
      <c r="F1681" s="396" t="s">
        <v>1313</v>
      </c>
    </row>
    <row r="1682" spans="1:6" ht="72">
      <c r="A1682" s="405" t="s">
        <v>1686</v>
      </c>
      <c r="B1682" s="384" t="s">
        <v>88</v>
      </c>
      <c r="C1682" s="384"/>
      <c r="D1682" s="386" t="s">
        <v>1687</v>
      </c>
      <c r="E1682" s="390" t="s">
        <v>1249</v>
      </c>
      <c r="F1682" s="396" t="s">
        <v>1313</v>
      </c>
    </row>
    <row r="1683" spans="1:6" ht="72">
      <c r="A1683" s="405" t="s">
        <v>1684</v>
      </c>
      <c r="B1683" s="384" t="s">
        <v>88</v>
      </c>
      <c r="C1683" s="384"/>
      <c r="D1683" s="386" t="s">
        <v>1685</v>
      </c>
      <c r="E1683" s="390" t="s">
        <v>1249</v>
      </c>
      <c r="F1683" s="396" t="s">
        <v>1313</v>
      </c>
    </row>
    <row r="1684" spans="1:6" ht="72">
      <c r="A1684" s="405" t="s">
        <v>1683</v>
      </c>
      <c r="B1684" s="384" t="s">
        <v>23</v>
      </c>
      <c r="C1684" s="384"/>
      <c r="D1684" s="386" t="s">
        <v>1268</v>
      </c>
      <c r="E1684" s="390" t="s">
        <v>1249</v>
      </c>
      <c r="F1684" s="396" t="s">
        <v>1313</v>
      </c>
    </row>
    <row r="1685" spans="1:6" ht="48">
      <c r="A1685" s="405" t="s">
        <v>1681</v>
      </c>
      <c r="B1685" s="384" t="s">
        <v>23</v>
      </c>
      <c r="C1685" s="384" t="s">
        <v>1277</v>
      </c>
      <c r="D1685" s="385" t="s">
        <v>1682</v>
      </c>
      <c r="E1685" s="390" t="s">
        <v>1239</v>
      </c>
      <c r="F1685" s="396" t="s">
        <v>1313</v>
      </c>
    </row>
    <row r="1686" spans="1:6" ht="72">
      <c r="A1686" s="405" t="s">
        <v>1680</v>
      </c>
      <c r="B1686" s="384" t="s">
        <v>88</v>
      </c>
      <c r="C1686" s="384" t="s">
        <v>1255</v>
      </c>
      <c r="D1686" s="385" t="s">
        <v>1565</v>
      </c>
      <c r="E1686" s="390" t="s">
        <v>1239</v>
      </c>
      <c r="F1686" s="396" t="s">
        <v>1313</v>
      </c>
    </row>
    <row r="1687" spans="1:6" ht="72">
      <c r="A1687" s="405" t="s">
        <v>1680</v>
      </c>
      <c r="B1687" s="384" t="s">
        <v>88</v>
      </c>
      <c r="C1687" s="384" t="s">
        <v>1255</v>
      </c>
      <c r="D1687" s="385" t="s">
        <v>1564</v>
      </c>
      <c r="E1687" s="390" t="s">
        <v>1239</v>
      </c>
      <c r="F1687" s="396" t="s">
        <v>1313</v>
      </c>
    </row>
    <row r="1688" spans="1:6" ht="48">
      <c r="A1688" s="405" t="s">
        <v>1678</v>
      </c>
      <c r="B1688" s="384" t="s">
        <v>23</v>
      </c>
      <c r="C1688" s="384"/>
      <c r="D1688" s="386" t="s">
        <v>1679</v>
      </c>
      <c r="E1688" s="390" t="s">
        <v>1249</v>
      </c>
      <c r="F1688" s="396" t="s">
        <v>1313</v>
      </c>
    </row>
    <row r="1689" spans="1:6" ht="96">
      <c r="A1689" s="405" t="s">
        <v>1676</v>
      </c>
      <c r="B1689" s="384" t="s">
        <v>23</v>
      </c>
      <c r="C1689" s="384"/>
      <c r="D1689" s="386" t="s">
        <v>1677</v>
      </c>
      <c r="E1689" s="390" t="s">
        <v>1249</v>
      </c>
      <c r="F1689" s="396" t="s">
        <v>1313</v>
      </c>
    </row>
    <row r="1690" spans="1:6" ht="72">
      <c r="A1690" s="405" t="s">
        <v>1674</v>
      </c>
      <c r="B1690" s="384" t="s">
        <v>23</v>
      </c>
      <c r="C1690" s="384"/>
      <c r="D1690" s="386" t="s">
        <v>1675</v>
      </c>
      <c r="E1690" s="390" t="s">
        <v>1249</v>
      </c>
      <c r="F1690" s="396" t="s">
        <v>1313</v>
      </c>
    </row>
    <row r="1691" spans="1:6" ht="120">
      <c r="A1691" s="405">
        <v>45962.804166666669</v>
      </c>
      <c r="B1691" s="384" t="s">
        <v>88</v>
      </c>
      <c r="C1691" s="384"/>
      <c r="D1691" s="386" t="s">
        <v>1673</v>
      </c>
      <c r="E1691" s="390" t="s">
        <v>1237</v>
      </c>
      <c r="F1691" s="396" t="s">
        <v>1313</v>
      </c>
    </row>
    <row r="1692" spans="1:6" ht="72">
      <c r="A1692" s="405" t="s">
        <v>1671</v>
      </c>
      <c r="B1692" s="384" t="s">
        <v>88</v>
      </c>
      <c r="C1692" s="384"/>
      <c r="D1692" s="386" t="s">
        <v>1672</v>
      </c>
      <c r="E1692" s="390" t="s">
        <v>1249</v>
      </c>
      <c r="F1692" s="396" t="s">
        <v>1313</v>
      </c>
    </row>
    <row r="1693" spans="1:6" ht="72">
      <c r="A1693" s="405" t="s">
        <v>1670</v>
      </c>
      <c r="B1693" s="384" t="s">
        <v>23</v>
      </c>
      <c r="C1693" s="384"/>
      <c r="D1693" s="386" t="s">
        <v>1268</v>
      </c>
      <c r="E1693" s="390" t="s">
        <v>1249</v>
      </c>
      <c r="F1693" s="396" t="s">
        <v>1313</v>
      </c>
    </row>
    <row r="1694" spans="1:6" ht="72">
      <c r="A1694" s="405">
        <v>45992.292361111111</v>
      </c>
      <c r="B1694" s="384" t="s">
        <v>88</v>
      </c>
      <c r="C1694" s="384" t="s">
        <v>1255</v>
      </c>
      <c r="D1694" s="385" t="s">
        <v>1565</v>
      </c>
      <c r="E1694" s="390" t="s">
        <v>1239</v>
      </c>
      <c r="F1694" s="396" t="s">
        <v>1313</v>
      </c>
    </row>
    <row r="1695" spans="1:6" ht="72">
      <c r="A1695" s="405">
        <v>45992.292361111111</v>
      </c>
      <c r="B1695" s="384" t="s">
        <v>88</v>
      </c>
      <c r="C1695" s="384" t="s">
        <v>1255</v>
      </c>
      <c r="D1695" s="385" t="s">
        <v>1564</v>
      </c>
      <c r="E1695" s="390" t="s">
        <v>1239</v>
      </c>
      <c r="F1695" s="396" t="s">
        <v>1313</v>
      </c>
    </row>
    <row r="1696" spans="1:6" ht="72">
      <c r="A1696" s="405">
        <v>45992.292361111111</v>
      </c>
      <c r="B1696" s="384" t="s">
        <v>88</v>
      </c>
      <c r="C1696" s="384" t="s">
        <v>1255</v>
      </c>
      <c r="D1696" s="385" t="s">
        <v>1669</v>
      </c>
      <c r="E1696" s="390" t="s">
        <v>1239</v>
      </c>
      <c r="F1696" s="396" t="s">
        <v>1313</v>
      </c>
    </row>
    <row r="1697" spans="1:6" ht="72">
      <c r="A1697" s="405">
        <v>45992.291666666664</v>
      </c>
      <c r="B1697" s="384" t="s">
        <v>88</v>
      </c>
      <c r="C1697" s="384" t="s">
        <v>1277</v>
      </c>
      <c r="D1697" s="385" t="s">
        <v>1668</v>
      </c>
      <c r="E1697" s="390" t="s">
        <v>1239</v>
      </c>
      <c r="F1697" s="396" t="s">
        <v>1313</v>
      </c>
    </row>
    <row r="1698" spans="1:6" ht="120">
      <c r="A1698" s="405">
        <v>45962.48541666667</v>
      </c>
      <c r="B1698" s="384" t="s">
        <v>88</v>
      </c>
      <c r="C1698" s="384"/>
      <c r="D1698" s="386" t="s">
        <v>1666</v>
      </c>
      <c r="E1698" s="390" t="s">
        <v>1237</v>
      </c>
      <c r="F1698" s="396" t="s">
        <v>1313</v>
      </c>
    </row>
    <row r="1699" spans="1:6" ht="72">
      <c r="A1699" s="405" t="s">
        <v>1665</v>
      </c>
      <c r="B1699" s="384" t="s">
        <v>23</v>
      </c>
      <c r="C1699" s="384"/>
      <c r="D1699" s="386" t="s">
        <v>1268</v>
      </c>
      <c r="E1699" s="390" t="s">
        <v>1249</v>
      </c>
      <c r="F1699" s="396" t="s">
        <v>1313</v>
      </c>
    </row>
    <row r="1700" spans="1:6" ht="72">
      <c r="A1700" s="405">
        <v>45962.293055555558</v>
      </c>
      <c r="B1700" s="384" t="s">
        <v>23</v>
      </c>
      <c r="C1700" s="384" t="s">
        <v>1277</v>
      </c>
      <c r="D1700" s="385" t="s">
        <v>1664</v>
      </c>
      <c r="E1700" s="390" t="s">
        <v>1239</v>
      </c>
      <c r="F1700" s="396" t="s">
        <v>1313</v>
      </c>
    </row>
    <row r="1701" spans="1:6" ht="48">
      <c r="A1701" s="405">
        <v>45962.293055555558</v>
      </c>
      <c r="B1701" s="384" t="s">
        <v>23</v>
      </c>
      <c r="C1701" s="384" t="s">
        <v>1277</v>
      </c>
      <c r="D1701" s="385" t="s">
        <v>1663</v>
      </c>
      <c r="E1701" s="390" t="s">
        <v>1239</v>
      </c>
      <c r="F1701" s="396" t="s">
        <v>1313</v>
      </c>
    </row>
    <row r="1702" spans="1:6" ht="48">
      <c r="A1702" s="405">
        <v>45962.293055555558</v>
      </c>
      <c r="B1702" s="384" t="s">
        <v>23</v>
      </c>
      <c r="C1702" s="384" t="s">
        <v>1277</v>
      </c>
      <c r="D1702" s="385" t="s">
        <v>1662</v>
      </c>
      <c r="E1702" s="390" t="s">
        <v>1239</v>
      </c>
      <c r="F1702" s="396" t="s">
        <v>1313</v>
      </c>
    </row>
    <row r="1703" spans="1:6" ht="72">
      <c r="A1703" s="405">
        <v>45962.292361111111</v>
      </c>
      <c r="B1703" s="384" t="s">
        <v>88</v>
      </c>
      <c r="C1703" s="384" t="s">
        <v>1255</v>
      </c>
      <c r="D1703" s="385" t="s">
        <v>1565</v>
      </c>
      <c r="E1703" s="390" t="s">
        <v>1239</v>
      </c>
      <c r="F1703" s="396" t="s">
        <v>1313</v>
      </c>
    </row>
    <row r="1704" spans="1:6" ht="72">
      <c r="A1704" s="405">
        <v>45962.292361111111</v>
      </c>
      <c r="B1704" s="384" t="s">
        <v>88</v>
      </c>
      <c r="C1704" s="384" t="s">
        <v>1255</v>
      </c>
      <c r="D1704" s="385" t="s">
        <v>1564</v>
      </c>
      <c r="E1704" s="390" t="s">
        <v>1239</v>
      </c>
      <c r="F1704" s="396" t="s">
        <v>1313</v>
      </c>
    </row>
    <row r="1705" spans="1:6" ht="72">
      <c r="A1705" s="405">
        <v>45962.292361111111</v>
      </c>
      <c r="B1705" s="384" t="s">
        <v>88</v>
      </c>
      <c r="C1705" s="384" t="s">
        <v>1255</v>
      </c>
      <c r="D1705" s="385" t="s">
        <v>1661</v>
      </c>
      <c r="E1705" s="390" t="s">
        <v>1239</v>
      </c>
      <c r="F1705" s="396" t="s">
        <v>1313</v>
      </c>
    </row>
    <row r="1706" spans="1:6" ht="72">
      <c r="A1706" s="405" t="s">
        <v>1659</v>
      </c>
      <c r="B1706" s="384" t="s">
        <v>88</v>
      </c>
      <c r="C1706" s="384"/>
      <c r="D1706" s="386" t="s">
        <v>1660</v>
      </c>
      <c r="E1706" s="390" t="s">
        <v>1249</v>
      </c>
      <c r="F1706" s="396" t="s">
        <v>1313</v>
      </c>
    </row>
    <row r="1707" spans="1:6" ht="96">
      <c r="A1707" s="405" t="s">
        <v>1657</v>
      </c>
      <c r="B1707" s="384" t="s">
        <v>23</v>
      </c>
      <c r="C1707" s="384"/>
      <c r="D1707" s="386" t="s">
        <v>1658</v>
      </c>
      <c r="E1707" s="390" t="s">
        <v>1249</v>
      </c>
      <c r="F1707" s="396" t="s">
        <v>1313</v>
      </c>
    </row>
    <row r="1708" spans="1:6" ht="120">
      <c r="A1708" s="405">
        <v>45931.527777777781</v>
      </c>
      <c r="B1708" s="384" t="s">
        <v>88</v>
      </c>
      <c r="C1708" s="384"/>
      <c r="D1708" s="386" t="s">
        <v>1656</v>
      </c>
      <c r="E1708" s="390" t="s">
        <v>1237</v>
      </c>
      <c r="F1708" s="396" t="s">
        <v>1313</v>
      </c>
    </row>
    <row r="1709" spans="1:6" ht="48">
      <c r="A1709" s="405" t="s">
        <v>1654</v>
      </c>
      <c r="B1709" s="384" t="s">
        <v>23</v>
      </c>
      <c r="C1709" s="384"/>
      <c r="D1709" s="386" t="s">
        <v>1655</v>
      </c>
      <c r="E1709" s="390" t="s">
        <v>1249</v>
      </c>
      <c r="F1709" s="396" t="s">
        <v>1313</v>
      </c>
    </row>
    <row r="1710" spans="1:6" ht="72">
      <c r="A1710" s="405">
        <v>45931.292361111111</v>
      </c>
      <c r="B1710" s="384" t="s">
        <v>88</v>
      </c>
      <c r="C1710" s="384" t="s">
        <v>1255</v>
      </c>
      <c r="D1710" s="385" t="s">
        <v>1565</v>
      </c>
      <c r="E1710" s="390" t="s">
        <v>1239</v>
      </c>
      <c r="F1710" s="396" t="s">
        <v>1313</v>
      </c>
    </row>
    <row r="1711" spans="1:6" ht="72">
      <c r="A1711" s="405">
        <v>45931.292361111111</v>
      </c>
      <c r="B1711" s="384" t="s">
        <v>88</v>
      </c>
      <c r="C1711" s="384" t="s">
        <v>1255</v>
      </c>
      <c r="D1711" s="385" t="s">
        <v>1564</v>
      </c>
      <c r="E1711" s="390" t="s">
        <v>1239</v>
      </c>
      <c r="F1711" s="396" t="s">
        <v>1313</v>
      </c>
    </row>
    <row r="1712" spans="1:6" ht="72">
      <c r="A1712" s="405">
        <v>45931.291666666664</v>
      </c>
      <c r="B1712" s="384" t="s">
        <v>88</v>
      </c>
      <c r="C1712" s="384" t="s">
        <v>1277</v>
      </c>
      <c r="D1712" s="385" t="s">
        <v>1653</v>
      </c>
      <c r="E1712" s="390" t="s">
        <v>1239</v>
      </c>
      <c r="F1712" s="396" t="s">
        <v>1313</v>
      </c>
    </row>
    <row r="1713" spans="1:6" ht="72">
      <c r="A1713" s="405">
        <v>45931.291666666664</v>
      </c>
      <c r="B1713" s="384" t="s">
        <v>88</v>
      </c>
      <c r="C1713" s="384" t="s">
        <v>1277</v>
      </c>
      <c r="D1713" s="385" t="s">
        <v>1652</v>
      </c>
      <c r="E1713" s="390" t="s">
        <v>1239</v>
      </c>
      <c r="F1713" s="396" t="s">
        <v>1313</v>
      </c>
    </row>
    <row r="1714" spans="1:6" ht="72">
      <c r="A1714" s="405">
        <v>45931.291666666664</v>
      </c>
      <c r="B1714" s="384" t="s">
        <v>88</v>
      </c>
      <c r="C1714" s="384" t="s">
        <v>1277</v>
      </c>
      <c r="D1714" s="385" t="s">
        <v>1651</v>
      </c>
      <c r="E1714" s="390" t="s">
        <v>1239</v>
      </c>
      <c r="F1714" s="396" t="s">
        <v>1313</v>
      </c>
    </row>
    <row r="1715" spans="1:6" ht="72">
      <c r="A1715" s="405" t="s">
        <v>1649</v>
      </c>
      <c r="B1715" s="384" t="s">
        <v>23</v>
      </c>
      <c r="C1715" s="384"/>
      <c r="D1715" s="386" t="s">
        <v>1650</v>
      </c>
      <c r="E1715" s="390" t="s">
        <v>1249</v>
      </c>
      <c r="F1715" s="396" t="s">
        <v>1313</v>
      </c>
    </row>
    <row r="1716" spans="1:6" ht="72">
      <c r="A1716" s="405" t="s">
        <v>1647</v>
      </c>
      <c r="B1716" s="384" t="s">
        <v>88</v>
      </c>
      <c r="C1716" s="384"/>
      <c r="D1716" s="386" t="s">
        <v>1648</v>
      </c>
      <c r="E1716" s="390" t="s">
        <v>1249</v>
      </c>
      <c r="F1716" s="396" t="s">
        <v>1313</v>
      </c>
    </row>
    <row r="1717" spans="1:6" ht="120">
      <c r="A1717" s="405">
        <v>45901.581250000003</v>
      </c>
      <c r="B1717" s="384" t="s">
        <v>88</v>
      </c>
      <c r="C1717" s="384"/>
      <c r="D1717" s="386" t="s">
        <v>1646</v>
      </c>
      <c r="E1717" s="390" t="s">
        <v>1237</v>
      </c>
      <c r="F1717" s="396" t="s">
        <v>1313</v>
      </c>
    </row>
    <row r="1718" spans="1:6" ht="72">
      <c r="A1718" s="405" t="s">
        <v>1644</v>
      </c>
      <c r="B1718" s="384" t="s">
        <v>88</v>
      </c>
      <c r="C1718" s="384"/>
      <c r="D1718" s="386" t="s">
        <v>1645</v>
      </c>
      <c r="E1718" s="390" t="s">
        <v>1249</v>
      </c>
      <c r="F1718" s="396" t="s">
        <v>1313</v>
      </c>
    </row>
    <row r="1719" spans="1:6" ht="48">
      <c r="A1719" s="405" t="s">
        <v>1642</v>
      </c>
      <c r="B1719" s="384" t="s">
        <v>23</v>
      </c>
      <c r="C1719" s="384"/>
      <c r="D1719" s="386" t="s">
        <v>1643</v>
      </c>
      <c r="E1719" s="390" t="s">
        <v>1249</v>
      </c>
      <c r="F1719" s="396" t="s">
        <v>1313</v>
      </c>
    </row>
    <row r="1720" spans="1:6" ht="72">
      <c r="A1720" s="405">
        <v>45901.543749999997</v>
      </c>
      <c r="B1720" s="384" t="s">
        <v>88</v>
      </c>
      <c r="C1720" s="384" t="s">
        <v>1277</v>
      </c>
      <c r="D1720" s="385" t="s">
        <v>1641</v>
      </c>
      <c r="E1720" s="390" t="s">
        <v>1239</v>
      </c>
      <c r="F1720" s="396" t="s">
        <v>1313</v>
      </c>
    </row>
    <row r="1721" spans="1:6" ht="144">
      <c r="A1721" s="405">
        <v>45901.500694444447</v>
      </c>
      <c r="B1721" s="384" t="s">
        <v>88</v>
      </c>
      <c r="C1721" s="384"/>
      <c r="D1721" s="386" t="s">
        <v>1640</v>
      </c>
      <c r="E1721" s="390" t="s">
        <v>1237</v>
      </c>
      <c r="F1721" s="396" t="s">
        <v>1313</v>
      </c>
    </row>
    <row r="1722" spans="1:6" ht="96">
      <c r="A1722" s="405" t="s">
        <v>1638</v>
      </c>
      <c r="B1722" s="384" t="s">
        <v>88</v>
      </c>
      <c r="C1722" s="384"/>
      <c r="D1722" s="386" t="s">
        <v>1639</v>
      </c>
      <c r="E1722" s="390" t="s">
        <v>1249</v>
      </c>
      <c r="F1722" s="396" t="s">
        <v>1313</v>
      </c>
    </row>
    <row r="1723" spans="1:6" ht="48">
      <c r="A1723" s="405" t="s">
        <v>1636</v>
      </c>
      <c r="B1723" s="384" t="s">
        <v>23</v>
      </c>
      <c r="C1723" s="384"/>
      <c r="D1723" s="386" t="s">
        <v>1637</v>
      </c>
      <c r="E1723" s="390" t="s">
        <v>1249</v>
      </c>
      <c r="F1723" s="396" t="s">
        <v>1313</v>
      </c>
    </row>
    <row r="1724" spans="1:6" ht="72">
      <c r="A1724" s="405" t="s">
        <v>1634</v>
      </c>
      <c r="B1724" s="384" t="s">
        <v>88</v>
      </c>
      <c r="C1724" s="384"/>
      <c r="D1724" s="386" t="s">
        <v>1635</v>
      </c>
      <c r="E1724" s="390" t="s">
        <v>1249</v>
      </c>
      <c r="F1724" s="396" t="s">
        <v>1313</v>
      </c>
    </row>
    <row r="1725" spans="1:6" ht="72">
      <c r="A1725" s="405">
        <v>45901.293749999997</v>
      </c>
      <c r="B1725" s="384" t="s">
        <v>23</v>
      </c>
      <c r="C1725" s="384" t="s">
        <v>1277</v>
      </c>
      <c r="D1725" s="385" t="s">
        <v>1633</v>
      </c>
      <c r="E1725" s="390" t="s">
        <v>1239</v>
      </c>
      <c r="F1725" s="396" t="s">
        <v>1313</v>
      </c>
    </row>
    <row r="1726" spans="1:6" ht="48">
      <c r="A1726" s="405">
        <v>45901.293749999997</v>
      </c>
      <c r="B1726" s="384" t="s">
        <v>23</v>
      </c>
      <c r="C1726" s="384" t="s">
        <v>1277</v>
      </c>
      <c r="D1726" s="385" t="s">
        <v>1632</v>
      </c>
      <c r="E1726" s="390" t="s">
        <v>1239</v>
      </c>
      <c r="F1726" s="396" t="s">
        <v>1313</v>
      </c>
    </row>
    <row r="1727" spans="1:6" ht="72">
      <c r="A1727" s="405">
        <v>45901.292361111111</v>
      </c>
      <c r="B1727" s="384" t="s">
        <v>88</v>
      </c>
      <c r="C1727" s="384" t="s">
        <v>1255</v>
      </c>
      <c r="D1727" s="385" t="s">
        <v>1565</v>
      </c>
      <c r="E1727" s="390" t="s">
        <v>1239</v>
      </c>
      <c r="F1727" s="396" t="s">
        <v>1313</v>
      </c>
    </row>
    <row r="1728" spans="1:6" ht="72">
      <c r="A1728" s="405">
        <v>45901.292361111111</v>
      </c>
      <c r="B1728" s="384" t="s">
        <v>88</v>
      </c>
      <c r="C1728" s="384" t="s">
        <v>1255</v>
      </c>
      <c r="D1728" s="385" t="s">
        <v>1564</v>
      </c>
      <c r="E1728" s="390" t="s">
        <v>1239</v>
      </c>
      <c r="F1728" s="396" t="s">
        <v>1313</v>
      </c>
    </row>
    <row r="1729" spans="1:6" ht="72">
      <c r="A1729" s="405" t="s">
        <v>1630</v>
      </c>
      <c r="B1729" s="384" t="s">
        <v>88</v>
      </c>
      <c r="C1729" s="384"/>
      <c r="D1729" s="386" t="s">
        <v>1631</v>
      </c>
      <c r="E1729" s="390" t="s">
        <v>1249</v>
      </c>
      <c r="F1729" s="396" t="s">
        <v>1313</v>
      </c>
    </row>
    <row r="1730" spans="1:6">
      <c r="A1730" s="405">
        <v>45870.865277777775</v>
      </c>
      <c r="B1730" s="384" t="s">
        <v>1076</v>
      </c>
      <c r="C1730" s="384" t="s">
        <v>1277</v>
      </c>
      <c r="D1730" s="385" t="s">
        <v>1629</v>
      </c>
      <c r="E1730" s="390" t="s">
        <v>1239</v>
      </c>
      <c r="F1730" s="396" t="s">
        <v>1313</v>
      </c>
    </row>
    <row r="1731" spans="1:6" ht="144">
      <c r="A1731" s="405">
        <v>45870.570833333331</v>
      </c>
      <c r="B1731" s="384" t="s">
        <v>88</v>
      </c>
      <c r="C1731" s="384"/>
      <c r="D1731" s="386" t="s">
        <v>1628</v>
      </c>
      <c r="E1731" s="390" t="s">
        <v>1237</v>
      </c>
      <c r="F1731" s="396" t="s">
        <v>1313</v>
      </c>
    </row>
    <row r="1732" spans="1:6" ht="72">
      <c r="A1732" s="406" t="s">
        <v>1626</v>
      </c>
      <c r="B1732" s="384" t="s">
        <v>88</v>
      </c>
      <c r="C1732" s="384"/>
      <c r="D1732" s="386" t="s">
        <v>1627</v>
      </c>
      <c r="E1732" s="390" t="s">
        <v>1249</v>
      </c>
      <c r="F1732" s="396" t="s">
        <v>1313</v>
      </c>
    </row>
    <row r="1733" spans="1:6" ht="48">
      <c r="A1733" s="405" t="s">
        <v>1624</v>
      </c>
      <c r="B1733" s="384" t="s">
        <v>23</v>
      </c>
      <c r="C1733" s="384"/>
      <c r="D1733" s="386" t="s">
        <v>1625</v>
      </c>
      <c r="E1733" s="390" t="s">
        <v>1249</v>
      </c>
      <c r="F1733" s="396" t="s">
        <v>1313</v>
      </c>
    </row>
    <row r="1734" spans="1:6" ht="48">
      <c r="A1734" s="405">
        <v>45870.442361111112</v>
      </c>
      <c r="B1734" s="384" t="s">
        <v>23</v>
      </c>
      <c r="C1734" s="384" t="s">
        <v>1238</v>
      </c>
      <c r="D1734" s="385" t="s">
        <v>1623</v>
      </c>
      <c r="E1734" s="390" t="s">
        <v>1239</v>
      </c>
      <c r="F1734" s="396" t="s">
        <v>1313</v>
      </c>
    </row>
    <row r="1735" spans="1:6" ht="48">
      <c r="A1735" s="405">
        <v>45870.440972222219</v>
      </c>
      <c r="B1735" s="384" t="s">
        <v>23</v>
      </c>
      <c r="C1735" s="384" t="s">
        <v>1277</v>
      </c>
      <c r="D1735" s="385" t="s">
        <v>1622</v>
      </c>
      <c r="E1735" s="390" t="s">
        <v>1239</v>
      </c>
      <c r="F1735" s="396" t="s">
        <v>1313</v>
      </c>
    </row>
    <row r="1736" spans="1:6" ht="96">
      <c r="A1736" s="405">
        <v>45870.387499999997</v>
      </c>
      <c r="B1736" s="384" t="s">
        <v>23</v>
      </c>
      <c r="C1736" s="384" t="s">
        <v>1255</v>
      </c>
      <c r="D1736" s="385" t="s">
        <v>1621</v>
      </c>
      <c r="E1736" s="390" t="s">
        <v>1239</v>
      </c>
      <c r="F1736" s="396" t="s">
        <v>1313</v>
      </c>
    </row>
    <row r="1737" spans="1:6" ht="48">
      <c r="A1737" s="405">
        <v>45870.386111111111</v>
      </c>
      <c r="B1737" s="384" t="s">
        <v>23</v>
      </c>
      <c r="C1737" s="384" t="s">
        <v>1277</v>
      </c>
      <c r="D1737" s="385" t="s">
        <v>1620</v>
      </c>
      <c r="E1737" s="390" t="s">
        <v>1239</v>
      </c>
      <c r="F1737" s="396" t="s">
        <v>1313</v>
      </c>
    </row>
    <row r="1738" spans="1:6" ht="48">
      <c r="A1738" s="405">
        <v>45870.336111111108</v>
      </c>
      <c r="B1738" s="384" t="s">
        <v>23</v>
      </c>
      <c r="C1738" s="384" t="s">
        <v>1277</v>
      </c>
      <c r="D1738" s="385" t="s">
        <v>1616</v>
      </c>
      <c r="E1738" s="390" t="s">
        <v>1239</v>
      </c>
      <c r="F1738" s="396" t="s">
        <v>1313</v>
      </c>
    </row>
    <row r="1739" spans="1:6" ht="72">
      <c r="A1739" s="405">
        <v>45870.292361111111</v>
      </c>
      <c r="B1739" s="384" t="s">
        <v>88</v>
      </c>
      <c r="C1739" s="384" t="s">
        <v>1255</v>
      </c>
      <c r="D1739" s="385" t="s">
        <v>1565</v>
      </c>
      <c r="E1739" s="390" t="s">
        <v>1239</v>
      </c>
      <c r="F1739" s="396" t="s">
        <v>1313</v>
      </c>
    </row>
    <row r="1740" spans="1:6" ht="72">
      <c r="A1740" s="405">
        <v>45870.292361111111</v>
      </c>
      <c r="B1740" s="384" t="s">
        <v>88</v>
      </c>
      <c r="C1740" s="384" t="s">
        <v>1255</v>
      </c>
      <c r="D1740" s="385" t="s">
        <v>1564</v>
      </c>
      <c r="E1740" s="390" t="s">
        <v>1239</v>
      </c>
      <c r="F1740" s="396" t="s">
        <v>1313</v>
      </c>
    </row>
    <row r="1741" spans="1:6" ht="120">
      <c r="A1741" s="405">
        <v>45870.076388888891</v>
      </c>
      <c r="B1741" s="384" t="s">
        <v>88</v>
      </c>
      <c r="C1741" s="384"/>
      <c r="D1741" s="386" t="s">
        <v>1615</v>
      </c>
      <c r="E1741" s="390" t="s">
        <v>1237</v>
      </c>
      <c r="F1741" s="396" t="s">
        <v>1313</v>
      </c>
    </row>
    <row r="1742" spans="1:6" ht="72">
      <c r="A1742" s="405" t="s">
        <v>1613</v>
      </c>
      <c r="B1742" s="384" t="s">
        <v>23</v>
      </c>
      <c r="C1742" s="384"/>
      <c r="D1742" s="386" t="s">
        <v>1614</v>
      </c>
      <c r="E1742" s="390" t="s">
        <v>1249</v>
      </c>
      <c r="F1742" s="396" t="s">
        <v>1313</v>
      </c>
    </row>
    <row r="1743" spans="1:6" ht="48">
      <c r="A1743" s="405" t="s">
        <v>1611</v>
      </c>
      <c r="B1743" s="384" t="s">
        <v>23</v>
      </c>
      <c r="C1743" s="384"/>
      <c r="D1743" s="386" t="s">
        <v>1612</v>
      </c>
      <c r="E1743" s="390" t="s">
        <v>1249</v>
      </c>
      <c r="F1743" s="396" t="s">
        <v>1313</v>
      </c>
    </row>
    <row r="1744" spans="1:6" ht="72">
      <c r="A1744" s="405" t="s">
        <v>1609</v>
      </c>
      <c r="B1744" s="384" t="s">
        <v>23</v>
      </c>
      <c r="C1744" s="384"/>
      <c r="D1744" s="386" t="s">
        <v>1610</v>
      </c>
      <c r="E1744" s="390" t="s">
        <v>1249</v>
      </c>
      <c r="F1744" s="396" t="s">
        <v>1313</v>
      </c>
    </row>
    <row r="1745" spans="1:6" ht="96">
      <c r="A1745" s="405" t="s">
        <v>1607</v>
      </c>
      <c r="B1745" s="384" t="s">
        <v>88</v>
      </c>
      <c r="C1745" s="384"/>
      <c r="D1745" s="386" t="s">
        <v>1608</v>
      </c>
      <c r="E1745" s="390" t="s">
        <v>1249</v>
      </c>
      <c r="F1745" s="396" t="s">
        <v>1313</v>
      </c>
    </row>
    <row r="1746" spans="1:6" ht="72">
      <c r="A1746" s="405" t="s">
        <v>1601</v>
      </c>
      <c r="B1746" s="384" t="s">
        <v>88</v>
      </c>
      <c r="C1746" s="384"/>
      <c r="D1746" s="386" t="s">
        <v>1602</v>
      </c>
      <c r="E1746" s="390" t="s">
        <v>1249</v>
      </c>
      <c r="F1746" s="396" t="s">
        <v>1313</v>
      </c>
    </row>
    <row r="1747" spans="1:6" ht="72">
      <c r="A1747" s="405" t="s">
        <v>1599</v>
      </c>
      <c r="B1747" s="384" t="s">
        <v>23</v>
      </c>
      <c r="C1747" s="384"/>
      <c r="D1747" s="386" t="s">
        <v>1600</v>
      </c>
      <c r="E1747" s="390" t="s">
        <v>1249</v>
      </c>
      <c r="F1747" s="396" t="s">
        <v>1313</v>
      </c>
    </row>
    <row r="1748" spans="1:6" ht="72">
      <c r="A1748" s="405">
        <v>45839.409722222219</v>
      </c>
      <c r="B1748" s="384" t="s">
        <v>88</v>
      </c>
      <c r="C1748" s="384" t="s">
        <v>1255</v>
      </c>
      <c r="D1748" s="385" t="s">
        <v>1565</v>
      </c>
      <c r="E1748" s="390" t="s">
        <v>1239</v>
      </c>
      <c r="F1748" s="396" t="s">
        <v>1313</v>
      </c>
    </row>
    <row r="1749" spans="1:6" ht="72">
      <c r="A1749" s="405">
        <v>45839.409722222219</v>
      </c>
      <c r="B1749" s="384" t="s">
        <v>88</v>
      </c>
      <c r="C1749" s="384" t="s">
        <v>1255</v>
      </c>
      <c r="D1749" s="385" t="s">
        <v>1564</v>
      </c>
      <c r="E1749" s="390" t="s">
        <v>1239</v>
      </c>
      <c r="F1749" s="396" t="s">
        <v>1313</v>
      </c>
    </row>
    <row r="1750" spans="1:6" ht="72">
      <c r="A1750" s="405">
        <v>45839.409722222219</v>
      </c>
      <c r="B1750" s="384" t="s">
        <v>88</v>
      </c>
      <c r="C1750" s="384" t="s">
        <v>1255</v>
      </c>
      <c r="D1750" s="385" t="s">
        <v>1598</v>
      </c>
      <c r="E1750" s="390" t="s">
        <v>1239</v>
      </c>
      <c r="F1750" s="396" t="s">
        <v>1313</v>
      </c>
    </row>
    <row r="1751" spans="1:6" ht="48">
      <c r="A1751" s="405">
        <v>45839.40902777778</v>
      </c>
      <c r="B1751" s="384" t="s">
        <v>88</v>
      </c>
      <c r="C1751" s="384" t="s">
        <v>1238</v>
      </c>
      <c r="D1751" s="385" t="s">
        <v>1597</v>
      </c>
      <c r="E1751" s="390" t="s">
        <v>1239</v>
      </c>
      <c r="F1751" s="396" t="s">
        <v>1313</v>
      </c>
    </row>
    <row r="1752" spans="1:6" ht="48">
      <c r="A1752" s="405" t="s">
        <v>1595</v>
      </c>
      <c r="B1752" s="384" t="s">
        <v>88</v>
      </c>
      <c r="C1752" s="384"/>
      <c r="D1752" s="386" t="s">
        <v>1596</v>
      </c>
      <c r="E1752" s="390" t="s">
        <v>1249</v>
      </c>
      <c r="F1752" s="396" t="s">
        <v>1313</v>
      </c>
    </row>
    <row r="1753" spans="1:6" ht="120">
      <c r="A1753" s="405">
        <v>45809.527777777781</v>
      </c>
      <c r="B1753" s="384" t="s">
        <v>88</v>
      </c>
      <c r="C1753" s="384"/>
      <c r="D1753" s="386" t="s">
        <v>1594</v>
      </c>
      <c r="E1753" s="390" t="s">
        <v>1237</v>
      </c>
      <c r="F1753" s="396" t="s">
        <v>1313</v>
      </c>
    </row>
    <row r="1754" spans="1:6" ht="96">
      <c r="A1754" s="405" t="s">
        <v>1592</v>
      </c>
      <c r="B1754" s="384" t="s">
        <v>88</v>
      </c>
      <c r="C1754" s="384"/>
      <c r="D1754" s="386" t="s">
        <v>1593</v>
      </c>
      <c r="E1754" s="390" t="s">
        <v>1249</v>
      </c>
      <c r="F1754" s="396" t="s">
        <v>1313</v>
      </c>
    </row>
    <row r="1755" spans="1:6" ht="72">
      <c r="A1755" s="405" t="s">
        <v>1590</v>
      </c>
      <c r="B1755" s="384" t="s">
        <v>88</v>
      </c>
      <c r="C1755" s="384"/>
      <c r="D1755" s="386" t="s">
        <v>1591</v>
      </c>
      <c r="E1755" s="390" t="s">
        <v>1249</v>
      </c>
      <c r="F1755" s="396" t="s">
        <v>1313</v>
      </c>
    </row>
    <row r="1756" spans="1:6" ht="72">
      <c r="A1756" s="405" t="s">
        <v>1588</v>
      </c>
      <c r="B1756" s="384" t="s">
        <v>88</v>
      </c>
      <c r="C1756" s="384"/>
      <c r="D1756" s="386" t="s">
        <v>1589</v>
      </c>
      <c r="E1756" s="390" t="s">
        <v>1249</v>
      </c>
      <c r="F1756" s="396" t="s">
        <v>1313</v>
      </c>
    </row>
    <row r="1757" spans="1:6" ht="48">
      <c r="A1757" s="405" t="s">
        <v>1586</v>
      </c>
      <c r="B1757" s="384" t="s">
        <v>23</v>
      </c>
      <c r="C1757" s="384"/>
      <c r="D1757" s="386" t="s">
        <v>1587</v>
      </c>
      <c r="E1757" s="390" t="s">
        <v>1249</v>
      </c>
      <c r="F1757" s="396" t="s">
        <v>1313</v>
      </c>
    </row>
    <row r="1758" spans="1:6" ht="144">
      <c r="A1758" s="405">
        <v>45809.388194444444</v>
      </c>
      <c r="B1758" s="384" t="s">
        <v>88</v>
      </c>
      <c r="C1758" s="384"/>
      <c r="D1758" s="386" t="s">
        <v>1585</v>
      </c>
      <c r="E1758" s="390" t="s">
        <v>1237</v>
      </c>
      <c r="F1758" s="396" t="s">
        <v>1313</v>
      </c>
    </row>
    <row r="1759" spans="1:6" ht="72">
      <c r="A1759" s="405" t="s">
        <v>1583</v>
      </c>
      <c r="B1759" s="384" t="s">
        <v>88</v>
      </c>
      <c r="C1759" s="384"/>
      <c r="D1759" s="386" t="s">
        <v>1584</v>
      </c>
      <c r="E1759" s="390" t="s">
        <v>1249</v>
      </c>
      <c r="F1759" s="396" t="s">
        <v>1313</v>
      </c>
    </row>
    <row r="1760" spans="1:6" ht="72">
      <c r="A1760" s="405" t="s">
        <v>1582</v>
      </c>
      <c r="B1760" s="384" t="s">
        <v>23</v>
      </c>
      <c r="C1760" s="384"/>
      <c r="D1760" s="386" t="s">
        <v>1268</v>
      </c>
      <c r="E1760" s="390" t="s">
        <v>1249</v>
      </c>
      <c r="F1760" s="396" t="s">
        <v>1313</v>
      </c>
    </row>
    <row r="1761" spans="1:6" ht="48">
      <c r="A1761" s="405">
        <v>45809.388194444444</v>
      </c>
      <c r="B1761" s="384" t="s">
        <v>23</v>
      </c>
      <c r="C1761" s="384" t="s">
        <v>1277</v>
      </c>
      <c r="D1761" s="385" t="s">
        <v>1581</v>
      </c>
      <c r="E1761" s="390" t="s">
        <v>1239</v>
      </c>
      <c r="F1761" s="396" t="s">
        <v>1313</v>
      </c>
    </row>
    <row r="1762" spans="1:6" ht="72">
      <c r="A1762" s="405">
        <v>45809.386805555558</v>
      </c>
      <c r="B1762" s="384" t="s">
        <v>1076</v>
      </c>
      <c r="C1762" s="384" t="s">
        <v>1277</v>
      </c>
      <c r="D1762" s="385" t="s">
        <v>1578</v>
      </c>
      <c r="E1762" s="390" t="s">
        <v>1239</v>
      </c>
      <c r="F1762" s="396" t="s">
        <v>1313</v>
      </c>
    </row>
    <row r="1763" spans="1:6" ht="72">
      <c r="A1763" s="405">
        <v>45809.293749999997</v>
      </c>
      <c r="B1763" s="384" t="s">
        <v>23</v>
      </c>
      <c r="C1763" s="384" t="s">
        <v>1277</v>
      </c>
      <c r="D1763" s="385" t="s">
        <v>1577</v>
      </c>
      <c r="E1763" s="390" t="s">
        <v>1239</v>
      </c>
      <c r="F1763" s="396" t="s">
        <v>1313</v>
      </c>
    </row>
    <row r="1764" spans="1:6" ht="48">
      <c r="A1764" s="405">
        <v>45809.293749999997</v>
      </c>
      <c r="B1764" s="384" t="s">
        <v>23</v>
      </c>
      <c r="C1764" s="384" t="s">
        <v>1277</v>
      </c>
      <c r="D1764" s="385" t="s">
        <v>1576</v>
      </c>
      <c r="E1764" s="390" t="s">
        <v>1239</v>
      </c>
      <c r="F1764" s="396" t="s">
        <v>1313</v>
      </c>
    </row>
    <row r="1765" spans="1:6" ht="72">
      <c r="A1765" s="405">
        <v>45809.292361111111</v>
      </c>
      <c r="B1765" s="384" t="s">
        <v>88</v>
      </c>
      <c r="C1765" s="384" t="s">
        <v>1255</v>
      </c>
      <c r="D1765" s="385" t="s">
        <v>1565</v>
      </c>
      <c r="E1765" s="390" t="s">
        <v>1239</v>
      </c>
      <c r="F1765" s="396" t="s">
        <v>1313</v>
      </c>
    </row>
    <row r="1766" spans="1:6" ht="72">
      <c r="A1766" s="405">
        <v>45809.292361111111</v>
      </c>
      <c r="B1766" s="384" t="s">
        <v>88</v>
      </c>
      <c r="C1766" s="384" t="s">
        <v>1255</v>
      </c>
      <c r="D1766" s="385" t="s">
        <v>1564</v>
      </c>
      <c r="E1766" s="390" t="s">
        <v>1239</v>
      </c>
      <c r="F1766" s="396" t="s">
        <v>1313</v>
      </c>
    </row>
    <row r="1767" spans="1:6" ht="120">
      <c r="A1767" s="405">
        <v>45778.497916666667</v>
      </c>
      <c r="B1767" s="384" t="s">
        <v>88</v>
      </c>
      <c r="C1767" s="384"/>
      <c r="D1767" s="386" t="s">
        <v>1575</v>
      </c>
      <c r="E1767" s="390" t="s">
        <v>1237</v>
      </c>
      <c r="F1767" s="396" t="s">
        <v>1313</v>
      </c>
    </row>
    <row r="1768" spans="1:6" ht="144">
      <c r="A1768" s="405">
        <v>45778.464583333334</v>
      </c>
      <c r="B1768" s="384" t="s">
        <v>88</v>
      </c>
      <c r="C1768" s="384"/>
      <c r="D1768" s="386" t="s">
        <v>1574</v>
      </c>
      <c r="E1768" s="390" t="s">
        <v>1237</v>
      </c>
      <c r="F1768" s="396" t="s">
        <v>1313</v>
      </c>
    </row>
    <row r="1769" spans="1:6" ht="120">
      <c r="A1769" s="405">
        <v>45748.443749999999</v>
      </c>
      <c r="B1769" s="384" t="s">
        <v>88</v>
      </c>
      <c r="C1769" s="384"/>
      <c r="D1769" s="386" t="s">
        <v>1573</v>
      </c>
      <c r="E1769" s="390" t="s">
        <v>1237</v>
      </c>
      <c r="F1769" s="396" t="s">
        <v>1313</v>
      </c>
    </row>
    <row r="1770" spans="1:6" ht="120">
      <c r="A1770" s="405">
        <v>45717.788888888892</v>
      </c>
      <c r="B1770" s="384" t="s">
        <v>88</v>
      </c>
      <c r="C1770" s="384"/>
      <c r="D1770" s="386" t="s">
        <v>1572</v>
      </c>
      <c r="E1770" s="390" t="s">
        <v>1237</v>
      </c>
      <c r="F1770" s="396" t="s">
        <v>1313</v>
      </c>
    </row>
    <row r="1771" spans="1:6" ht="120">
      <c r="A1771" s="405">
        <v>45717.527083333334</v>
      </c>
      <c r="B1771" s="384" t="s">
        <v>88</v>
      </c>
      <c r="C1771" s="384"/>
      <c r="D1771" s="386" t="s">
        <v>1571</v>
      </c>
      <c r="E1771" s="390" t="s">
        <v>1237</v>
      </c>
      <c r="F1771" s="396" t="s">
        <v>1313</v>
      </c>
    </row>
    <row r="1772" spans="1:6" ht="120">
      <c r="A1772" s="405">
        <v>45689.393055555556</v>
      </c>
      <c r="B1772" s="384" t="s">
        <v>88</v>
      </c>
      <c r="C1772" s="384"/>
      <c r="D1772" s="386" t="s">
        <v>1570</v>
      </c>
      <c r="E1772" s="390" t="s">
        <v>1237</v>
      </c>
      <c r="F1772" s="396" t="s">
        <v>1313</v>
      </c>
    </row>
    <row r="1773" spans="1:6" ht="120">
      <c r="A1773" s="405">
        <v>45689.393055555556</v>
      </c>
      <c r="B1773" s="384" t="s">
        <v>88</v>
      </c>
      <c r="C1773" s="384"/>
      <c r="D1773" s="386" t="s">
        <v>1569</v>
      </c>
      <c r="E1773" s="390" t="s">
        <v>1237</v>
      </c>
      <c r="F1773" s="396" t="s">
        <v>1313</v>
      </c>
    </row>
    <row r="1774" spans="1:6" ht="48">
      <c r="A1774" s="405" t="s">
        <v>1567</v>
      </c>
      <c r="B1774" s="384" t="s">
        <v>23</v>
      </c>
      <c r="C1774" s="384"/>
      <c r="D1774" s="386" t="s">
        <v>1568</v>
      </c>
      <c r="E1774" s="390" t="s">
        <v>1249</v>
      </c>
      <c r="F1774" s="396" t="s">
        <v>1313</v>
      </c>
    </row>
    <row r="1775" spans="1:6" ht="72">
      <c r="A1775" s="405">
        <v>45778.822222222225</v>
      </c>
      <c r="B1775" s="384" t="s">
        <v>88</v>
      </c>
      <c r="C1775" s="384" t="s">
        <v>1255</v>
      </c>
      <c r="D1775" s="385" t="s">
        <v>1565</v>
      </c>
      <c r="E1775" s="390" t="s">
        <v>1239</v>
      </c>
      <c r="F1775" s="396" t="s">
        <v>1313</v>
      </c>
    </row>
    <row r="1776" spans="1:6" ht="72">
      <c r="A1776" s="405">
        <v>45778.822222222225</v>
      </c>
      <c r="B1776" s="384" t="s">
        <v>88</v>
      </c>
      <c r="C1776" s="384" t="s">
        <v>1255</v>
      </c>
      <c r="D1776" s="385" t="s">
        <v>1564</v>
      </c>
      <c r="E1776" s="390" t="s">
        <v>1239</v>
      </c>
      <c r="F1776" s="396" t="s">
        <v>1313</v>
      </c>
    </row>
    <row r="1777" spans="1:6" ht="48">
      <c r="A1777" s="405">
        <v>45778.821527777778</v>
      </c>
      <c r="B1777" s="384" t="s">
        <v>88</v>
      </c>
      <c r="C1777" s="384" t="s">
        <v>1238</v>
      </c>
      <c r="D1777" s="385" t="s">
        <v>1566</v>
      </c>
      <c r="E1777" s="390" t="s">
        <v>1239</v>
      </c>
      <c r="F1777" s="396" t="s">
        <v>1313</v>
      </c>
    </row>
    <row r="1778" spans="1:6" ht="72">
      <c r="A1778" s="405">
        <v>45778.819444444445</v>
      </c>
      <c r="B1778" s="384" t="s">
        <v>88</v>
      </c>
      <c r="C1778" s="384" t="s">
        <v>1255</v>
      </c>
      <c r="D1778" s="385" t="s">
        <v>1565</v>
      </c>
      <c r="E1778" s="390" t="s">
        <v>1239</v>
      </c>
      <c r="F1778" s="396" t="s">
        <v>1313</v>
      </c>
    </row>
    <row r="1779" spans="1:6" ht="72">
      <c r="A1779" s="405">
        <v>45778.819444444445</v>
      </c>
      <c r="B1779" s="384" t="s">
        <v>88</v>
      </c>
      <c r="C1779" s="384" t="s">
        <v>1255</v>
      </c>
      <c r="D1779" s="385" t="s">
        <v>1564</v>
      </c>
      <c r="E1779" s="390" t="s">
        <v>1239</v>
      </c>
      <c r="F1779" s="396" t="s">
        <v>1313</v>
      </c>
    </row>
    <row r="1780" spans="1:6" ht="48">
      <c r="A1780" s="405">
        <v>45778.818749999999</v>
      </c>
      <c r="B1780" s="384" t="s">
        <v>88</v>
      </c>
      <c r="C1780" s="384" t="s">
        <v>1238</v>
      </c>
      <c r="D1780" s="385" t="s">
        <v>1566</v>
      </c>
      <c r="E1780" s="390" t="s">
        <v>1239</v>
      </c>
      <c r="F1780" s="396" t="s">
        <v>1313</v>
      </c>
    </row>
    <row r="1781" spans="1:6" ht="72">
      <c r="A1781" s="405">
        <v>45778.765277777777</v>
      </c>
      <c r="B1781" s="384" t="s">
        <v>88</v>
      </c>
      <c r="C1781" s="384" t="s">
        <v>1255</v>
      </c>
      <c r="D1781" s="385" t="s">
        <v>1565</v>
      </c>
      <c r="E1781" s="390" t="s">
        <v>1239</v>
      </c>
      <c r="F1781" s="396" t="s">
        <v>1313</v>
      </c>
    </row>
    <row r="1782" spans="1:6" ht="72">
      <c r="A1782" s="405">
        <v>45778.765277777777</v>
      </c>
      <c r="B1782" s="384" t="s">
        <v>88</v>
      </c>
      <c r="C1782" s="384" t="s">
        <v>1255</v>
      </c>
      <c r="D1782" s="385" t="s">
        <v>1564</v>
      </c>
      <c r="E1782" s="390" t="s">
        <v>1239</v>
      </c>
      <c r="F1782" s="396" t="s">
        <v>1313</v>
      </c>
    </row>
    <row r="1783" spans="1:6" ht="96">
      <c r="A1783" s="405">
        <v>45778.761805555558</v>
      </c>
      <c r="B1783" s="384" t="s">
        <v>88</v>
      </c>
      <c r="C1783" s="384" t="s">
        <v>1255</v>
      </c>
      <c r="D1783" s="385" t="s">
        <v>1563</v>
      </c>
      <c r="E1783" s="390" t="s">
        <v>1239</v>
      </c>
      <c r="F1783" s="396" t="s">
        <v>1313</v>
      </c>
    </row>
    <row r="1784" spans="1:6" ht="96">
      <c r="A1784" s="405">
        <v>45778.761805555558</v>
      </c>
      <c r="B1784" s="384" t="s">
        <v>88</v>
      </c>
      <c r="C1784" s="384" t="s">
        <v>1255</v>
      </c>
      <c r="D1784" s="385" t="s">
        <v>1562</v>
      </c>
      <c r="E1784" s="390" t="s">
        <v>1239</v>
      </c>
      <c r="F1784" s="396" t="s">
        <v>1313</v>
      </c>
    </row>
    <row r="1785" spans="1:6" ht="72">
      <c r="A1785" s="405" t="s">
        <v>1560</v>
      </c>
      <c r="B1785" s="384" t="s">
        <v>88</v>
      </c>
      <c r="C1785" s="384"/>
      <c r="D1785" s="386" t="s">
        <v>1561</v>
      </c>
      <c r="E1785" s="390" t="s">
        <v>1249</v>
      </c>
      <c r="F1785" s="396" t="s">
        <v>1313</v>
      </c>
    </row>
    <row r="1786" spans="1:6">
      <c r="A1786" s="405">
        <v>45778.555555555555</v>
      </c>
      <c r="B1786" s="384" t="s">
        <v>88</v>
      </c>
      <c r="C1786" s="384" t="s">
        <v>1277</v>
      </c>
      <c r="D1786" s="385" t="s">
        <v>1559</v>
      </c>
      <c r="E1786" s="390" t="s">
        <v>1239</v>
      </c>
      <c r="F1786" s="396" t="s">
        <v>1313</v>
      </c>
    </row>
    <row r="1787" spans="1:6" ht="72">
      <c r="A1787" s="405" t="s">
        <v>1557</v>
      </c>
      <c r="B1787" s="384" t="s">
        <v>88</v>
      </c>
      <c r="C1787" s="384"/>
      <c r="D1787" s="386" t="s">
        <v>1558</v>
      </c>
      <c r="E1787" s="390" t="s">
        <v>1249</v>
      </c>
      <c r="F1787" s="396" t="s">
        <v>1313</v>
      </c>
    </row>
    <row r="1788" spans="1:6" ht="72">
      <c r="A1788" s="405" t="s">
        <v>1555</v>
      </c>
      <c r="B1788" s="384" t="s">
        <v>88</v>
      </c>
      <c r="C1788" s="384"/>
      <c r="D1788" s="386" t="s">
        <v>1556</v>
      </c>
      <c r="E1788" s="390" t="s">
        <v>1249</v>
      </c>
      <c r="F1788" s="396" t="s">
        <v>1313</v>
      </c>
    </row>
    <row r="1789" spans="1:6" ht="72">
      <c r="A1789" s="405" t="s">
        <v>1553</v>
      </c>
      <c r="B1789" s="384" t="s">
        <v>88</v>
      </c>
      <c r="C1789" s="384"/>
      <c r="D1789" s="386" t="s">
        <v>1554</v>
      </c>
      <c r="E1789" s="390" t="s">
        <v>1249</v>
      </c>
      <c r="F1789" s="396" t="s">
        <v>1313</v>
      </c>
    </row>
    <row r="1790" spans="1:6">
      <c r="A1790" s="405">
        <v>45778.416666666664</v>
      </c>
      <c r="B1790" s="384" t="s">
        <v>23</v>
      </c>
      <c r="C1790" s="384" t="s">
        <v>1277</v>
      </c>
      <c r="D1790" s="385" t="s">
        <v>1552</v>
      </c>
      <c r="E1790" s="390" t="s">
        <v>1239</v>
      </c>
      <c r="F1790" s="396" t="s">
        <v>1313</v>
      </c>
    </row>
    <row r="1791" spans="1:6" ht="72">
      <c r="A1791" s="405" t="s">
        <v>1550</v>
      </c>
      <c r="B1791" s="384" t="s">
        <v>88</v>
      </c>
      <c r="C1791" s="384"/>
      <c r="D1791" s="386" t="s">
        <v>1551</v>
      </c>
      <c r="E1791" s="390" t="s">
        <v>1249</v>
      </c>
      <c r="F1791" s="396" t="s">
        <v>1313</v>
      </c>
    </row>
    <row r="1792" spans="1:6" ht="72">
      <c r="A1792" s="405" t="s">
        <v>1549</v>
      </c>
      <c r="B1792" s="384" t="s">
        <v>23</v>
      </c>
      <c r="C1792" s="384"/>
      <c r="D1792" s="386" t="s">
        <v>1268</v>
      </c>
      <c r="E1792" s="390" t="s">
        <v>1249</v>
      </c>
      <c r="F1792" s="396" t="s">
        <v>1313</v>
      </c>
    </row>
    <row r="1793" spans="1:6" ht="48">
      <c r="A1793" s="405">
        <v>45778.415972222225</v>
      </c>
      <c r="B1793" s="384" t="s">
        <v>88</v>
      </c>
      <c r="C1793" s="384" t="s">
        <v>1255</v>
      </c>
      <c r="D1793" s="385" t="s">
        <v>1548</v>
      </c>
      <c r="E1793" s="390" t="s">
        <v>1239</v>
      </c>
      <c r="F1793" s="396" t="s">
        <v>1313</v>
      </c>
    </row>
    <row r="1794" spans="1:6" ht="96">
      <c r="A1794" s="405" t="s">
        <v>1546</v>
      </c>
      <c r="B1794" s="384" t="s">
        <v>23</v>
      </c>
      <c r="C1794" s="384"/>
      <c r="D1794" s="386" t="s">
        <v>1547</v>
      </c>
      <c r="E1794" s="390" t="s">
        <v>1249</v>
      </c>
      <c r="F1794" s="396" t="s">
        <v>1313</v>
      </c>
    </row>
    <row r="1795" spans="1:6" ht="72">
      <c r="A1795" s="405" t="s">
        <v>1544</v>
      </c>
      <c r="B1795" s="384" t="s">
        <v>88</v>
      </c>
      <c r="C1795" s="384"/>
      <c r="D1795" s="386" t="s">
        <v>1545</v>
      </c>
      <c r="E1795" s="390" t="s">
        <v>1249</v>
      </c>
      <c r="F1795" s="396" t="s">
        <v>1313</v>
      </c>
    </row>
    <row r="1796" spans="1:6">
      <c r="A1796" s="405">
        <v>45748.475694444445</v>
      </c>
      <c r="B1796" s="384" t="s">
        <v>23</v>
      </c>
      <c r="C1796" s="384" t="s">
        <v>1277</v>
      </c>
      <c r="D1796" s="385" t="s">
        <v>1543</v>
      </c>
      <c r="E1796" s="390" t="s">
        <v>1239</v>
      </c>
      <c r="F1796" s="396" t="s">
        <v>1313</v>
      </c>
    </row>
    <row r="1797" spans="1:6">
      <c r="A1797" s="405">
        <v>45748.475694444445</v>
      </c>
      <c r="B1797" s="384" t="s">
        <v>23</v>
      </c>
      <c r="C1797" s="384" t="s">
        <v>1277</v>
      </c>
      <c r="D1797" s="385" t="s">
        <v>1542</v>
      </c>
      <c r="E1797" s="390" t="s">
        <v>1239</v>
      </c>
      <c r="F1797" s="396" t="s">
        <v>1313</v>
      </c>
    </row>
    <row r="1798" spans="1:6" ht="72">
      <c r="A1798" s="405" t="s">
        <v>1537</v>
      </c>
      <c r="B1798" s="384" t="s">
        <v>88</v>
      </c>
      <c r="C1798" s="384"/>
      <c r="D1798" s="386" t="s">
        <v>1538</v>
      </c>
      <c r="E1798" s="390" t="s">
        <v>1249</v>
      </c>
      <c r="F1798" s="396" t="s">
        <v>1313</v>
      </c>
    </row>
    <row r="1799" spans="1:6" ht="96">
      <c r="A1799" s="405" t="s">
        <v>1535</v>
      </c>
      <c r="B1799" s="384" t="s">
        <v>23</v>
      </c>
      <c r="C1799" s="384"/>
      <c r="D1799" s="386" t="s">
        <v>1536</v>
      </c>
      <c r="E1799" s="390" t="s">
        <v>1249</v>
      </c>
      <c r="F1799" s="396" t="s">
        <v>1313</v>
      </c>
    </row>
    <row r="1800" spans="1:6" ht="72">
      <c r="A1800" s="405" t="s">
        <v>1534</v>
      </c>
      <c r="B1800" s="384" t="s">
        <v>23</v>
      </c>
      <c r="C1800" s="384"/>
      <c r="D1800" s="386" t="s">
        <v>1268</v>
      </c>
      <c r="E1800" s="390" t="s">
        <v>1249</v>
      </c>
      <c r="F1800" s="396" t="s">
        <v>1313</v>
      </c>
    </row>
    <row r="1801" spans="1:6" ht="72">
      <c r="A1801" s="405" t="s">
        <v>1532</v>
      </c>
      <c r="B1801" s="384" t="s">
        <v>88</v>
      </c>
      <c r="C1801" s="384"/>
      <c r="D1801" s="386" t="s">
        <v>1533</v>
      </c>
      <c r="E1801" s="390" t="s">
        <v>1249</v>
      </c>
      <c r="F1801" s="396" t="s">
        <v>1313</v>
      </c>
    </row>
    <row r="1802" spans="1:6" ht="72">
      <c r="A1802" s="405" t="s">
        <v>1530</v>
      </c>
      <c r="B1802" s="384" t="s">
        <v>88</v>
      </c>
      <c r="C1802" s="384"/>
      <c r="D1802" s="386" t="s">
        <v>1531</v>
      </c>
      <c r="E1802" s="390" t="s">
        <v>1249</v>
      </c>
      <c r="F1802" s="396" t="s">
        <v>1313</v>
      </c>
    </row>
    <row r="1803" spans="1:6" ht="48">
      <c r="A1803" s="405" t="s">
        <v>1528</v>
      </c>
      <c r="B1803" s="384" t="s">
        <v>88</v>
      </c>
      <c r="C1803" s="384"/>
      <c r="D1803" s="386" t="s">
        <v>1529</v>
      </c>
      <c r="E1803" s="390" t="s">
        <v>1249</v>
      </c>
      <c r="F1803" s="396" t="s">
        <v>1313</v>
      </c>
    </row>
    <row r="1804" spans="1:6" ht="48">
      <c r="A1804" s="405">
        <v>45717.836805555555</v>
      </c>
      <c r="B1804" s="384" t="s">
        <v>88</v>
      </c>
      <c r="C1804" s="384" t="s">
        <v>1255</v>
      </c>
      <c r="D1804" s="385" t="s">
        <v>1527</v>
      </c>
      <c r="E1804" s="390" t="s">
        <v>1239</v>
      </c>
      <c r="F1804" s="396" t="s">
        <v>1313</v>
      </c>
    </row>
    <row r="1805" spans="1:6" ht="48">
      <c r="A1805" s="405">
        <v>45717.836805555555</v>
      </c>
      <c r="B1805" s="384" t="s">
        <v>88</v>
      </c>
      <c r="C1805" s="384" t="s">
        <v>1255</v>
      </c>
      <c r="D1805" s="385" t="s">
        <v>1526</v>
      </c>
      <c r="E1805" s="390" t="s">
        <v>1239</v>
      </c>
      <c r="F1805" s="396" t="s">
        <v>1313</v>
      </c>
    </row>
    <row r="1806" spans="1:6" ht="48">
      <c r="A1806" s="405">
        <v>45717.836111111108</v>
      </c>
      <c r="B1806" s="384" t="s">
        <v>88</v>
      </c>
      <c r="C1806" s="384" t="s">
        <v>1277</v>
      </c>
      <c r="D1806" s="385" t="s">
        <v>1525</v>
      </c>
      <c r="E1806" s="390" t="s">
        <v>1239</v>
      </c>
      <c r="F1806" s="396" t="s">
        <v>1313</v>
      </c>
    </row>
    <row r="1807" spans="1:6" ht="72">
      <c r="A1807" s="405" t="s">
        <v>1520</v>
      </c>
      <c r="B1807" s="384" t="s">
        <v>88</v>
      </c>
      <c r="C1807" s="384"/>
      <c r="D1807" s="386" t="s">
        <v>1521</v>
      </c>
      <c r="E1807" s="390" t="s">
        <v>1249</v>
      </c>
      <c r="F1807" s="396" t="s">
        <v>1313</v>
      </c>
    </row>
    <row r="1808" spans="1:6">
      <c r="A1808" s="405">
        <v>45717.72152777778</v>
      </c>
      <c r="B1808" s="384" t="s">
        <v>23</v>
      </c>
      <c r="C1808" s="384" t="s">
        <v>1277</v>
      </c>
      <c r="D1808" s="385" t="s">
        <v>1519</v>
      </c>
      <c r="E1808" s="390" t="s">
        <v>1239</v>
      </c>
      <c r="F1808" s="396" t="s">
        <v>1313</v>
      </c>
    </row>
    <row r="1809" spans="1:6" ht="48">
      <c r="A1809" s="405" t="s">
        <v>1515</v>
      </c>
      <c r="B1809" s="384" t="s">
        <v>23</v>
      </c>
      <c r="C1809" s="384"/>
      <c r="D1809" s="386" t="s">
        <v>1516</v>
      </c>
      <c r="E1809" s="390" t="s">
        <v>1249</v>
      </c>
      <c r="F1809" s="396" t="s">
        <v>1313</v>
      </c>
    </row>
    <row r="1810" spans="1:6" ht="72">
      <c r="A1810" s="405" t="s">
        <v>1513</v>
      </c>
      <c r="B1810" s="384" t="s">
        <v>88</v>
      </c>
      <c r="C1810" s="384"/>
      <c r="D1810" s="386" t="s">
        <v>1514</v>
      </c>
      <c r="E1810" s="390" t="s">
        <v>1249</v>
      </c>
      <c r="F1810" s="396" t="s">
        <v>1313</v>
      </c>
    </row>
    <row r="1811" spans="1:6" ht="48">
      <c r="A1811" s="405">
        <v>45717.376388888886</v>
      </c>
      <c r="B1811" s="384" t="s">
        <v>23</v>
      </c>
      <c r="C1811" s="384" t="s">
        <v>1255</v>
      </c>
      <c r="D1811" s="385" t="s">
        <v>1512</v>
      </c>
      <c r="E1811" s="390" t="s">
        <v>1239</v>
      </c>
      <c r="F1811" s="396" t="s">
        <v>1313</v>
      </c>
    </row>
    <row r="1812" spans="1:6" ht="48">
      <c r="A1812" s="405">
        <v>45717.376388888886</v>
      </c>
      <c r="B1812" s="384" t="s">
        <v>23</v>
      </c>
      <c r="C1812" s="384" t="s">
        <v>1255</v>
      </c>
      <c r="D1812" s="385" t="s">
        <v>1511</v>
      </c>
      <c r="E1812" s="390" t="s">
        <v>1239</v>
      </c>
      <c r="F1812" s="396" t="s">
        <v>1313</v>
      </c>
    </row>
    <row r="1813" spans="1:6">
      <c r="A1813" s="405">
        <v>45717.375694444447</v>
      </c>
      <c r="B1813" s="384" t="s">
        <v>23</v>
      </c>
      <c r="C1813" s="384" t="s">
        <v>1277</v>
      </c>
      <c r="D1813" s="385" t="s">
        <v>1510</v>
      </c>
      <c r="E1813" s="390" t="s">
        <v>1239</v>
      </c>
      <c r="F1813" s="396" t="s">
        <v>1313</v>
      </c>
    </row>
    <row r="1814" spans="1:6">
      <c r="A1814" s="405">
        <v>45717.375694444447</v>
      </c>
      <c r="B1814" s="384" t="s">
        <v>23</v>
      </c>
      <c r="C1814" s="384" t="s">
        <v>1277</v>
      </c>
      <c r="D1814" s="385" t="s">
        <v>1508</v>
      </c>
      <c r="E1814" s="390" t="s">
        <v>1239</v>
      </c>
      <c r="F1814" s="396" t="s">
        <v>1313</v>
      </c>
    </row>
    <row r="1815" spans="1:6" ht="72">
      <c r="A1815" s="405" t="s">
        <v>1506</v>
      </c>
      <c r="B1815" s="384" t="s">
        <v>88</v>
      </c>
      <c r="C1815" s="384"/>
      <c r="D1815" s="386" t="s">
        <v>1507</v>
      </c>
      <c r="E1815" s="390" t="s">
        <v>1249</v>
      </c>
      <c r="F1815" s="396" t="s">
        <v>1313</v>
      </c>
    </row>
    <row r="1816" spans="1:6" ht="96">
      <c r="A1816" s="405" t="s">
        <v>1504</v>
      </c>
      <c r="B1816" s="384" t="s">
        <v>23</v>
      </c>
      <c r="C1816" s="384"/>
      <c r="D1816" s="386" t="s">
        <v>1505</v>
      </c>
      <c r="E1816" s="390" t="s">
        <v>1249</v>
      </c>
      <c r="F1816" s="396" t="s">
        <v>1313</v>
      </c>
    </row>
    <row r="1817" spans="1:6">
      <c r="A1817" s="405">
        <v>45717.375694444447</v>
      </c>
      <c r="B1817" s="384" t="s">
        <v>23</v>
      </c>
      <c r="C1817" s="384" t="s">
        <v>1277</v>
      </c>
      <c r="D1817" s="385" t="s">
        <v>1503</v>
      </c>
      <c r="E1817" s="390" t="s">
        <v>1239</v>
      </c>
      <c r="F1817" s="396" t="s">
        <v>1313</v>
      </c>
    </row>
    <row r="1818" spans="1:6">
      <c r="A1818" s="405">
        <v>45717.374305555553</v>
      </c>
      <c r="B1818" s="384" t="s">
        <v>88</v>
      </c>
      <c r="C1818" s="384" t="s">
        <v>1277</v>
      </c>
      <c r="D1818" s="385" t="s">
        <v>1499</v>
      </c>
      <c r="E1818" s="390" t="s">
        <v>1239</v>
      </c>
      <c r="F1818" s="396" t="s">
        <v>1313</v>
      </c>
    </row>
    <row r="1819" spans="1:6" ht="72">
      <c r="A1819" s="405" t="s">
        <v>1497</v>
      </c>
      <c r="B1819" s="384" t="s">
        <v>88</v>
      </c>
      <c r="C1819" s="384"/>
      <c r="D1819" s="386" t="s">
        <v>1498</v>
      </c>
      <c r="E1819" s="390" t="s">
        <v>1249</v>
      </c>
      <c r="F1819" s="396" t="s">
        <v>1313</v>
      </c>
    </row>
    <row r="1820" spans="1:6" ht="72">
      <c r="A1820" s="405" t="s">
        <v>1495</v>
      </c>
      <c r="B1820" s="384" t="s">
        <v>88</v>
      </c>
      <c r="C1820" s="384"/>
      <c r="D1820" s="386" t="s">
        <v>1496</v>
      </c>
      <c r="E1820" s="390" t="s">
        <v>1249</v>
      </c>
      <c r="F1820" s="396" t="s">
        <v>1313</v>
      </c>
    </row>
    <row r="1821" spans="1:6" ht="72">
      <c r="A1821" s="405" t="s">
        <v>1493</v>
      </c>
      <c r="B1821" s="384" t="s">
        <v>88</v>
      </c>
      <c r="C1821" s="384"/>
      <c r="D1821" s="386" t="s">
        <v>1494</v>
      </c>
      <c r="E1821" s="390" t="s">
        <v>1249</v>
      </c>
      <c r="F1821" s="396" t="s">
        <v>1313</v>
      </c>
    </row>
    <row r="1822" spans="1:6" ht="72">
      <c r="A1822" s="405" t="s">
        <v>1491</v>
      </c>
      <c r="B1822" s="384" t="s">
        <v>88</v>
      </c>
      <c r="C1822" s="384"/>
      <c r="D1822" s="386" t="s">
        <v>1492</v>
      </c>
      <c r="E1822" s="390" t="s">
        <v>1249</v>
      </c>
      <c r="F1822" s="396" t="s">
        <v>1313</v>
      </c>
    </row>
    <row r="1823" spans="1:6" ht="48">
      <c r="A1823" s="405" t="s">
        <v>1489</v>
      </c>
      <c r="B1823" s="384" t="s">
        <v>88</v>
      </c>
      <c r="C1823" s="384"/>
      <c r="D1823" s="386" t="s">
        <v>1490</v>
      </c>
      <c r="E1823" s="390" t="s">
        <v>1249</v>
      </c>
      <c r="F1823" s="396" t="s">
        <v>1313</v>
      </c>
    </row>
    <row r="1824" spans="1:6" ht="72">
      <c r="A1824" s="405" t="s">
        <v>1487</v>
      </c>
      <c r="B1824" s="384" t="s">
        <v>23</v>
      </c>
      <c r="C1824" s="384"/>
      <c r="D1824" s="386" t="s">
        <v>1488</v>
      </c>
      <c r="E1824" s="390" t="s">
        <v>1249</v>
      </c>
      <c r="F1824" s="396" t="s">
        <v>1313</v>
      </c>
    </row>
    <row r="1825" spans="1:6" ht="72">
      <c r="A1825" s="405" t="s">
        <v>1486</v>
      </c>
      <c r="B1825" s="384" t="s">
        <v>23</v>
      </c>
      <c r="C1825" s="384"/>
      <c r="D1825" s="386" t="s">
        <v>1415</v>
      </c>
      <c r="E1825" s="390" t="s">
        <v>1249</v>
      </c>
      <c r="F1825" s="396" t="s">
        <v>1313</v>
      </c>
    </row>
    <row r="1826" spans="1:6" ht="72">
      <c r="A1826" s="405" t="s">
        <v>1484</v>
      </c>
      <c r="B1826" s="384" t="s">
        <v>88</v>
      </c>
      <c r="C1826" s="384"/>
      <c r="D1826" s="386" t="s">
        <v>1485</v>
      </c>
      <c r="E1826" s="390" t="s">
        <v>1249</v>
      </c>
      <c r="F1826" s="396" t="s">
        <v>1313</v>
      </c>
    </row>
    <row r="1827" spans="1:6" ht="72">
      <c r="A1827" s="405" t="s">
        <v>1482</v>
      </c>
      <c r="B1827" s="384" t="s">
        <v>88</v>
      </c>
      <c r="C1827" s="384"/>
      <c r="D1827" s="386" t="s">
        <v>1483</v>
      </c>
      <c r="E1827" s="390" t="s">
        <v>1249</v>
      </c>
      <c r="F1827" s="396" t="s">
        <v>1313</v>
      </c>
    </row>
    <row r="1828" spans="1:6" ht="48">
      <c r="A1828" s="405" t="s">
        <v>1480</v>
      </c>
      <c r="B1828" s="384" t="s">
        <v>88</v>
      </c>
      <c r="C1828" s="384"/>
      <c r="D1828" s="386" t="s">
        <v>1481</v>
      </c>
      <c r="E1828" s="390" t="s">
        <v>1249</v>
      </c>
      <c r="F1828" s="396" t="s">
        <v>1313</v>
      </c>
    </row>
    <row r="1829" spans="1:6" ht="72">
      <c r="A1829" s="405" t="s">
        <v>1478</v>
      </c>
      <c r="B1829" s="384" t="s">
        <v>88</v>
      </c>
      <c r="C1829" s="384"/>
      <c r="D1829" s="386" t="s">
        <v>1479</v>
      </c>
      <c r="E1829" s="390" t="s">
        <v>1249</v>
      </c>
      <c r="F1829" s="396" t="s">
        <v>1313</v>
      </c>
    </row>
    <row r="1830" spans="1:6" ht="72">
      <c r="A1830" s="405" t="s">
        <v>1476</v>
      </c>
      <c r="B1830" s="384" t="s">
        <v>88</v>
      </c>
      <c r="C1830" s="384"/>
      <c r="D1830" s="386" t="s">
        <v>1477</v>
      </c>
      <c r="E1830" s="390" t="s">
        <v>1249</v>
      </c>
      <c r="F1830" s="396" t="s">
        <v>1313</v>
      </c>
    </row>
    <row r="1831" spans="1:6" ht="72">
      <c r="A1831" s="405" t="s">
        <v>1474</v>
      </c>
      <c r="B1831" s="384" t="s">
        <v>88</v>
      </c>
      <c r="C1831" s="384"/>
      <c r="D1831" s="386" t="s">
        <v>1475</v>
      </c>
      <c r="E1831" s="390" t="s">
        <v>1249</v>
      </c>
      <c r="F1831" s="396" t="s">
        <v>1313</v>
      </c>
    </row>
    <row r="1832" spans="1:6" ht="72">
      <c r="A1832" s="405" t="s">
        <v>1472</v>
      </c>
      <c r="B1832" s="384" t="s">
        <v>23</v>
      </c>
      <c r="C1832" s="384"/>
      <c r="D1832" s="386" t="s">
        <v>1473</v>
      </c>
      <c r="E1832" s="390" t="s">
        <v>1249</v>
      </c>
      <c r="F1832" s="396" t="s">
        <v>1313</v>
      </c>
    </row>
    <row r="1833" spans="1:6" ht="72">
      <c r="A1833" s="405" t="s">
        <v>1471</v>
      </c>
      <c r="B1833" s="384" t="s">
        <v>23</v>
      </c>
      <c r="C1833" s="384"/>
      <c r="D1833" s="386" t="s">
        <v>1415</v>
      </c>
      <c r="E1833" s="390" t="s">
        <v>1249</v>
      </c>
      <c r="F1833" s="396" t="s">
        <v>1313</v>
      </c>
    </row>
    <row r="1834" spans="1:6">
      <c r="A1834" s="405">
        <v>45658.463194444441</v>
      </c>
      <c r="B1834" s="384" t="s">
        <v>23</v>
      </c>
      <c r="C1834" s="384" t="s">
        <v>1277</v>
      </c>
      <c r="D1834" s="385" t="s">
        <v>1470</v>
      </c>
      <c r="E1834" s="390" t="s">
        <v>1239</v>
      </c>
      <c r="F1834" s="396" t="s">
        <v>1313</v>
      </c>
    </row>
    <row r="1835" spans="1:6">
      <c r="A1835" s="405" t="s">
        <v>1468</v>
      </c>
      <c r="B1835" s="384" t="s">
        <v>23</v>
      </c>
      <c r="C1835" s="384" t="s">
        <v>1277</v>
      </c>
      <c r="D1835" s="385" t="s">
        <v>1469</v>
      </c>
      <c r="E1835" s="390" t="s">
        <v>1239</v>
      </c>
      <c r="F1835" s="396" t="s">
        <v>1313</v>
      </c>
    </row>
    <row r="1836" spans="1:6" ht="48">
      <c r="A1836" s="405" t="s">
        <v>1467</v>
      </c>
      <c r="B1836" s="384" t="s">
        <v>88</v>
      </c>
      <c r="C1836" s="384"/>
      <c r="D1836" s="386" t="s">
        <v>1284</v>
      </c>
      <c r="E1836" s="390" t="s">
        <v>1249</v>
      </c>
      <c r="F1836" s="396" t="s">
        <v>1313</v>
      </c>
    </row>
    <row r="1837" spans="1:6" ht="72">
      <c r="A1837" s="405" t="s">
        <v>1465</v>
      </c>
      <c r="B1837" s="384" t="s">
        <v>88</v>
      </c>
      <c r="C1837" s="384"/>
      <c r="D1837" s="386" t="s">
        <v>1466</v>
      </c>
      <c r="E1837" s="390" t="s">
        <v>1249</v>
      </c>
      <c r="F1837" s="396" t="s">
        <v>1313</v>
      </c>
    </row>
    <row r="1838" spans="1:6" ht="96">
      <c r="A1838" s="405" t="s">
        <v>1463</v>
      </c>
      <c r="B1838" s="384" t="s">
        <v>23</v>
      </c>
      <c r="C1838" s="384"/>
      <c r="D1838" s="386" t="s">
        <v>1464</v>
      </c>
      <c r="E1838" s="390" t="s">
        <v>1249</v>
      </c>
      <c r="F1838" s="396" t="s">
        <v>1313</v>
      </c>
    </row>
    <row r="1839" spans="1:6" ht="72">
      <c r="A1839" s="405" t="s">
        <v>1462</v>
      </c>
      <c r="B1839" s="384" t="s">
        <v>23</v>
      </c>
      <c r="C1839" s="384"/>
      <c r="D1839" s="386" t="s">
        <v>1415</v>
      </c>
      <c r="E1839" s="390" t="s">
        <v>1249</v>
      </c>
      <c r="F1839" s="396" t="s">
        <v>1313</v>
      </c>
    </row>
    <row r="1840" spans="1:6" ht="48">
      <c r="A1840" s="405" t="s">
        <v>1460</v>
      </c>
      <c r="B1840" s="384" t="s">
        <v>23</v>
      </c>
      <c r="C1840" s="384" t="s">
        <v>1255</v>
      </c>
      <c r="D1840" s="385" t="s">
        <v>1461</v>
      </c>
      <c r="E1840" s="390" t="s">
        <v>1239</v>
      </c>
      <c r="F1840" s="396" t="s">
        <v>1313</v>
      </c>
    </row>
    <row r="1841" spans="1:6">
      <c r="A1841" s="405" t="s">
        <v>1458</v>
      </c>
      <c r="B1841" s="384" t="s">
        <v>23</v>
      </c>
      <c r="C1841" s="384" t="s">
        <v>1277</v>
      </c>
      <c r="D1841" s="385" t="s">
        <v>1459</v>
      </c>
      <c r="E1841" s="390" t="s">
        <v>1239</v>
      </c>
      <c r="F1841" s="396" t="s">
        <v>1313</v>
      </c>
    </row>
    <row r="1842" spans="1:6" ht="48">
      <c r="A1842" s="405" t="s">
        <v>1456</v>
      </c>
      <c r="B1842" s="384" t="s">
        <v>23</v>
      </c>
      <c r="C1842" s="384"/>
      <c r="D1842" s="386" t="s">
        <v>1457</v>
      </c>
      <c r="E1842" s="390" t="s">
        <v>1249</v>
      </c>
      <c r="F1842" s="396" t="s">
        <v>1313</v>
      </c>
    </row>
    <row r="1843" spans="1:6">
      <c r="A1843" s="405" t="s">
        <v>1454</v>
      </c>
      <c r="B1843" s="384" t="s">
        <v>23</v>
      </c>
      <c r="C1843" s="384" t="s">
        <v>1277</v>
      </c>
      <c r="D1843" s="385" t="s">
        <v>1455</v>
      </c>
      <c r="E1843" s="390" t="s">
        <v>1239</v>
      </c>
      <c r="F1843" s="396" t="s">
        <v>1313</v>
      </c>
    </row>
    <row r="1844" spans="1:6" ht="72">
      <c r="A1844" s="405" t="s">
        <v>1452</v>
      </c>
      <c r="B1844" s="384" t="s">
        <v>23</v>
      </c>
      <c r="C1844" s="384"/>
      <c r="D1844" s="386" t="s">
        <v>1453</v>
      </c>
      <c r="E1844" s="390" t="s">
        <v>1249</v>
      </c>
      <c r="F1844" s="396" t="s">
        <v>1313</v>
      </c>
    </row>
    <row r="1845" spans="1:6" ht="72">
      <c r="A1845" s="405" t="s">
        <v>1450</v>
      </c>
      <c r="B1845" s="384" t="s">
        <v>88</v>
      </c>
      <c r="C1845" s="384"/>
      <c r="D1845" s="386" t="s">
        <v>1451</v>
      </c>
      <c r="E1845" s="390" t="s">
        <v>1249</v>
      </c>
      <c r="F1845" s="396" t="s">
        <v>1313</v>
      </c>
    </row>
    <row r="1846" spans="1:6" ht="72">
      <c r="A1846" s="405" t="s">
        <v>1449</v>
      </c>
      <c r="B1846" s="384" t="s">
        <v>23</v>
      </c>
      <c r="C1846" s="384"/>
      <c r="D1846" s="386" t="s">
        <v>1415</v>
      </c>
      <c r="E1846" s="390" t="s">
        <v>1249</v>
      </c>
      <c r="F1846" s="396" t="s">
        <v>1313</v>
      </c>
    </row>
    <row r="1847" spans="1:6" ht="48">
      <c r="A1847" s="405" t="s">
        <v>1447</v>
      </c>
      <c r="B1847" s="384" t="s">
        <v>23</v>
      </c>
      <c r="C1847" s="384" t="s">
        <v>1255</v>
      </c>
      <c r="D1847" s="385" t="s">
        <v>1448</v>
      </c>
      <c r="E1847" s="390" t="s">
        <v>1239</v>
      </c>
      <c r="F1847" s="396" t="s">
        <v>1313</v>
      </c>
    </row>
    <row r="1848" spans="1:6">
      <c r="A1848" s="405" t="s">
        <v>1445</v>
      </c>
      <c r="B1848" s="384" t="s">
        <v>23</v>
      </c>
      <c r="C1848" s="384" t="s">
        <v>1277</v>
      </c>
      <c r="D1848" s="385" t="s">
        <v>1446</v>
      </c>
      <c r="E1848" s="390" t="s">
        <v>1239</v>
      </c>
      <c r="F1848" s="396" t="s">
        <v>1313</v>
      </c>
    </row>
    <row r="1849" spans="1:6" ht="48">
      <c r="A1849" s="405" t="s">
        <v>1443</v>
      </c>
      <c r="B1849" s="384" t="s">
        <v>88</v>
      </c>
      <c r="C1849" s="384" t="s">
        <v>1277</v>
      </c>
      <c r="D1849" s="385" t="s">
        <v>1444</v>
      </c>
      <c r="E1849" s="390" t="s">
        <v>1239</v>
      </c>
      <c r="F1849" s="396" t="s">
        <v>1313</v>
      </c>
    </row>
    <row r="1850" spans="1:6" ht="72">
      <c r="A1850" s="405" t="s">
        <v>1440</v>
      </c>
      <c r="B1850" s="384" t="s">
        <v>88</v>
      </c>
      <c r="C1850" s="384"/>
      <c r="D1850" s="386" t="s">
        <v>1441</v>
      </c>
      <c r="E1850" s="390" t="s">
        <v>1249</v>
      </c>
      <c r="F1850" s="396" t="s">
        <v>1313</v>
      </c>
    </row>
    <row r="1851" spans="1:6" ht="48">
      <c r="A1851" s="405" t="s">
        <v>1438</v>
      </c>
      <c r="B1851" s="384" t="s">
        <v>88</v>
      </c>
      <c r="C1851" s="384"/>
      <c r="D1851" s="386" t="s">
        <v>1439</v>
      </c>
      <c r="E1851" s="390" t="s">
        <v>1249</v>
      </c>
      <c r="F1851" s="396" t="s">
        <v>1313</v>
      </c>
    </row>
    <row r="1852" spans="1:6" ht="72">
      <c r="A1852" s="405" t="s">
        <v>1436</v>
      </c>
      <c r="B1852" s="384" t="s">
        <v>88</v>
      </c>
      <c r="C1852" s="384"/>
      <c r="D1852" s="386" t="s">
        <v>1437</v>
      </c>
      <c r="E1852" s="390" t="s">
        <v>1249</v>
      </c>
      <c r="F1852" s="396" t="s">
        <v>1313</v>
      </c>
    </row>
    <row r="1853" spans="1:6" ht="48">
      <c r="A1853" s="405" t="s">
        <v>1434</v>
      </c>
      <c r="B1853" s="384" t="s">
        <v>23</v>
      </c>
      <c r="C1853" s="384"/>
      <c r="D1853" s="386" t="s">
        <v>1435</v>
      </c>
      <c r="E1853" s="390" t="s">
        <v>1249</v>
      </c>
      <c r="F1853" s="396" t="s">
        <v>1313</v>
      </c>
    </row>
    <row r="1854" spans="1:6" ht="48">
      <c r="A1854" s="405" t="s">
        <v>1432</v>
      </c>
      <c r="B1854" s="384" t="s">
        <v>23</v>
      </c>
      <c r="C1854" s="384"/>
      <c r="D1854" s="386" t="s">
        <v>1433</v>
      </c>
      <c r="E1854" s="390" t="s">
        <v>1249</v>
      </c>
      <c r="F1854" s="396" t="s">
        <v>1313</v>
      </c>
    </row>
    <row r="1855" spans="1:6" ht="72">
      <c r="A1855" s="405" t="s">
        <v>1430</v>
      </c>
      <c r="B1855" s="384" t="s">
        <v>23</v>
      </c>
      <c r="C1855" s="384"/>
      <c r="D1855" s="386" t="s">
        <v>1431</v>
      </c>
      <c r="E1855" s="390" t="s">
        <v>1249</v>
      </c>
      <c r="F1855" s="396" t="s">
        <v>1313</v>
      </c>
    </row>
    <row r="1856" spans="1:6" ht="72">
      <c r="A1856" s="405" t="s">
        <v>1429</v>
      </c>
      <c r="B1856" s="384" t="s">
        <v>23</v>
      </c>
      <c r="C1856" s="384"/>
      <c r="D1856" s="386" t="s">
        <v>1415</v>
      </c>
      <c r="E1856" s="390" t="s">
        <v>1249</v>
      </c>
      <c r="F1856" s="396" t="s">
        <v>1313</v>
      </c>
    </row>
    <row r="1857" spans="1:6">
      <c r="A1857" s="405" t="s">
        <v>1427</v>
      </c>
      <c r="B1857" s="384" t="s">
        <v>23</v>
      </c>
      <c r="C1857" s="384" t="s">
        <v>1277</v>
      </c>
      <c r="D1857" s="385" t="s">
        <v>1428</v>
      </c>
      <c r="E1857" s="390" t="s">
        <v>1239</v>
      </c>
      <c r="F1857" s="396" t="s">
        <v>1313</v>
      </c>
    </row>
    <row r="1858" spans="1:6" ht="72">
      <c r="A1858" s="405" t="s">
        <v>1422</v>
      </c>
      <c r="B1858" s="384" t="s">
        <v>23</v>
      </c>
      <c r="C1858" s="384"/>
      <c r="D1858" s="386" t="s">
        <v>1423</v>
      </c>
      <c r="E1858" s="390" t="s">
        <v>1249</v>
      </c>
      <c r="F1858" s="396" t="s">
        <v>1313</v>
      </c>
    </row>
    <row r="1859" spans="1:6" ht="72">
      <c r="A1859" s="405" t="s">
        <v>1420</v>
      </c>
      <c r="B1859" s="384" t="s">
        <v>23</v>
      </c>
      <c r="C1859" s="384"/>
      <c r="D1859" s="386" t="s">
        <v>1421</v>
      </c>
      <c r="E1859" s="390" t="s">
        <v>1249</v>
      </c>
      <c r="F1859" s="396" t="s">
        <v>1313</v>
      </c>
    </row>
    <row r="1860" spans="1:6" ht="72">
      <c r="A1860" s="405" t="s">
        <v>1418</v>
      </c>
      <c r="B1860" s="384" t="s">
        <v>88</v>
      </c>
      <c r="C1860" s="384"/>
      <c r="D1860" s="386" t="s">
        <v>1419</v>
      </c>
      <c r="E1860" s="390" t="s">
        <v>1249</v>
      </c>
      <c r="F1860" s="396" t="s">
        <v>1313</v>
      </c>
    </row>
    <row r="1861" spans="1:6" ht="72">
      <c r="A1861" s="405" t="s">
        <v>1416</v>
      </c>
      <c r="B1861" s="384" t="s">
        <v>88</v>
      </c>
      <c r="C1861" s="384"/>
      <c r="D1861" s="386" t="s">
        <v>1417</v>
      </c>
      <c r="E1861" s="390" t="s">
        <v>1249</v>
      </c>
      <c r="F1861" s="396" t="s">
        <v>1313</v>
      </c>
    </row>
    <row r="1862" spans="1:6" ht="72">
      <c r="A1862" s="405" t="s">
        <v>1414</v>
      </c>
      <c r="B1862" s="384" t="s">
        <v>23</v>
      </c>
      <c r="C1862" s="384"/>
      <c r="D1862" s="386" t="s">
        <v>1415</v>
      </c>
      <c r="E1862" s="390" t="s">
        <v>1249</v>
      </c>
      <c r="F1862" s="396" t="s">
        <v>1313</v>
      </c>
    </row>
    <row r="1863" spans="1:6" ht="72">
      <c r="A1863" s="405" t="s">
        <v>1408</v>
      </c>
      <c r="B1863" s="384" t="s">
        <v>88</v>
      </c>
      <c r="C1863" s="384"/>
      <c r="D1863" s="386" t="s">
        <v>1409</v>
      </c>
      <c r="E1863" s="390" t="s">
        <v>1249</v>
      </c>
      <c r="F1863" s="396" t="s">
        <v>1313</v>
      </c>
    </row>
    <row r="1864" spans="1:6" ht="72">
      <c r="A1864" s="405" t="s">
        <v>1406</v>
      </c>
      <c r="B1864" s="384" t="s">
        <v>88</v>
      </c>
      <c r="C1864" s="384"/>
      <c r="D1864" s="386" t="s">
        <v>1407</v>
      </c>
      <c r="E1864" s="390" t="s">
        <v>1249</v>
      </c>
      <c r="F1864" s="396" t="s">
        <v>1313</v>
      </c>
    </row>
    <row r="1865" spans="1:6" ht="72">
      <c r="A1865" s="405" t="s">
        <v>1404</v>
      </c>
      <c r="B1865" s="384" t="s">
        <v>23</v>
      </c>
      <c r="C1865" s="384"/>
      <c r="D1865" s="386" t="s">
        <v>1405</v>
      </c>
      <c r="E1865" s="390" t="s">
        <v>1249</v>
      </c>
      <c r="F1865" s="396" t="s">
        <v>1313</v>
      </c>
    </row>
    <row r="1866" spans="1:6" ht="48">
      <c r="A1866" s="405" t="s">
        <v>1402</v>
      </c>
      <c r="B1866" s="384" t="s">
        <v>23</v>
      </c>
      <c r="C1866" s="384" t="s">
        <v>1255</v>
      </c>
      <c r="D1866" s="385" t="s">
        <v>1403</v>
      </c>
      <c r="E1866" s="390" t="s">
        <v>1239</v>
      </c>
      <c r="F1866" s="396" t="s">
        <v>1313</v>
      </c>
    </row>
    <row r="1867" spans="1:6" ht="48">
      <c r="A1867" s="405" t="s">
        <v>1399</v>
      </c>
      <c r="B1867" s="384" t="s">
        <v>88</v>
      </c>
      <c r="C1867" s="384" t="s">
        <v>1255</v>
      </c>
      <c r="D1867" s="385" t="s">
        <v>1401</v>
      </c>
      <c r="E1867" s="390" t="s">
        <v>1239</v>
      </c>
      <c r="F1867" s="396" t="s">
        <v>1313</v>
      </c>
    </row>
    <row r="1868" spans="1:6" ht="48">
      <c r="A1868" s="405" t="s">
        <v>1399</v>
      </c>
      <c r="B1868" s="384" t="s">
        <v>88</v>
      </c>
      <c r="C1868" s="384" t="s">
        <v>1255</v>
      </c>
      <c r="D1868" s="385" t="s">
        <v>1400</v>
      </c>
      <c r="E1868" s="390" t="s">
        <v>1239</v>
      </c>
      <c r="F1868" s="396" t="s">
        <v>1313</v>
      </c>
    </row>
    <row r="1869" spans="1:6" ht="48">
      <c r="A1869" s="405" t="s">
        <v>1399</v>
      </c>
      <c r="B1869" s="384" t="s">
        <v>88</v>
      </c>
      <c r="C1869" s="384" t="s">
        <v>1255</v>
      </c>
      <c r="D1869" s="385" t="s">
        <v>1334</v>
      </c>
      <c r="E1869" s="390" t="s">
        <v>1239</v>
      </c>
      <c r="F1869" s="396" t="s">
        <v>1313</v>
      </c>
    </row>
    <row r="1870" spans="1:6">
      <c r="A1870" s="405" t="s">
        <v>1397</v>
      </c>
      <c r="B1870" s="384" t="s">
        <v>88</v>
      </c>
      <c r="C1870" s="384" t="s">
        <v>1238</v>
      </c>
      <c r="D1870" s="385" t="s">
        <v>1241</v>
      </c>
      <c r="E1870" s="390" t="s">
        <v>1239</v>
      </c>
      <c r="F1870" s="396" t="s">
        <v>1313</v>
      </c>
    </row>
    <row r="1871" spans="1:6">
      <c r="A1871" s="405" t="s">
        <v>1397</v>
      </c>
      <c r="B1871" s="384" t="s">
        <v>88</v>
      </c>
      <c r="C1871" s="384" t="s">
        <v>1238</v>
      </c>
      <c r="D1871" s="385" t="s">
        <v>1398</v>
      </c>
      <c r="E1871" s="390" t="s">
        <v>1239</v>
      </c>
      <c r="F1871" s="396" t="s">
        <v>1313</v>
      </c>
    </row>
    <row r="1872" spans="1:6" ht="48">
      <c r="A1872" s="405" t="s">
        <v>1395</v>
      </c>
      <c r="B1872" s="384" t="s">
        <v>88</v>
      </c>
      <c r="C1872" s="384" t="s">
        <v>1277</v>
      </c>
      <c r="D1872" s="385" t="s">
        <v>1396</v>
      </c>
      <c r="E1872" s="390" t="s">
        <v>1239</v>
      </c>
      <c r="F1872" s="396" t="s">
        <v>1313</v>
      </c>
    </row>
    <row r="1873" spans="1:6">
      <c r="A1873" s="405" t="s">
        <v>1390</v>
      </c>
      <c r="B1873" s="384" t="s">
        <v>23</v>
      </c>
      <c r="C1873" s="384" t="s">
        <v>1277</v>
      </c>
      <c r="D1873" s="385" t="s">
        <v>1391</v>
      </c>
      <c r="E1873" s="390" t="s">
        <v>1239</v>
      </c>
      <c r="F1873" s="396" t="s">
        <v>1313</v>
      </c>
    </row>
    <row r="1874" spans="1:6" ht="48">
      <c r="A1874" s="405" t="s">
        <v>1375</v>
      </c>
      <c r="B1874" s="384" t="s">
        <v>88</v>
      </c>
      <c r="C1874" s="384" t="s">
        <v>1277</v>
      </c>
      <c r="D1874" s="385" t="s">
        <v>1388</v>
      </c>
      <c r="E1874" s="390" t="s">
        <v>1239</v>
      </c>
      <c r="F1874" s="396" t="s">
        <v>1313</v>
      </c>
    </row>
    <row r="1875" spans="1:6" ht="48">
      <c r="A1875" s="405" t="s">
        <v>1375</v>
      </c>
      <c r="B1875" s="384" t="s">
        <v>88</v>
      </c>
      <c r="C1875" s="384" t="s">
        <v>1277</v>
      </c>
      <c r="D1875" s="385" t="s">
        <v>1387</v>
      </c>
      <c r="E1875" s="390" t="s">
        <v>1239</v>
      </c>
      <c r="F1875" s="396" t="s">
        <v>1313</v>
      </c>
    </row>
    <row r="1876" spans="1:6" ht="48">
      <c r="A1876" s="405" t="s">
        <v>1375</v>
      </c>
      <c r="B1876" s="384" t="s">
        <v>88</v>
      </c>
      <c r="C1876" s="384" t="s">
        <v>1277</v>
      </c>
      <c r="D1876" s="385" t="s">
        <v>1386</v>
      </c>
      <c r="E1876" s="390" t="s">
        <v>1239</v>
      </c>
      <c r="F1876" s="396" t="s">
        <v>1313</v>
      </c>
    </row>
    <row r="1877" spans="1:6" ht="48">
      <c r="A1877" s="405" t="s">
        <v>1375</v>
      </c>
      <c r="B1877" s="384" t="s">
        <v>88</v>
      </c>
      <c r="C1877" s="384" t="s">
        <v>1277</v>
      </c>
      <c r="D1877" s="385" t="s">
        <v>1385</v>
      </c>
      <c r="E1877" s="390" t="s">
        <v>1239</v>
      </c>
      <c r="F1877" s="396" t="s">
        <v>1313</v>
      </c>
    </row>
    <row r="1878" spans="1:6" ht="48">
      <c r="A1878" s="405" t="s">
        <v>1375</v>
      </c>
      <c r="B1878" s="384" t="s">
        <v>88</v>
      </c>
      <c r="C1878" s="384" t="s">
        <v>1277</v>
      </c>
      <c r="D1878" s="385" t="s">
        <v>1302</v>
      </c>
      <c r="E1878" s="390" t="s">
        <v>1239</v>
      </c>
      <c r="F1878" s="396" t="s">
        <v>1313</v>
      </c>
    </row>
    <row r="1879" spans="1:6" ht="48">
      <c r="A1879" s="405" t="s">
        <v>1375</v>
      </c>
      <c r="B1879" s="384" t="s">
        <v>88</v>
      </c>
      <c r="C1879" s="384" t="s">
        <v>1277</v>
      </c>
      <c r="D1879" s="385" t="s">
        <v>1384</v>
      </c>
      <c r="E1879" s="390" t="s">
        <v>1239</v>
      </c>
      <c r="F1879" s="396" t="s">
        <v>1313</v>
      </c>
    </row>
    <row r="1880" spans="1:6" ht="48">
      <c r="A1880" s="405" t="s">
        <v>1375</v>
      </c>
      <c r="B1880" s="384" t="s">
        <v>88</v>
      </c>
      <c r="C1880" s="384" t="s">
        <v>1277</v>
      </c>
      <c r="D1880" s="385" t="s">
        <v>1383</v>
      </c>
      <c r="E1880" s="390" t="s">
        <v>1239</v>
      </c>
      <c r="F1880" s="396" t="s">
        <v>1313</v>
      </c>
    </row>
    <row r="1881" spans="1:6" ht="48">
      <c r="A1881" s="405" t="s">
        <v>1375</v>
      </c>
      <c r="B1881" s="384" t="s">
        <v>88</v>
      </c>
      <c r="C1881" s="384" t="s">
        <v>1277</v>
      </c>
      <c r="D1881" s="385" t="s">
        <v>1382</v>
      </c>
      <c r="E1881" s="390" t="s">
        <v>1239</v>
      </c>
      <c r="F1881" s="396" t="s">
        <v>1313</v>
      </c>
    </row>
    <row r="1882" spans="1:6" ht="48">
      <c r="A1882" s="405" t="s">
        <v>1375</v>
      </c>
      <c r="B1882" s="384" t="s">
        <v>88</v>
      </c>
      <c r="C1882" s="384" t="s">
        <v>1277</v>
      </c>
      <c r="D1882" s="385" t="s">
        <v>1381</v>
      </c>
      <c r="E1882" s="390" t="s">
        <v>1239</v>
      </c>
      <c r="F1882" s="396" t="s">
        <v>1313</v>
      </c>
    </row>
    <row r="1883" spans="1:6" ht="48">
      <c r="A1883" s="405" t="s">
        <v>1375</v>
      </c>
      <c r="B1883" s="384" t="s">
        <v>88</v>
      </c>
      <c r="C1883" s="384" t="s">
        <v>1277</v>
      </c>
      <c r="D1883" s="385" t="s">
        <v>1380</v>
      </c>
      <c r="E1883" s="390" t="s">
        <v>1239</v>
      </c>
      <c r="F1883" s="396" t="s">
        <v>1313</v>
      </c>
    </row>
    <row r="1884" spans="1:6" ht="48">
      <c r="A1884" s="405" t="s">
        <v>1375</v>
      </c>
      <c r="B1884" s="384" t="s">
        <v>88</v>
      </c>
      <c r="C1884" s="384" t="s">
        <v>1277</v>
      </c>
      <c r="D1884" s="385" t="s">
        <v>1379</v>
      </c>
      <c r="E1884" s="390" t="s">
        <v>1239</v>
      </c>
      <c r="F1884" s="396" t="s">
        <v>1313</v>
      </c>
    </row>
    <row r="1885" spans="1:6" ht="48">
      <c r="A1885" s="405" t="s">
        <v>1375</v>
      </c>
      <c r="B1885" s="384" t="s">
        <v>88</v>
      </c>
      <c r="C1885" s="384" t="s">
        <v>1277</v>
      </c>
      <c r="D1885" s="385" t="s">
        <v>1378</v>
      </c>
      <c r="E1885" s="390" t="s">
        <v>1239</v>
      </c>
      <c r="F1885" s="396" t="s">
        <v>1313</v>
      </c>
    </row>
    <row r="1886" spans="1:6" ht="48">
      <c r="A1886" s="405" t="s">
        <v>1375</v>
      </c>
      <c r="B1886" s="384" t="s">
        <v>88</v>
      </c>
      <c r="C1886" s="384" t="s">
        <v>1277</v>
      </c>
      <c r="D1886" s="385" t="s">
        <v>1377</v>
      </c>
      <c r="E1886" s="390" t="s">
        <v>1239</v>
      </c>
      <c r="F1886" s="396" t="s">
        <v>1313</v>
      </c>
    </row>
    <row r="1887" spans="1:6" ht="48">
      <c r="A1887" s="405" t="s">
        <v>1375</v>
      </c>
      <c r="B1887" s="384" t="s">
        <v>88</v>
      </c>
      <c r="C1887" s="384" t="s">
        <v>1277</v>
      </c>
      <c r="D1887" s="385" t="s">
        <v>1376</v>
      </c>
      <c r="E1887" s="390" t="s">
        <v>1239</v>
      </c>
      <c r="F1887" s="396" t="s">
        <v>1313</v>
      </c>
    </row>
    <row r="1888" spans="1:6">
      <c r="A1888" s="405" t="s">
        <v>1367</v>
      </c>
      <c r="B1888" s="384" t="s">
        <v>23</v>
      </c>
      <c r="C1888" s="384" t="s">
        <v>1277</v>
      </c>
      <c r="D1888" s="385" t="s">
        <v>1374</v>
      </c>
      <c r="E1888" s="390" t="s">
        <v>1239</v>
      </c>
      <c r="F1888" s="396" t="s">
        <v>1313</v>
      </c>
    </row>
    <row r="1889" spans="1:6">
      <c r="A1889" s="405" t="s">
        <v>1367</v>
      </c>
      <c r="B1889" s="384" t="s">
        <v>23</v>
      </c>
      <c r="C1889" s="384" t="s">
        <v>1277</v>
      </c>
      <c r="D1889" s="385" t="s">
        <v>1373</v>
      </c>
      <c r="E1889" s="390" t="s">
        <v>1239</v>
      </c>
      <c r="F1889" s="396" t="s">
        <v>1313</v>
      </c>
    </row>
    <row r="1890" spans="1:6">
      <c r="A1890" s="405" t="s">
        <v>1367</v>
      </c>
      <c r="B1890" s="384" t="s">
        <v>23</v>
      </c>
      <c r="C1890" s="384" t="s">
        <v>1277</v>
      </c>
      <c r="D1890" s="385" t="s">
        <v>1372</v>
      </c>
      <c r="E1890" s="390" t="s">
        <v>1239</v>
      </c>
      <c r="F1890" s="396" t="s">
        <v>1313</v>
      </c>
    </row>
    <row r="1891" spans="1:6">
      <c r="A1891" s="405" t="s">
        <v>1367</v>
      </c>
      <c r="B1891" s="384" t="s">
        <v>23</v>
      </c>
      <c r="C1891" s="384" t="s">
        <v>1277</v>
      </c>
      <c r="D1891" s="385" t="s">
        <v>1371</v>
      </c>
      <c r="E1891" s="390" t="s">
        <v>1239</v>
      </c>
      <c r="F1891" s="396" t="s">
        <v>1313</v>
      </c>
    </row>
    <row r="1892" spans="1:6">
      <c r="A1892" s="405" t="s">
        <v>1367</v>
      </c>
      <c r="B1892" s="384" t="s">
        <v>23</v>
      </c>
      <c r="C1892" s="384" t="s">
        <v>1277</v>
      </c>
      <c r="D1892" s="385" t="s">
        <v>1370</v>
      </c>
      <c r="E1892" s="390" t="s">
        <v>1239</v>
      </c>
      <c r="F1892" s="396" t="s">
        <v>1313</v>
      </c>
    </row>
    <row r="1893" spans="1:6">
      <c r="A1893" s="405" t="s">
        <v>1367</v>
      </c>
      <c r="B1893" s="384" t="s">
        <v>23</v>
      </c>
      <c r="C1893" s="384" t="s">
        <v>1277</v>
      </c>
      <c r="D1893" s="385" t="s">
        <v>1369</v>
      </c>
      <c r="E1893" s="390" t="s">
        <v>1239</v>
      </c>
      <c r="F1893" s="396" t="s">
        <v>1313</v>
      </c>
    </row>
    <row r="1894" spans="1:6">
      <c r="A1894" s="405" t="s">
        <v>1367</v>
      </c>
      <c r="B1894" s="384" t="s">
        <v>23</v>
      </c>
      <c r="C1894" s="384" t="s">
        <v>1277</v>
      </c>
      <c r="D1894" s="385" t="s">
        <v>1368</v>
      </c>
      <c r="E1894" s="390" t="s">
        <v>1239</v>
      </c>
      <c r="F1894" s="396" t="s">
        <v>1313</v>
      </c>
    </row>
    <row r="1895" spans="1:6">
      <c r="A1895" s="405" t="s">
        <v>1364</v>
      </c>
      <c r="B1895" s="384" t="s">
        <v>23</v>
      </c>
      <c r="C1895" s="384" t="s">
        <v>1277</v>
      </c>
      <c r="D1895" s="385" t="s">
        <v>1366</v>
      </c>
      <c r="E1895" s="390" t="s">
        <v>1239</v>
      </c>
      <c r="F1895" s="396" t="s">
        <v>1313</v>
      </c>
    </row>
    <row r="1896" spans="1:6">
      <c r="A1896" s="405" t="s">
        <v>1364</v>
      </c>
      <c r="B1896" s="384" t="s">
        <v>23</v>
      </c>
      <c r="C1896" s="384" t="s">
        <v>1277</v>
      </c>
      <c r="D1896" s="385" t="s">
        <v>1365</v>
      </c>
      <c r="E1896" s="390" t="s">
        <v>1239</v>
      </c>
      <c r="F1896" s="396" t="s">
        <v>1313</v>
      </c>
    </row>
    <row r="1897" spans="1:6">
      <c r="A1897" s="405" t="s">
        <v>1357</v>
      </c>
      <c r="B1897" s="384" t="s">
        <v>23</v>
      </c>
      <c r="C1897" s="384" t="s">
        <v>1277</v>
      </c>
      <c r="D1897" s="385" t="s">
        <v>1358</v>
      </c>
      <c r="E1897" s="390" t="s">
        <v>1239</v>
      </c>
      <c r="F1897" s="396" t="s">
        <v>1313</v>
      </c>
    </row>
    <row r="1898" spans="1:6" ht="48">
      <c r="A1898" s="405" t="s">
        <v>1350</v>
      </c>
      <c r="B1898" s="384" t="s">
        <v>88</v>
      </c>
      <c r="C1898" s="384"/>
      <c r="D1898" s="386" t="s">
        <v>1351</v>
      </c>
      <c r="E1898" s="390" t="s">
        <v>1249</v>
      </c>
      <c r="F1898" s="396" t="s">
        <v>1313</v>
      </c>
    </row>
    <row r="1899" spans="1:6" ht="48">
      <c r="A1899" s="405" t="s">
        <v>1345</v>
      </c>
      <c r="B1899" s="384" t="s">
        <v>88</v>
      </c>
      <c r="C1899" s="384" t="s">
        <v>1277</v>
      </c>
      <c r="D1899" s="385" t="s">
        <v>1349</v>
      </c>
      <c r="E1899" s="390" t="s">
        <v>1239</v>
      </c>
      <c r="F1899" s="396" t="s">
        <v>1313</v>
      </c>
    </row>
    <row r="1900" spans="1:6" ht="48">
      <c r="A1900" s="405" t="s">
        <v>1345</v>
      </c>
      <c r="B1900" s="384" t="s">
        <v>88</v>
      </c>
      <c r="C1900" s="384" t="s">
        <v>1277</v>
      </c>
      <c r="D1900" s="385" t="s">
        <v>1348</v>
      </c>
      <c r="E1900" s="390" t="s">
        <v>1239</v>
      </c>
      <c r="F1900" s="396" t="s">
        <v>1313</v>
      </c>
    </row>
    <row r="1901" spans="1:6" ht="48">
      <c r="A1901" s="405" t="s">
        <v>1345</v>
      </c>
      <c r="B1901" s="384" t="s">
        <v>88</v>
      </c>
      <c r="C1901" s="384" t="s">
        <v>1277</v>
      </c>
      <c r="D1901" s="385" t="s">
        <v>1347</v>
      </c>
      <c r="E1901" s="390" t="s">
        <v>1239</v>
      </c>
      <c r="F1901" s="396" t="s">
        <v>1313</v>
      </c>
    </row>
    <row r="1902" spans="1:6" ht="48">
      <c r="A1902" s="405" t="s">
        <v>1345</v>
      </c>
      <c r="B1902" s="384" t="s">
        <v>88</v>
      </c>
      <c r="C1902" s="384" t="s">
        <v>1277</v>
      </c>
      <c r="D1902" s="385" t="s">
        <v>1346</v>
      </c>
      <c r="E1902" s="390" t="s">
        <v>1239</v>
      </c>
      <c r="F1902" s="396" t="s">
        <v>1313</v>
      </c>
    </row>
    <row r="1903" spans="1:6" ht="48">
      <c r="A1903" s="405" t="s">
        <v>1341</v>
      </c>
      <c r="B1903" s="384" t="s">
        <v>88</v>
      </c>
      <c r="C1903" s="384" t="s">
        <v>1277</v>
      </c>
      <c r="D1903" s="385" t="s">
        <v>1344</v>
      </c>
      <c r="E1903" s="390" t="s">
        <v>1239</v>
      </c>
      <c r="F1903" s="396" t="s">
        <v>1313</v>
      </c>
    </row>
    <row r="1904" spans="1:6" ht="48">
      <c r="A1904" s="405" t="s">
        <v>1341</v>
      </c>
      <c r="B1904" s="384" t="s">
        <v>88</v>
      </c>
      <c r="C1904" s="384" t="s">
        <v>1277</v>
      </c>
      <c r="D1904" s="385" t="s">
        <v>1343</v>
      </c>
      <c r="E1904" s="390" t="s">
        <v>1239</v>
      </c>
      <c r="F1904" s="396" t="s">
        <v>1313</v>
      </c>
    </row>
    <row r="1905" spans="1:6" ht="48">
      <c r="A1905" s="405" t="s">
        <v>1341</v>
      </c>
      <c r="B1905" s="384" t="s">
        <v>88</v>
      </c>
      <c r="C1905" s="384" t="s">
        <v>1277</v>
      </c>
      <c r="D1905" s="385" t="s">
        <v>1342</v>
      </c>
      <c r="E1905" s="390" t="s">
        <v>1239</v>
      </c>
      <c r="F1905" s="396" t="s">
        <v>1313</v>
      </c>
    </row>
    <row r="1906" spans="1:6" ht="48">
      <c r="A1906" s="405" t="s">
        <v>1339</v>
      </c>
      <c r="B1906" s="384" t="s">
        <v>88</v>
      </c>
      <c r="C1906" s="384"/>
      <c r="D1906" s="386" t="s">
        <v>1340</v>
      </c>
      <c r="E1906" s="390" t="s">
        <v>1249</v>
      </c>
      <c r="F1906" s="396" t="s">
        <v>1313</v>
      </c>
    </row>
    <row r="1907" spans="1:6" ht="72">
      <c r="A1907" s="405" t="s">
        <v>1338</v>
      </c>
      <c r="B1907" s="384" t="s">
        <v>23</v>
      </c>
      <c r="C1907" s="384"/>
      <c r="D1907" s="386" t="s">
        <v>1268</v>
      </c>
      <c r="E1907" s="390" t="s">
        <v>1249</v>
      </c>
      <c r="F1907" s="396" t="s">
        <v>1313</v>
      </c>
    </row>
    <row r="1908" spans="1:6" ht="72">
      <c r="A1908" s="405" t="s">
        <v>1336</v>
      </c>
      <c r="B1908" s="384" t="s">
        <v>88</v>
      </c>
      <c r="C1908" s="384"/>
      <c r="D1908" s="386" t="s">
        <v>1337</v>
      </c>
      <c r="E1908" s="390" t="s">
        <v>1249</v>
      </c>
      <c r="F1908" s="396" t="s">
        <v>1313</v>
      </c>
    </row>
    <row r="1909" spans="1:6" ht="72">
      <c r="A1909" s="405" t="s">
        <v>1335</v>
      </c>
      <c r="B1909" s="384" t="s">
        <v>23</v>
      </c>
      <c r="C1909" s="384"/>
      <c r="D1909" s="386" t="s">
        <v>1268</v>
      </c>
      <c r="E1909" s="390" t="s">
        <v>1249</v>
      </c>
      <c r="F1909" s="396" t="s">
        <v>1313</v>
      </c>
    </row>
    <row r="1910" spans="1:6" ht="48">
      <c r="A1910" s="405" t="s">
        <v>1333</v>
      </c>
      <c r="B1910" s="384" t="s">
        <v>88</v>
      </c>
      <c r="C1910" s="384" t="s">
        <v>1255</v>
      </c>
      <c r="D1910" s="385" t="s">
        <v>1334</v>
      </c>
      <c r="E1910" s="390" t="s">
        <v>1239</v>
      </c>
      <c r="F1910" s="396" t="s">
        <v>1313</v>
      </c>
    </row>
    <row r="1911" spans="1:6">
      <c r="A1911" s="405" t="s">
        <v>1331</v>
      </c>
      <c r="B1911" s="384" t="s">
        <v>88</v>
      </c>
      <c r="C1911" s="384" t="s">
        <v>1238</v>
      </c>
      <c r="D1911" s="385" t="s">
        <v>1332</v>
      </c>
      <c r="E1911" s="390" t="s">
        <v>1239</v>
      </c>
      <c r="F1911" s="396" t="s">
        <v>1313</v>
      </c>
    </row>
    <row r="1912" spans="1:6" ht="72">
      <c r="A1912" s="405" t="s">
        <v>1329</v>
      </c>
      <c r="B1912" s="384" t="s">
        <v>88</v>
      </c>
      <c r="C1912" s="384"/>
      <c r="D1912" s="386" t="s">
        <v>1330</v>
      </c>
      <c r="E1912" s="390" t="s">
        <v>1249</v>
      </c>
      <c r="F1912" s="396" t="s">
        <v>1313</v>
      </c>
    </row>
    <row r="1913" spans="1:6" ht="72">
      <c r="A1913" s="405" t="s">
        <v>1328</v>
      </c>
      <c r="B1913" s="384" t="s">
        <v>23</v>
      </c>
      <c r="C1913" s="384"/>
      <c r="D1913" s="386" t="s">
        <v>1268</v>
      </c>
      <c r="E1913" s="390" t="s">
        <v>1249</v>
      </c>
      <c r="F1913" s="396" t="s">
        <v>1313</v>
      </c>
    </row>
    <row r="1914" spans="1:6" ht="72">
      <c r="A1914" s="405" t="s">
        <v>1326</v>
      </c>
      <c r="B1914" s="384" t="s">
        <v>88</v>
      </c>
      <c r="C1914" s="384"/>
      <c r="D1914" s="386" t="s">
        <v>1327</v>
      </c>
      <c r="E1914" s="390" t="s">
        <v>1249</v>
      </c>
      <c r="F1914" s="396" t="s">
        <v>1313</v>
      </c>
    </row>
    <row r="1915" spans="1:6" ht="48">
      <c r="A1915" s="405" t="s">
        <v>1323</v>
      </c>
      <c r="B1915" s="384" t="s">
        <v>88</v>
      </c>
      <c r="C1915" s="384"/>
      <c r="D1915" s="386" t="s">
        <v>1325</v>
      </c>
      <c r="E1915" s="390" t="s">
        <v>1249</v>
      </c>
      <c r="F1915" s="396" t="s">
        <v>1313</v>
      </c>
    </row>
    <row r="1916" spans="1:6" ht="72">
      <c r="A1916" s="405" t="s">
        <v>1323</v>
      </c>
      <c r="B1916" s="384" t="s">
        <v>88</v>
      </c>
      <c r="C1916" s="384"/>
      <c r="D1916" s="386" t="s">
        <v>1324</v>
      </c>
      <c r="E1916" s="390" t="s">
        <v>1249</v>
      </c>
      <c r="F1916" s="396" t="s">
        <v>1313</v>
      </c>
    </row>
    <row r="1917" spans="1:6" ht="72">
      <c r="A1917" s="405" t="s">
        <v>1321</v>
      </c>
      <c r="B1917" s="384" t="s">
        <v>88</v>
      </c>
      <c r="C1917" s="384"/>
      <c r="D1917" s="386" t="s">
        <v>1322</v>
      </c>
      <c r="E1917" s="390" t="s">
        <v>1249</v>
      </c>
      <c r="F1917" s="396" t="s">
        <v>1313</v>
      </c>
    </row>
    <row r="1918" spans="1:6" ht="48">
      <c r="A1918" s="405" t="s">
        <v>1319</v>
      </c>
      <c r="B1918" s="384" t="s">
        <v>23</v>
      </c>
      <c r="C1918" s="384" t="s">
        <v>1255</v>
      </c>
      <c r="D1918" s="385" t="s">
        <v>1320</v>
      </c>
      <c r="E1918" s="390" t="s">
        <v>1239</v>
      </c>
      <c r="F1918" s="396" t="s">
        <v>1313</v>
      </c>
    </row>
    <row r="1919" spans="1:6" ht="72">
      <c r="A1919" s="405" t="s">
        <v>1317</v>
      </c>
      <c r="B1919" s="384" t="s">
        <v>23</v>
      </c>
      <c r="C1919" s="384"/>
      <c r="D1919" s="386" t="s">
        <v>1268</v>
      </c>
      <c r="E1919" s="390" t="s">
        <v>1249</v>
      </c>
      <c r="F1919" s="397" t="s">
        <v>1313</v>
      </c>
    </row>
    <row r="1920" spans="1:6" ht="72">
      <c r="A1920" s="405" t="s">
        <v>1315</v>
      </c>
      <c r="B1920" s="384" t="s">
        <v>88</v>
      </c>
      <c r="C1920" s="384"/>
      <c r="D1920" s="386" t="s">
        <v>1316</v>
      </c>
      <c r="E1920" s="390" t="s">
        <v>1249</v>
      </c>
      <c r="F1920" s="396" t="s">
        <v>1313</v>
      </c>
    </row>
    <row r="1921" spans="1:6" ht="120">
      <c r="A1921" s="405" t="s">
        <v>1308</v>
      </c>
      <c r="B1921" s="384" t="s">
        <v>88</v>
      </c>
      <c r="C1921" s="384"/>
      <c r="D1921" s="386" t="s">
        <v>1314</v>
      </c>
      <c r="E1921" s="390" t="s">
        <v>1237</v>
      </c>
      <c r="F1921" s="396" t="s">
        <v>1313</v>
      </c>
    </row>
    <row r="1922" spans="1:6" ht="72">
      <c r="A1922" s="405" t="s">
        <v>1310</v>
      </c>
      <c r="B1922" s="384" t="s">
        <v>88</v>
      </c>
      <c r="C1922" s="384"/>
      <c r="D1922" s="386" t="s">
        <v>1311</v>
      </c>
      <c r="E1922" s="390" t="s">
        <v>1249</v>
      </c>
      <c r="F1922" s="396" t="s">
        <v>1313</v>
      </c>
    </row>
    <row r="1923" spans="1:6" ht="120">
      <c r="A1923" s="405" t="s">
        <v>1308</v>
      </c>
      <c r="B1923" s="384" t="s">
        <v>88</v>
      </c>
      <c r="C1923" s="384"/>
      <c r="D1923" s="386" t="s">
        <v>1309</v>
      </c>
      <c r="E1923" s="390" t="s">
        <v>1237</v>
      </c>
      <c r="F1923" s="396" t="s">
        <v>1313</v>
      </c>
    </row>
    <row r="1924" spans="1:6" ht="48">
      <c r="A1924" s="405" t="s">
        <v>1307</v>
      </c>
      <c r="B1924" s="384" t="s">
        <v>23</v>
      </c>
      <c r="C1924" s="384"/>
      <c r="D1924" s="386" t="s">
        <v>1304</v>
      </c>
      <c r="E1924" s="390" t="s">
        <v>1249</v>
      </c>
      <c r="F1924" s="396" t="s">
        <v>1313</v>
      </c>
    </row>
    <row r="1925" spans="1:6" ht="48">
      <c r="A1925" s="405" t="s">
        <v>1306</v>
      </c>
      <c r="B1925" s="384" t="s">
        <v>23</v>
      </c>
      <c r="C1925" s="384"/>
      <c r="D1925" s="386" t="s">
        <v>1304</v>
      </c>
      <c r="E1925" s="390" t="s">
        <v>1249</v>
      </c>
      <c r="F1925" s="396" t="s">
        <v>1313</v>
      </c>
    </row>
    <row r="1926" spans="1:6" ht="48">
      <c r="A1926" s="405" t="s">
        <v>1305</v>
      </c>
      <c r="B1926" s="384" t="s">
        <v>23</v>
      </c>
      <c r="C1926" s="384"/>
      <c r="D1926" s="386" t="s">
        <v>1304</v>
      </c>
      <c r="E1926" s="390" t="s">
        <v>1249</v>
      </c>
      <c r="F1926" s="396" t="s">
        <v>1313</v>
      </c>
    </row>
    <row r="1927" spans="1:6" ht="48">
      <c r="A1927" s="405" t="s">
        <v>1303</v>
      </c>
      <c r="B1927" s="384" t="s">
        <v>23</v>
      </c>
      <c r="C1927" s="384"/>
      <c r="D1927" s="386" t="s">
        <v>1304</v>
      </c>
      <c r="E1927" s="390" t="s">
        <v>1249</v>
      </c>
      <c r="F1927" s="396" t="s">
        <v>1313</v>
      </c>
    </row>
    <row r="1928" spans="1:6" ht="48">
      <c r="A1928" s="405" t="s">
        <v>1301</v>
      </c>
      <c r="B1928" s="384" t="s">
        <v>88</v>
      </c>
      <c r="C1928" s="384" t="s">
        <v>1277</v>
      </c>
      <c r="D1928" s="385" t="s">
        <v>1302</v>
      </c>
      <c r="E1928" s="390" t="s">
        <v>1239</v>
      </c>
      <c r="F1928" s="396" t="s">
        <v>1313</v>
      </c>
    </row>
    <row r="1929" spans="1:6" ht="120">
      <c r="A1929" s="405" t="s">
        <v>1295</v>
      </c>
      <c r="B1929" s="384" t="s">
        <v>88</v>
      </c>
      <c r="C1929" s="384"/>
      <c r="D1929" s="386" t="s">
        <v>1296</v>
      </c>
      <c r="E1929" s="390" t="s">
        <v>1237</v>
      </c>
      <c r="F1929" s="396" t="s">
        <v>1313</v>
      </c>
    </row>
    <row r="1930" spans="1:6" ht="72">
      <c r="A1930" s="405" t="s">
        <v>1293</v>
      </c>
      <c r="B1930" s="384" t="s">
        <v>88</v>
      </c>
      <c r="C1930" s="384"/>
      <c r="D1930" s="386" t="s">
        <v>1294</v>
      </c>
      <c r="E1930" s="390" t="s">
        <v>1249</v>
      </c>
      <c r="F1930" s="396" t="s">
        <v>1313</v>
      </c>
    </row>
    <row r="1931" spans="1:6" ht="72">
      <c r="A1931" s="405" t="s">
        <v>1292</v>
      </c>
      <c r="B1931" s="384" t="s">
        <v>23</v>
      </c>
      <c r="C1931" s="384"/>
      <c r="D1931" s="386" t="s">
        <v>1268</v>
      </c>
      <c r="E1931" s="390" t="s">
        <v>1249</v>
      </c>
      <c r="F1931" s="396" t="s">
        <v>1313</v>
      </c>
    </row>
    <row r="1932" spans="1:6" ht="48">
      <c r="A1932" s="405" t="s">
        <v>1290</v>
      </c>
      <c r="B1932" s="384" t="s">
        <v>23</v>
      </c>
      <c r="C1932" s="384"/>
      <c r="D1932" s="386" t="s">
        <v>1291</v>
      </c>
      <c r="E1932" s="390" t="s">
        <v>1249</v>
      </c>
      <c r="F1932" s="396" t="s">
        <v>1313</v>
      </c>
    </row>
    <row r="1933" spans="1:6" ht="48">
      <c r="A1933" s="405" t="s">
        <v>1288</v>
      </c>
      <c r="B1933" s="384" t="s">
        <v>23</v>
      </c>
      <c r="C1933" s="384"/>
      <c r="D1933" s="386" t="s">
        <v>1289</v>
      </c>
      <c r="E1933" s="390" t="s">
        <v>1249</v>
      </c>
      <c r="F1933" s="396" t="s">
        <v>1313</v>
      </c>
    </row>
    <row r="1934" spans="1:6" ht="96">
      <c r="A1934" s="405" t="s">
        <v>1286</v>
      </c>
      <c r="B1934" s="384" t="s">
        <v>23</v>
      </c>
      <c r="C1934" s="384"/>
      <c r="D1934" s="386" t="s">
        <v>1287</v>
      </c>
      <c r="E1934" s="390" t="s">
        <v>1249</v>
      </c>
      <c r="F1934" s="396" t="s">
        <v>1313</v>
      </c>
    </row>
    <row r="1935" spans="1:6" ht="48">
      <c r="A1935" s="405" t="s">
        <v>1283</v>
      </c>
      <c r="B1935" s="384" t="s">
        <v>88</v>
      </c>
      <c r="C1935" s="384"/>
      <c r="D1935" s="386" t="s">
        <v>1284</v>
      </c>
      <c r="E1935" s="390" t="s">
        <v>1249</v>
      </c>
      <c r="F1935" s="396" t="s">
        <v>1313</v>
      </c>
    </row>
    <row r="1936" spans="1:6" ht="72">
      <c r="A1936" s="405" t="s">
        <v>1281</v>
      </c>
      <c r="B1936" s="384" t="s">
        <v>88</v>
      </c>
      <c r="C1936" s="384"/>
      <c r="D1936" s="386" t="s">
        <v>1282</v>
      </c>
      <c r="E1936" s="390" t="s">
        <v>1249</v>
      </c>
      <c r="F1936" s="396" t="s">
        <v>1313</v>
      </c>
    </row>
    <row r="1937" spans="1:6" ht="48">
      <c r="A1937" s="405" t="s">
        <v>1279</v>
      </c>
      <c r="B1937" s="384" t="s">
        <v>23</v>
      </c>
      <c r="C1937" s="384"/>
      <c r="D1937" s="386" t="s">
        <v>1280</v>
      </c>
      <c r="E1937" s="390" t="s">
        <v>1249</v>
      </c>
      <c r="F1937" s="396" t="s">
        <v>1313</v>
      </c>
    </row>
    <row r="1938" spans="1:6">
      <c r="A1938" s="405" t="s">
        <v>1276</v>
      </c>
      <c r="B1938" s="384" t="s">
        <v>88</v>
      </c>
      <c r="C1938" s="384" t="s">
        <v>1277</v>
      </c>
      <c r="D1938" s="385" t="s">
        <v>1278</v>
      </c>
      <c r="E1938" s="390" t="s">
        <v>1239</v>
      </c>
      <c r="F1938" s="396" t="s">
        <v>1313</v>
      </c>
    </row>
    <row r="1939" spans="1:6" ht="48">
      <c r="A1939" s="405" t="s">
        <v>1274</v>
      </c>
      <c r="B1939" s="384" t="s">
        <v>23</v>
      </c>
      <c r="C1939" s="384"/>
      <c r="D1939" s="386" t="s">
        <v>1275</v>
      </c>
      <c r="E1939" s="390" t="s">
        <v>1249</v>
      </c>
      <c r="F1939" s="396" t="s">
        <v>1313</v>
      </c>
    </row>
    <row r="1940" spans="1:6" ht="144">
      <c r="A1940" s="405" t="s">
        <v>1272</v>
      </c>
      <c r="B1940" s="384" t="s">
        <v>88</v>
      </c>
      <c r="C1940" s="384"/>
      <c r="D1940" s="386" t="s">
        <v>1273</v>
      </c>
      <c r="E1940" s="390" t="s">
        <v>1237</v>
      </c>
      <c r="F1940" s="396" t="s">
        <v>1313</v>
      </c>
    </row>
    <row r="1941" spans="1:6" ht="72">
      <c r="A1941" s="405" t="s">
        <v>1271</v>
      </c>
      <c r="B1941" s="384" t="s">
        <v>88</v>
      </c>
      <c r="C1941" s="384"/>
      <c r="D1941" s="386" t="s">
        <v>1285</v>
      </c>
      <c r="E1941" s="390" t="s">
        <v>1249</v>
      </c>
      <c r="F1941" s="396" t="s">
        <v>1313</v>
      </c>
    </row>
    <row r="1942" spans="1:6" ht="120">
      <c r="A1942" s="405" t="s">
        <v>1269</v>
      </c>
      <c r="B1942" s="384" t="s">
        <v>88</v>
      </c>
      <c r="C1942" s="384"/>
      <c r="D1942" s="386" t="s">
        <v>1270</v>
      </c>
      <c r="E1942" s="390" t="s">
        <v>1237</v>
      </c>
      <c r="F1942" s="396" t="s">
        <v>1313</v>
      </c>
    </row>
    <row r="1943" spans="1:6" ht="72">
      <c r="A1943" s="405" t="s">
        <v>1267</v>
      </c>
      <c r="B1943" s="384" t="s">
        <v>23</v>
      </c>
      <c r="C1943" s="384"/>
      <c r="D1943" s="386" t="s">
        <v>1268</v>
      </c>
      <c r="E1943" s="390" t="s">
        <v>1249</v>
      </c>
      <c r="F1943" s="396" t="s">
        <v>1313</v>
      </c>
    </row>
    <row r="1944" spans="1:6" ht="72">
      <c r="A1944" s="405" t="s">
        <v>1265</v>
      </c>
      <c r="B1944" s="384" t="s">
        <v>88</v>
      </c>
      <c r="C1944" s="384"/>
      <c r="D1944" s="386" t="s">
        <v>1266</v>
      </c>
      <c r="E1944" s="390" t="s">
        <v>1249</v>
      </c>
      <c r="F1944" s="396" t="s">
        <v>1313</v>
      </c>
    </row>
    <row r="1945" spans="1:6" ht="72">
      <c r="A1945" s="405" t="s">
        <v>1263</v>
      </c>
      <c r="B1945" s="384" t="s">
        <v>88</v>
      </c>
      <c r="C1945" s="384"/>
      <c r="D1945" s="386" t="s">
        <v>1264</v>
      </c>
      <c r="E1945" s="390" t="s">
        <v>1249</v>
      </c>
      <c r="F1945" s="396" t="s">
        <v>1313</v>
      </c>
    </row>
    <row r="1946" spans="1:6" ht="96">
      <c r="A1946" s="405" t="s">
        <v>1261</v>
      </c>
      <c r="B1946" s="384" t="s">
        <v>23</v>
      </c>
      <c r="C1946" s="384"/>
      <c r="D1946" s="386" t="s">
        <v>1262</v>
      </c>
      <c r="E1946" s="390" t="s">
        <v>1249</v>
      </c>
      <c r="F1946" s="396" t="s">
        <v>1313</v>
      </c>
    </row>
    <row r="1947" spans="1:6" ht="96">
      <c r="A1947" s="405" t="s">
        <v>1259</v>
      </c>
      <c r="B1947" s="384" t="s">
        <v>23</v>
      </c>
      <c r="C1947" s="384"/>
      <c r="D1947" s="386" t="s">
        <v>1260</v>
      </c>
      <c r="E1947" s="390" t="s">
        <v>1249</v>
      </c>
      <c r="F1947" s="396" t="s">
        <v>1313</v>
      </c>
    </row>
    <row r="1948" spans="1:6" ht="48">
      <c r="A1948" s="405" t="s">
        <v>1257</v>
      </c>
      <c r="B1948" s="384" t="s">
        <v>23</v>
      </c>
      <c r="C1948" s="384"/>
      <c r="D1948" s="386" t="s">
        <v>1258</v>
      </c>
      <c r="E1948" s="390" t="s">
        <v>1249</v>
      </c>
      <c r="F1948" s="396" t="s">
        <v>1313</v>
      </c>
    </row>
    <row r="1949" spans="1:6" ht="48">
      <c r="A1949" s="405" t="s">
        <v>1254</v>
      </c>
      <c r="B1949" s="384" t="s">
        <v>88</v>
      </c>
      <c r="C1949" s="384" t="s">
        <v>1255</v>
      </c>
      <c r="D1949" s="385" t="s">
        <v>1256</v>
      </c>
      <c r="E1949" s="390" t="s">
        <v>1239</v>
      </c>
      <c r="F1949" s="396" t="s">
        <v>1313</v>
      </c>
    </row>
    <row r="1950" spans="1:6" ht="120">
      <c r="A1950" s="405" t="s">
        <v>1252</v>
      </c>
      <c r="B1950" s="384" t="s">
        <v>88</v>
      </c>
      <c r="C1950" s="384"/>
      <c r="D1950" s="386" t="s">
        <v>1253</v>
      </c>
      <c r="E1950" s="390" t="s">
        <v>1237</v>
      </c>
      <c r="F1950" s="396" t="s">
        <v>1313</v>
      </c>
    </row>
    <row r="1951" spans="1:6" ht="72">
      <c r="A1951" s="405" t="s">
        <v>1250</v>
      </c>
      <c r="B1951" s="384" t="s">
        <v>88</v>
      </c>
      <c r="C1951" s="384"/>
      <c r="D1951" s="386" t="s">
        <v>1251</v>
      </c>
      <c r="E1951" s="390" t="s">
        <v>1249</v>
      </c>
      <c r="F1951" s="396" t="s">
        <v>1313</v>
      </c>
    </row>
    <row r="1952" spans="1:6" ht="72">
      <c r="A1952" s="405" t="s">
        <v>1247</v>
      </c>
      <c r="B1952" s="384" t="s">
        <v>23</v>
      </c>
      <c r="C1952" s="384"/>
      <c r="D1952" s="386" t="s">
        <v>1248</v>
      </c>
      <c r="E1952" s="390" t="s">
        <v>1249</v>
      </c>
      <c r="F1952" s="396" t="s">
        <v>1313</v>
      </c>
    </row>
    <row r="1953" spans="1:6" ht="72">
      <c r="A1953" s="405" t="s">
        <v>1245</v>
      </c>
      <c r="B1953" s="384" t="s">
        <v>88</v>
      </c>
      <c r="C1953" s="384"/>
      <c r="D1953" s="386" t="s">
        <v>1246</v>
      </c>
      <c r="E1953" s="390" t="s">
        <v>1244</v>
      </c>
      <c r="F1953" s="396" t="s">
        <v>1313</v>
      </c>
    </row>
    <row r="1954" spans="1:6" ht="72">
      <c r="A1954" s="405" t="s">
        <v>1242</v>
      </c>
      <c r="B1954" s="384" t="s">
        <v>23</v>
      </c>
      <c r="C1954" s="384"/>
      <c r="D1954" s="386" t="s">
        <v>1243</v>
      </c>
      <c r="E1954" s="390" t="s">
        <v>1244</v>
      </c>
      <c r="F1954" s="396" t="s">
        <v>1313</v>
      </c>
    </row>
    <row r="1955" spans="1:6">
      <c r="A1955" s="405" t="s">
        <v>1240</v>
      </c>
      <c r="B1955" s="384" t="s">
        <v>88</v>
      </c>
      <c r="C1955" s="384" t="s">
        <v>1238</v>
      </c>
      <c r="D1955" s="385" t="s">
        <v>1241</v>
      </c>
      <c r="E1955" s="390" t="s">
        <v>1239</v>
      </c>
      <c r="F1955" s="396" t="s">
        <v>1313</v>
      </c>
    </row>
    <row r="1956" spans="1:6" ht="120">
      <c r="A1956" s="405" t="s">
        <v>1235</v>
      </c>
      <c r="B1956" s="384" t="s">
        <v>88</v>
      </c>
      <c r="C1956" s="384"/>
      <c r="D1956" s="386" t="s">
        <v>1236</v>
      </c>
      <c r="E1956" s="390" t="s">
        <v>1237</v>
      </c>
      <c r="F1956" s="396" t="s">
        <v>1313</v>
      </c>
    </row>
    <row r="1957" spans="1:6" ht="72">
      <c r="A1957" s="405" t="s">
        <v>1233</v>
      </c>
      <c r="B1957" s="384" t="s">
        <v>88</v>
      </c>
      <c r="C1957" s="384"/>
      <c r="D1957" s="386" t="s">
        <v>1234</v>
      </c>
      <c r="E1957" s="390"/>
      <c r="F1957" s="396" t="s">
        <v>1313</v>
      </c>
    </row>
    <row r="1958" spans="1:6" ht="48">
      <c r="A1958" s="405" t="s">
        <v>1231</v>
      </c>
      <c r="B1958" s="384" t="s">
        <v>88</v>
      </c>
      <c r="C1958" s="384"/>
      <c r="D1958" s="386" t="s">
        <v>1232</v>
      </c>
      <c r="E1958" s="390"/>
      <c r="F1958" s="396" t="s">
        <v>1313</v>
      </c>
    </row>
    <row r="1959" spans="1:6" ht="48">
      <c r="A1959" s="405" t="s">
        <v>1229</v>
      </c>
      <c r="B1959" s="384" t="s">
        <v>23</v>
      </c>
      <c r="C1959" s="384"/>
      <c r="D1959" s="386" t="s">
        <v>1230</v>
      </c>
      <c r="E1959" s="390"/>
      <c r="F1959" s="396" t="s">
        <v>1313</v>
      </c>
    </row>
    <row r="1960" spans="1:6" ht="144">
      <c r="A1960" s="405" t="s">
        <v>1224</v>
      </c>
      <c r="B1960" s="384" t="s">
        <v>88</v>
      </c>
      <c r="C1960" s="384"/>
      <c r="D1960" s="386" t="s">
        <v>1225</v>
      </c>
      <c r="E1960" s="390"/>
      <c r="F1960" s="396" t="s">
        <v>1313</v>
      </c>
    </row>
    <row r="1961" spans="1:6" ht="72">
      <c r="A1961" s="405" t="s">
        <v>1222</v>
      </c>
      <c r="B1961" s="384" t="s">
        <v>88</v>
      </c>
      <c r="C1961" s="384"/>
      <c r="D1961" s="386" t="s">
        <v>1223</v>
      </c>
      <c r="E1961" s="390"/>
      <c r="F1961" s="396" t="s">
        <v>1313</v>
      </c>
    </row>
    <row r="1962" spans="1:6" ht="48">
      <c r="A1962" s="405" t="s">
        <v>1220</v>
      </c>
      <c r="B1962" s="384" t="s">
        <v>88</v>
      </c>
      <c r="C1962" s="384"/>
      <c r="D1962" s="386" t="s">
        <v>1221</v>
      </c>
      <c r="E1962" s="390"/>
      <c r="F1962" s="396" t="s">
        <v>1313</v>
      </c>
    </row>
    <row r="1963" spans="1:6" ht="48">
      <c r="A1963" s="405" t="s">
        <v>1218</v>
      </c>
      <c r="B1963" s="384" t="s">
        <v>88</v>
      </c>
      <c r="C1963" s="384"/>
      <c r="D1963" s="386" t="s">
        <v>1219</v>
      </c>
      <c r="E1963" s="390"/>
      <c r="F1963" s="396" t="s">
        <v>1313</v>
      </c>
    </row>
    <row r="1964" spans="1:6" ht="72">
      <c r="A1964" s="405" t="s">
        <v>1216</v>
      </c>
      <c r="B1964" s="384" t="s">
        <v>88</v>
      </c>
      <c r="C1964" s="384"/>
      <c r="D1964" s="386" t="s">
        <v>1217</v>
      </c>
      <c r="E1964" s="390"/>
      <c r="F1964" s="396" t="s">
        <v>1313</v>
      </c>
    </row>
    <row r="1965" spans="1:6" ht="96">
      <c r="A1965" s="405" t="s">
        <v>1214</v>
      </c>
      <c r="B1965" s="384" t="s">
        <v>23</v>
      </c>
      <c r="C1965" s="384"/>
      <c r="D1965" s="386" t="s">
        <v>1215</v>
      </c>
      <c r="E1965" s="390"/>
      <c r="F1965" s="396" t="s">
        <v>1313</v>
      </c>
    </row>
    <row r="1966" spans="1:6" ht="48">
      <c r="A1966" s="405" t="s">
        <v>1212</v>
      </c>
      <c r="B1966" s="384" t="s">
        <v>88</v>
      </c>
      <c r="C1966" s="384"/>
      <c r="D1966" s="386" t="s">
        <v>1213</v>
      </c>
      <c r="E1966" s="390"/>
      <c r="F1966" s="396" t="s">
        <v>1313</v>
      </c>
    </row>
    <row r="1967" spans="1:6" ht="72">
      <c r="A1967" s="405" t="s">
        <v>1210</v>
      </c>
      <c r="B1967" s="384" t="s">
        <v>23</v>
      </c>
      <c r="C1967" s="384"/>
      <c r="D1967" s="386" t="s">
        <v>1211</v>
      </c>
      <c r="E1967" s="390"/>
      <c r="F1967" s="396" t="s">
        <v>1313</v>
      </c>
    </row>
    <row r="1968" spans="1:6" ht="48">
      <c r="A1968" s="405" t="s">
        <v>1208</v>
      </c>
      <c r="B1968" s="384" t="s">
        <v>88</v>
      </c>
      <c r="C1968" s="384"/>
      <c r="D1968" s="386" t="s">
        <v>1209</v>
      </c>
      <c r="E1968" s="390"/>
      <c r="F1968" s="396" t="s">
        <v>1313</v>
      </c>
    </row>
    <row r="1969" spans="1:6" ht="48">
      <c r="A1969" s="405" t="s">
        <v>1206</v>
      </c>
      <c r="B1969" s="384" t="s">
        <v>23</v>
      </c>
      <c r="C1969" s="384"/>
      <c r="D1969" s="386" t="s">
        <v>1207</v>
      </c>
      <c r="E1969" s="390"/>
      <c r="F1969" s="396" t="s">
        <v>1313</v>
      </c>
    </row>
    <row r="1970" spans="1:6" ht="72">
      <c r="A1970" s="405" t="s">
        <v>1204</v>
      </c>
      <c r="B1970" s="384" t="s">
        <v>23</v>
      </c>
      <c r="C1970" s="384"/>
      <c r="D1970" s="386" t="s">
        <v>1205</v>
      </c>
      <c r="E1970" s="390"/>
      <c r="F1970" s="396" t="s">
        <v>1313</v>
      </c>
    </row>
    <row r="1971" spans="1:6">
      <c r="A1971" s="405" t="s">
        <v>1201</v>
      </c>
      <c r="B1971" s="384" t="s">
        <v>23</v>
      </c>
      <c r="C1971" s="384"/>
      <c r="D1971" s="386" t="s">
        <v>1202</v>
      </c>
      <c r="E1971" s="390"/>
      <c r="F1971" s="396" t="s">
        <v>1313</v>
      </c>
    </row>
    <row r="1972" spans="1:6">
      <c r="A1972" s="405" t="s">
        <v>1199</v>
      </c>
      <c r="B1972" s="384" t="s">
        <v>23</v>
      </c>
      <c r="C1972" s="384"/>
      <c r="D1972" s="386" t="s">
        <v>1200</v>
      </c>
      <c r="E1972" s="390"/>
      <c r="F1972" s="396" t="s">
        <v>1313</v>
      </c>
    </row>
    <row r="1973" spans="1:6">
      <c r="A1973" s="405" t="s">
        <v>1197</v>
      </c>
      <c r="B1973" s="384" t="s">
        <v>88</v>
      </c>
      <c r="C1973" s="384"/>
      <c r="D1973" s="386" t="s">
        <v>1198</v>
      </c>
      <c r="E1973" s="390"/>
      <c r="F1973" s="396" t="s">
        <v>1313</v>
      </c>
    </row>
    <row r="1974" spans="1:6">
      <c r="A1974" s="405" t="s">
        <v>1196</v>
      </c>
      <c r="B1974" s="384" t="s">
        <v>88</v>
      </c>
      <c r="C1974" s="384"/>
      <c r="D1974" s="386" t="s">
        <v>1195</v>
      </c>
      <c r="E1974" s="390"/>
      <c r="F1974" s="396" t="s">
        <v>1313</v>
      </c>
    </row>
    <row r="1975" spans="1:6">
      <c r="A1975" s="405" t="s">
        <v>1194</v>
      </c>
      <c r="B1975" s="384" t="s">
        <v>88</v>
      </c>
      <c r="C1975" s="384"/>
      <c r="D1975" s="386" t="s">
        <v>1195</v>
      </c>
      <c r="E1975" s="390"/>
      <c r="F1975" s="396" t="s">
        <v>1313</v>
      </c>
    </row>
    <row r="1976" spans="1:6">
      <c r="A1976" s="405" t="s">
        <v>1194</v>
      </c>
      <c r="B1976" s="384" t="s">
        <v>23</v>
      </c>
      <c r="C1976" s="384"/>
      <c r="D1976" s="386" t="s">
        <v>1057</v>
      </c>
      <c r="E1976" s="390"/>
      <c r="F1976" s="396" t="s">
        <v>1313</v>
      </c>
    </row>
    <row r="1977" spans="1:6">
      <c r="A1977" s="405" t="s">
        <v>1192</v>
      </c>
      <c r="B1977" s="384" t="s">
        <v>88</v>
      </c>
      <c r="C1977" s="384"/>
      <c r="D1977" s="386" t="s">
        <v>1193</v>
      </c>
      <c r="E1977" s="390"/>
      <c r="F1977" s="396" t="s">
        <v>1313</v>
      </c>
    </row>
    <row r="1978" spans="1:6">
      <c r="A1978" s="405" t="s">
        <v>1190</v>
      </c>
      <c r="B1978" s="384" t="s">
        <v>88</v>
      </c>
      <c r="C1978" s="384"/>
      <c r="D1978" s="386" t="s">
        <v>1191</v>
      </c>
      <c r="E1978" s="390"/>
      <c r="F1978" s="396" t="s">
        <v>1313</v>
      </c>
    </row>
    <row r="1979" spans="1:6" ht="48">
      <c r="A1979" s="405" t="s">
        <v>1188</v>
      </c>
      <c r="B1979" s="384" t="s">
        <v>23</v>
      </c>
      <c r="C1979" s="384"/>
      <c r="D1979" s="386" t="s">
        <v>1189</v>
      </c>
      <c r="E1979" s="390"/>
      <c r="F1979" s="396" t="s">
        <v>1313</v>
      </c>
    </row>
    <row r="1980" spans="1:6">
      <c r="A1980" s="383"/>
      <c r="B1980" s="384">
        <f>SUBTOTAL(103,Notifs[Channel])</f>
        <v>1976</v>
      </c>
      <c r="C1980" s="384"/>
      <c r="D1980" s="386"/>
      <c r="E1980" s="390"/>
      <c r="F1980" s="396"/>
    </row>
  </sheetData>
  <mergeCells count="1">
    <mergeCell ref="A1:D1"/>
  </mergeCells>
  <pageMargins left="0.7" right="0.7" top="0.75" bottom="0.75" header="0.3" footer="0.3"/>
  <pageSetup paperSize="9"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2C36A-7EC6-4902-874D-C63CAB8F9EFF}">
  <sheetPr codeName="Feuil23"/>
  <dimension ref="A1:NC8"/>
  <sheetViews>
    <sheetView showGridLines="0" topLeftCell="A4" zoomScale="64" zoomScaleNormal="64" workbookViewId="0">
      <selection sqref="A1:P2"/>
    </sheetView>
  </sheetViews>
  <sheetFormatPr baseColWidth="10" defaultRowHeight="24"/>
  <sheetData>
    <row r="1" spans="1:367">
      <c r="A1" s="1320" t="s">
        <v>3412</v>
      </c>
      <c r="B1" s="1320"/>
      <c r="C1" s="1320"/>
      <c r="D1" s="1320"/>
      <c r="E1" s="1320"/>
      <c r="F1" s="1320"/>
      <c r="G1" s="1320"/>
      <c r="H1" s="1320"/>
      <c r="I1" s="1320"/>
      <c r="J1" s="1320"/>
      <c r="K1" s="1320"/>
      <c r="L1" s="1320"/>
      <c r="M1" s="1320"/>
      <c r="N1" s="1320"/>
      <c r="O1" s="1320"/>
      <c r="P1" s="1320"/>
    </row>
    <row r="2" spans="1:367">
      <c r="A2" s="1320"/>
      <c r="B2" s="1321"/>
      <c r="C2" s="1320"/>
      <c r="D2" s="1320"/>
      <c r="E2" s="1320"/>
      <c r="F2" s="1320"/>
      <c r="G2" s="1320"/>
      <c r="H2" s="1320"/>
      <c r="I2" s="1320"/>
      <c r="J2" s="1320"/>
      <c r="K2" s="1320"/>
      <c r="L2" s="1320"/>
      <c r="M2" s="1320"/>
      <c r="N2" s="1320"/>
      <c r="O2" s="1320"/>
      <c r="P2" s="1320"/>
      <c r="AE2" s="480"/>
      <c r="AF2" s="614"/>
      <c r="AG2" s="479"/>
      <c r="BJ2" s="480"/>
      <c r="BK2" s="479"/>
      <c r="CN2" s="480"/>
      <c r="CO2" s="614"/>
      <c r="CP2" s="479"/>
      <c r="DQ2" s="480"/>
      <c r="DR2" s="479"/>
      <c r="DS2" s="480"/>
      <c r="DT2" s="614"/>
      <c r="DU2" s="479"/>
      <c r="EV2" s="480"/>
      <c r="EW2" s="479"/>
      <c r="EX2" s="480"/>
      <c r="EY2" s="479"/>
      <c r="FZ2" s="480"/>
      <c r="GA2" s="614"/>
      <c r="GB2" s="479"/>
      <c r="HE2" s="480"/>
      <c r="HF2" s="479"/>
      <c r="II2" s="480"/>
      <c r="IJ2" s="614"/>
      <c r="IK2" s="479"/>
      <c r="JN2" s="480"/>
      <c r="JO2" s="479"/>
      <c r="KR2" s="480"/>
      <c r="KS2" s="614"/>
      <c r="KT2" s="479"/>
      <c r="LW2" s="480"/>
      <c r="LX2" s="480"/>
      <c r="NC2" s="480"/>
    </row>
    <row r="3" spans="1:367">
      <c r="B3" s="481"/>
      <c r="C3" s="481"/>
      <c r="D3" s="481"/>
      <c r="E3" s="481"/>
      <c r="F3" s="481"/>
      <c r="G3" s="481"/>
      <c r="H3" s="481"/>
      <c r="I3" s="481"/>
      <c r="J3" s="481"/>
      <c r="K3" s="481"/>
      <c r="L3" s="481"/>
      <c r="M3" s="481"/>
      <c r="N3" s="481"/>
      <c r="O3" s="481"/>
      <c r="P3" s="481"/>
      <c r="Q3" s="481"/>
      <c r="R3" s="481"/>
      <c r="S3" s="481"/>
      <c r="T3" s="481"/>
      <c r="U3" s="481"/>
      <c r="V3" s="481"/>
      <c r="W3" s="481"/>
      <c r="X3" s="481"/>
      <c r="Y3" s="481"/>
      <c r="Z3" s="481"/>
      <c r="AA3" s="481"/>
      <c r="AB3" s="481"/>
      <c r="AC3" s="481"/>
      <c r="AD3" s="481"/>
      <c r="AE3" s="481"/>
      <c r="AF3" s="481"/>
      <c r="AG3" s="481"/>
      <c r="AH3" s="481"/>
      <c r="AI3" s="481"/>
      <c r="AJ3" s="481"/>
      <c r="AK3" s="481"/>
      <c r="AM3" s="481"/>
      <c r="AP3" s="481"/>
      <c r="AR3" s="481"/>
      <c r="AT3" s="481"/>
      <c r="AW3" s="481"/>
      <c r="AY3" s="481"/>
      <c r="BA3" s="481"/>
      <c r="BD3" s="481"/>
      <c r="BF3" s="481"/>
      <c r="BH3" s="481"/>
      <c r="BJ3" s="480"/>
      <c r="BK3" s="479"/>
      <c r="BM3" s="481"/>
      <c r="BO3" s="481"/>
      <c r="BR3" s="481"/>
      <c r="BT3" s="481"/>
      <c r="BV3" s="481"/>
      <c r="BY3" s="481"/>
      <c r="CA3" s="481"/>
      <c r="CC3" s="481"/>
      <c r="CF3" s="481"/>
      <c r="CH3" s="481"/>
      <c r="CJ3" s="481"/>
      <c r="CM3" s="481"/>
      <c r="CN3" s="480"/>
      <c r="CO3" s="614"/>
      <c r="CP3" s="479"/>
      <c r="CQ3" s="481"/>
      <c r="CT3" s="481"/>
      <c r="CV3" s="481"/>
      <c r="CX3" s="481"/>
      <c r="DA3" s="481"/>
      <c r="DC3" s="481"/>
      <c r="DE3" s="481"/>
      <c r="DH3" s="481"/>
      <c r="DJ3" s="481"/>
      <c r="DL3" s="481"/>
      <c r="DO3" s="481"/>
      <c r="DQ3" s="612"/>
      <c r="DR3" s="479"/>
      <c r="DS3" s="612"/>
      <c r="DT3" s="614"/>
      <c r="DU3" s="479"/>
      <c r="DV3" s="481"/>
      <c r="DX3" s="481"/>
      <c r="DZ3" s="481"/>
      <c r="EC3" s="481"/>
      <c r="EE3" s="481"/>
      <c r="EG3" s="481"/>
      <c r="EJ3" s="481"/>
      <c r="EL3" s="481"/>
      <c r="EN3" s="481"/>
      <c r="EQ3" s="481"/>
      <c r="ES3" s="481"/>
      <c r="EU3" s="481"/>
      <c r="EV3" s="480"/>
      <c r="EW3" s="479"/>
      <c r="EX3" s="612"/>
      <c r="EY3" s="479"/>
      <c r="EZ3" s="481"/>
      <c r="FB3" s="481"/>
      <c r="FE3" s="481"/>
      <c r="FG3" s="481"/>
      <c r="FI3" s="481"/>
      <c r="FL3" s="481"/>
      <c r="FN3" s="481"/>
      <c r="FP3" s="481"/>
      <c r="FS3" s="481"/>
      <c r="FU3" s="481"/>
      <c r="FW3" s="481"/>
      <c r="FZ3" s="612"/>
      <c r="GA3" s="614"/>
      <c r="GB3" s="479"/>
      <c r="GD3" s="481"/>
      <c r="GG3" s="481"/>
      <c r="GI3" s="481"/>
      <c r="GK3" s="481"/>
      <c r="GN3" s="481"/>
      <c r="GP3" s="481"/>
      <c r="GR3" s="481"/>
      <c r="GU3" s="481"/>
      <c r="GW3" s="481"/>
      <c r="GY3" s="481"/>
      <c r="HB3" s="481"/>
      <c r="HD3" s="481"/>
      <c r="HE3" s="480"/>
      <c r="HF3" s="479"/>
      <c r="HI3" s="481"/>
      <c r="HK3" s="481"/>
      <c r="HM3" s="481"/>
      <c r="HP3" s="481"/>
      <c r="HR3" s="481"/>
      <c r="HT3" s="481"/>
      <c r="HW3" s="481"/>
      <c r="HY3" s="481"/>
      <c r="IA3" s="481"/>
      <c r="ID3" s="481"/>
      <c r="IF3" s="481"/>
      <c r="IH3" s="481"/>
      <c r="II3" s="480"/>
      <c r="IJ3" s="614"/>
      <c r="IK3" s="479"/>
      <c r="IM3" s="481"/>
      <c r="IO3" s="481"/>
      <c r="IR3" s="481"/>
      <c r="IT3" s="481"/>
      <c r="IV3" s="481"/>
      <c r="IY3" s="481"/>
      <c r="JA3" s="481"/>
      <c r="JC3" s="481"/>
      <c r="JF3" s="481"/>
      <c r="JH3" s="481"/>
      <c r="JJ3" s="481"/>
      <c r="JM3" s="481"/>
      <c r="JN3" s="480"/>
      <c r="JO3" s="479"/>
      <c r="JQ3" s="481"/>
      <c r="JT3" s="481"/>
      <c r="JV3" s="481"/>
      <c r="JX3" s="481"/>
      <c r="KA3" s="481"/>
      <c r="KC3" s="481"/>
      <c r="KE3" s="481"/>
      <c r="KH3" s="481"/>
      <c r="KJ3" s="481"/>
      <c r="KL3" s="481"/>
      <c r="KO3" s="481"/>
      <c r="KQ3" s="481"/>
      <c r="KS3" s="612"/>
      <c r="KT3" s="479"/>
      <c r="KV3" s="481"/>
      <c r="KX3" s="481"/>
      <c r="KZ3" s="481"/>
      <c r="LC3" s="481"/>
      <c r="LE3" s="481"/>
      <c r="LG3" s="481"/>
      <c r="LJ3" s="481"/>
      <c r="LL3" s="481"/>
      <c r="LN3" s="481"/>
      <c r="LQ3" s="481"/>
      <c r="LS3" s="481"/>
      <c r="LU3" s="481"/>
      <c r="LW3" s="480"/>
      <c r="LX3" s="612"/>
      <c r="LZ3" s="481"/>
      <c r="MB3" s="481"/>
      <c r="ME3" s="481"/>
      <c r="MG3" s="481"/>
      <c r="MI3" s="481"/>
      <c r="ML3" s="481"/>
      <c r="MN3" s="481"/>
      <c r="MP3" s="481"/>
      <c r="MS3" s="481"/>
      <c r="MU3" s="481"/>
      <c r="MW3" s="481"/>
      <c r="MZ3" s="481"/>
      <c r="NB3" s="481"/>
      <c r="NC3" s="480"/>
    </row>
    <row r="4" spans="1:367">
      <c r="A4" t="s">
        <v>62</v>
      </c>
      <c r="B4" s="481"/>
      <c r="C4" s="481"/>
      <c r="D4" s="481"/>
      <c r="E4" s="481"/>
      <c r="F4" s="481"/>
      <c r="G4" s="481"/>
      <c r="H4" s="481"/>
      <c r="I4" s="481"/>
      <c r="J4" s="481"/>
      <c r="K4" s="481"/>
      <c r="L4" s="481"/>
      <c r="M4" s="481"/>
      <c r="N4" s="481"/>
      <c r="O4" s="481"/>
      <c r="P4" s="481"/>
      <c r="Q4" s="481"/>
      <c r="R4" s="481"/>
      <c r="S4" s="481"/>
      <c r="T4" s="481"/>
      <c r="U4" s="481"/>
      <c r="V4" s="481"/>
      <c r="W4" s="481"/>
      <c r="X4" s="481"/>
      <c r="Y4" s="481"/>
      <c r="Z4" s="481"/>
      <c r="AA4" s="481"/>
      <c r="AB4" s="481"/>
      <c r="AC4" s="481"/>
      <c r="AD4" s="481"/>
      <c r="AE4" s="481"/>
      <c r="AF4" s="481"/>
      <c r="AG4" s="481"/>
      <c r="AH4" s="481"/>
      <c r="AI4" s="481"/>
      <c r="AJ4" s="481"/>
      <c r="AK4" s="481"/>
      <c r="AM4" s="481"/>
      <c r="AP4" s="481"/>
      <c r="AR4" s="481"/>
      <c r="AT4" s="481"/>
      <c r="AW4" s="481"/>
      <c r="AY4" s="481"/>
      <c r="BA4" s="481"/>
      <c r="BD4" s="481"/>
      <c r="BF4" s="481"/>
      <c r="BH4" s="481"/>
      <c r="BJ4" s="480"/>
      <c r="BK4" s="479"/>
      <c r="BM4" s="481"/>
      <c r="BO4" s="481"/>
      <c r="BR4" s="481"/>
      <c r="BT4" s="481"/>
      <c r="BV4" s="481"/>
      <c r="BY4" s="481"/>
      <c r="CA4" s="481"/>
      <c r="CC4" s="481"/>
      <c r="CF4" s="481"/>
      <c r="CH4" s="481"/>
      <c r="CJ4" s="481"/>
      <c r="CM4" s="481"/>
      <c r="CN4" s="480"/>
      <c r="CO4" s="614"/>
      <c r="CP4" s="479"/>
      <c r="CQ4" s="481"/>
      <c r="CT4" s="481"/>
      <c r="CV4" s="481"/>
      <c r="CX4" s="481"/>
      <c r="DA4" s="481"/>
      <c r="DC4" s="481"/>
      <c r="DE4" s="481"/>
      <c r="DH4" s="481"/>
      <c r="DJ4" s="481"/>
      <c r="DL4" s="481"/>
      <c r="DO4" s="481"/>
      <c r="DQ4" s="612"/>
      <c r="DR4" s="479"/>
      <c r="DS4" s="612"/>
      <c r="DT4" s="614"/>
      <c r="DU4" s="479"/>
      <c r="DV4" s="481"/>
      <c r="DX4" s="481"/>
      <c r="DZ4" s="481"/>
      <c r="EC4" s="481"/>
      <c r="EE4" s="481"/>
      <c r="EG4" s="481"/>
      <c r="EJ4" s="481"/>
      <c r="EL4" s="481"/>
      <c r="EN4" s="481"/>
      <c r="EQ4" s="481"/>
      <c r="ES4" s="481"/>
      <c r="EU4" s="481"/>
      <c r="EV4" s="480"/>
      <c r="EW4" s="479"/>
      <c r="EX4" s="612"/>
      <c r="EY4" s="479"/>
      <c r="EZ4" s="481"/>
      <c r="FB4" s="481"/>
      <c r="FE4" s="481"/>
      <c r="FG4" s="481"/>
      <c r="FI4" s="481"/>
      <c r="FL4" s="481"/>
      <c r="FN4" s="481"/>
      <c r="FP4" s="481"/>
      <c r="FS4" s="481"/>
      <c r="FU4" s="481"/>
      <c r="FW4" s="481"/>
      <c r="FZ4" s="612"/>
      <c r="GA4" s="614"/>
      <c r="GB4" s="479"/>
      <c r="GD4" s="481"/>
      <c r="GG4" s="481"/>
      <c r="GI4" s="481"/>
      <c r="GK4" s="481"/>
      <c r="GN4" s="481"/>
      <c r="GP4" s="481"/>
      <c r="GR4" s="481"/>
      <c r="GU4" s="481"/>
      <c r="GW4" s="481"/>
      <c r="GY4" s="481"/>
      <c r="HB4" s="481"/>
      <c r="HD4" s="481"/>
      <c r="HE4" s="480"/>
      <c r="HF4" s="479"/>
      <c r="HI4" s="481"/>
      <c r="HK4" s="481"/>
      <c r="HM4" s="481"/>
      <c r="HP4" s="481"/>
      <c r="HR4" s="481"/>
      <c r="HT4" s="481"/>
      <c r="HW4" s="481"/>
      <c r="HY4" s="481"/>
      <c r="IA4" s="481"/>
      <c r="ID4" s="481"/>
      <c r="IF4" s="481"/>
      <c r="IH4" s="481"/>
      <c r="II4" s="480"/>
      <c r="IJ4" s="614"/>
      <c r="IK4" s="479"/>
      <c r="IM4" s="481"/>
      <c r="IO4" s="481"/>
      <c r="IR4" s="481"/>
      <c r="IT4" s="481"/>
      <c r="IV4" s="481"/>
      <c r="IY4" s="481"/>
      <c r="JA4" s="481"/>
      <c r="JC4" s="481"/>
      <c r="JF4" s="481"/>
      <c r="JH4" s="481"/>
      <c r="JJ4" s="481"/>
      <c r="JM4" s="481"/>
      <c r="JN4" s="480"/>
      <c r="JO4" s="479"/>
      <c r="JQ4" s="481"/>
      <c r="JT4" s="481"/>
      <c r="JV4" s="481"/>
      <c r="JX4" s="481"/>
      <c r="KA4" s="481"/>
      <c r="KC4" s="481"/>
      <c r="KE4" s="481"/>
      <c r="KH4" s="481"/>
      <c r="KJ4" s="481"/>
      <c r="KL4" s="481"/>
      <c r="KO4" s="481"/>
      <c r="KQ4" s="481"/>
      <c r="KS4" s="612"/>
      <c r="KT4" s="479"/>
      <c r="KV4" s="481"/>
      <c r="KX4" s="481"/>
      <c r="KZ4" s="481"/>
      <c r="LC4" s="481"/>
      <c r="LE4" s="481"/>
      <c r="LG4" s="481"/>
      <c r="LJ4" s="481"/>
      <c r="LL4" s="481"/>
      <c r="LN4" s="481"/>
      <c r="LQ4" s="481"/>
      <c r="LS4" s="481"/>
      <c r="LU4" s="481"/>
      <c r="LW4" s="480"/>
      <c r="LX4" s="612"/>
      <c r="LZ4" s="481"/>
      <c r="MB4" s="481"/>
      <c r="ME4" s="481"/>
      <c r="MG4" s="481"/>
      <c r="MI4" s="481"/>
      <c r="ML4" s="481"/>
      <c r="MN4" s="481"/>
      <c r="MP4" s="481"/>
      <c r="MS4" s="481"/>
      <c r="MU4" s="481"/>
      <c r="MW4" s="481"/>
      <c r="MZ4" s="481"/>
      <c r="NB4" s="481"/>
      <c r="NC4" s="480"/>
    </row>
    <row r="5" spans="1:367">
      <c r="B5" s="481"/>
      <c r="C5" s="481"/>
      <c r="D5" s="481"/>
      <c r="E5" s="481"/>
      <c r="F5" s="481"/>
      <c r="G5" s="481"/>
      <c r="H5" s="481"/>
      <c r="I5" s="481"/>
      <c r="J5" s="481"/>
      <c r="K5" s="481"/>
      <c r="L5" s="481"/>
      <c r="M5" s="481"/>
      <c r="N5" s="481"/>
      <c r="O5" s="481"/>
      <c r="P5" s="481"/>
      <c r="Q5" s="481"/>
      <c r="R5" s="481"/>
      <c r="S5" s="481"/>
      <c r="T5" s="481"/>
      <c r="U5" s="481"/>
      <c r="V5" s="481"/>
      <c r="W5" s="481"/>
      <c r="X5" s="481"/>
      <c r="Y5" s="481"/>
      <c r="Z5" s="481"/>
      <c r="AA5" s="481"/>
      <c r="AB5" s="481"/>
      <c r="AC5" s="481"/>
      <c r="AD5" s="481"/>
      <c r="AE5" s="481"/>
      <c r="AF5" s="481"/>
      <c r="AG5" s="481"/>
      <c r="AH5" s="481"/>
      <c r="AI5" s="481"/>
      <c r="AJ5" s="481"/>
      <c r="AK5" s="481"/>
      <c r="AM5" s="481"/>
      <c r="AP5" s="481"/>
      <c r="AR5" s="481"/>
      <c r="AT5" s="481"/>
      <c r="AW5" s="481"/>
      <c r="AY5" s="481"/>
      <c r="BA5" s="481"/>
      <c r="BD5" s="481"/>
      <c r="BF5" s="481"/>
      <c r="BH5" s="481"/>
      <c r="BJ5" s="480"/>
      <c r="BK5" s="479"/>
      <c r="BM5" s="481"/>
      <c r="BO5" s="481"/>
      <c r="BR5" s="481"/>
      <c r="BT5" s="481"/>
      <c r="BV5" s="481"/>
      <c r="BY5" s="481"/>
      <c r="CA5" s="481"/>
      <c r="CC5" s="481"/>
      <c r="CF5" s="481"/>
      <c r="CH5" s="481"/>
      <c r="CJ5" s="481"/>
      <c r="CM5" s="481"/>
      <c r="CN5" s="480"/>
      <c r="CO5" s="614"/>
      <c r="CP5" s="479"/>
      <c r="CQ5" s="481"/>
      <c r="CT5" s="481"/>
      <c r="CV5" s="481"/>
      <c r="CX5" s="481"/>
      <c r="DA5" s="481"/>
      <c r="DC5" s="481"/>
      <c r="DE5" s="481"/>
      <c r="DH5" s="481"/>
      <c r="DJ5" s="481"/>
      <c r="DL5" s="481"/>
      <c r="DO5" s="481"/>
      <c r="DQ5" s="612"/>
      <c r="DR5" s="479"/>
      <c r="DS5" s="612"/>
      <c r="DT5" s="614"/>
      <c r="DU5" s="479"/>
      <c r="DV5" s="481"/>
      <c r="DX5" s="481"/>
      <c r="DZ5" s="481"/>
      <c r="EC5" s="481"/>
      <c r="EE5" s="481"/>
      <c r="EG5" s="481"/>
      <c r="EJ5" s="481"/>
      <c r="EL5" s="481"/>
      <c r="EN5" s="481"/>
      <c r="EQ5" s="481"/>
      <c r="ES5" s="481"/>
      <c r="EU5" s="481"/>
      <c r="EV5" s="480"/>
      <c r="EW5" s="479"/>
      <c r="EX5" s="612"/>
      <c r="EY5" s="479"/>
      <c r="EZ5" s="481"/>
      <c r="FB5" s="481"/>
      <c r="FE5" s="481"/>
      <c r="FG5" s="481"/>
      <c r="FI5" s="481"/>
      <c r="FL5" s="481"/>
      <c r="FN5" s="481"/>
      <c r="FP5" s="481"/>
      <c r="FS5" s="481"/>
      <c r="FU5" s="481"/>
      <c r="FW5" s="481"/>
      <c r="FZ5" s="612"/>
      <c r="GA5" s="614"/>
      <c r="GB5" s="479"/>
      <c r="GD5" s="481"/>
      <c r="GG5" s="481"/>
      <c r="GI5" s="481"/>
      <c r="GK5" s="481"/>
      <c r="GN5" s="481"/>
      <c r="GP5" s="481"/>
      <c r="GR5" s="481"/>
      <c r="GU5" s="481"/>
      <c r="GW5" s="481"/>
      <c r="GY5" s="481"/>
      <c r="HB5" s="481"/>
      <c r="HD5" s="481"/>
      <c r="HE5" s="480"/>
      <c r="HF5" s="479"/>
      <c r="HI5" s="481"/>
      <c r="HK5" s="481"/>
      <c r="HM5" s="481"/>
      <c r="HP5" s="481"/>
      <c r="HR5" s="481"/>
      <c r="HT5" s="481"/>
      <c r="HW5" s="481"/>
      <c r="HY5" s="481"/>
      <c r="IA5" s="481"/>
      <c r="ID5" s="481"/>
      <c r="IF5" s="481"/>
      <c r="IH5" s="481"/>
      <c r="II5" s="480"/>
      <c r="IJ5" s="614"/>
      <c r="IK5" s="479"/>
      <c r="IM5" s="481"/>
      <c r="IO5" s="481"/>
      <c r="IR5" s="481"/>
      <c r="IT5" s="481"/>
      <c r="IV5" s="481"/>
      <c r="IY5" s="481"/>
      <c r="JA5" s="481"/>
      <c r="JC5" s="481"/>
      <c r="JF5" s="481"/>
      <c r="JH5" s="481"/>
      <c r="JJ5" s="481"/>
      <c r="JM5" s="481"/>
      <c r="JN5" s="480"/>
      <c r="JO5" s="479"/>
      <c r="JQ5" s="481"/>
      <c r="JT5" s="481"/>
      <c r="JV5" s="481"/>
      <c r="JX5" s="481"/>
      <c r="KA5" s="481"/>
      <c r="KC5" s="481"/>
      <c r="KE5" s="481"/>
      <c r="KH5" s="481"/>
      <c r="KJ5" s="481"/>
      <c r="KL5" s="481"/>
      <c r="KO5" s="481"/>
      <c r="KQ5" s="481"/>
      <c r="KS5" s="612"/>
      <c r="KT5" s="479"/>
      <c r="KV5" s="481"/>
      <c r="KX5" s="481"/>
      <c r="KZ5" s="481"/>
      <c r="LC5" s="481"/>
      <c r="LE5" s="481"/>
      <c r="LG5" s="481"/>
      <c r="LJ5" s="481"/>
      <c r="LL5" s="481"/>
      <c r="LN5" s="481"/>
      <c r="LQ5" s="481"/>
      <c r="LS5" s="481"/>
      <c r="LU5" s="481"/>
      <c r="LW5" s="480"/>
      <c r="LX5" s="612"/>
      <c r="LZ5" s="481"/>
      <c r="MB5" s="481"/>
      <c r="ME5" s="481"/>
      <c r="MG5" s="481"/>
      <c r="MI5" s="481"/>
      <c r="ML5" s="481"/>
      <c r="MN5" s="481"/>
      <c r="MP5" s="481"/>
      <c r="MS5" s="481"/>
      <c r="MU5" s="481"/>
      <c r="MW5" s="481"/>
      <c r="MZ5" s="481"/>
      <c r="NB5" s="481"/>
      <c r="NC5" s="480"/>
    </row>
    <row r="6" spans="1:367">
      <c r="B6" s="479"/>
      <c r="I6" s="481"/>
      <c r="K6" s="481"/>
      <c r="N6" s="481"/>
      <c r="P6" s="481"/>
      <c r="R6" s="481"/>
      <c r="U6" s="481"/>
      <c r="W6" s="481"/>
      <c r="Y6" s="481"/>
      <c r="AB6" s="481"/>
      <c r="AD6" s="481"/>
      <c r="AE6" s="480"/>
      <c r="AF6" s="614"/>
      <c r="AG6" s="479"/>
      <c r="AI6" s="481"/>
      <c r="AK6" s="481"/>
      <c r="AM6" s="481"/>
      <c r="AP6" s="481"/>
      <c r="AR6" s="481"/>
      <c r="AT6" s="481"/>
      <c r="AW6" s="481"/>
      <c r="AY6" s="481"/>
      <c r="BA6" s="481"/>
      <c r="BD6" s="481"/>
      <c r="BF6" s="481"/>
      <c r="BH6" s="481"/>
      <c r="BJ6" s="480"/>
      <c r="BK6" s="479"/>
      <c r="BM6" s="481"/>
      <c r="BO6" s="481"/>
      <c r="BR6" s="481"/>
      <c r="BT6" s="481"/>
      <c r="BV6" s="481"/>
      <c r="BY6" s="481"/>
      <c r="CA6" s="481"/>
      <c r="CC6" s="481"/>
      <c r="CF6" s="481"/>
      <c r="CH6" s="481"/>
      <c r="CJ6" s="481"/>
      <c r="CM6" s="481"/>
      <c r="CN6" s="480"/>
      <c r="CO6" s="614"/>
      <c r="CP6" s="479"/>
      <c r="CQ6" s="481"/>
      <c r="CT6" s="481"/>
      <c r="CV6" s="481"/>
      <c r="CX6" s="481"/>
      <c r="DA6" s="481"/>
      <c r="DC6" s="481"/>
      <c r="DE6" s="481"/>
      <c r="DH6" s="481"/>
      <c r="DJ6" s="481"/>
      <c r="DL6" s="481"/>
      <c r="DO6" s="481"/>
      <c r="DQ6" s="612"/>
      <c r="DR6" s="479"/>
      <c r="DS6" s="612"/>
      <c r="DT6" s="614"/>
      <c r="DU6" s="479"/>
      <c r="DV6" s="481"/>
      <c r="DX6" s="481"/>
      <c r="DZ6" s="481"/>
      <c r="EC6" s="481"/>
      <c r="EE6" s="481"/>
      <c r="EG6" s="481"/>
      <c r="EJ6" s="481"/>
      <c r="EL6" s="481"/>
      <c r="EN6" s="481"/>
      <c r="EQ6" s="481"/>
      <c r="ES6" s="481"/>
      <c r="EU6" s="481"/>
      <c r="EV6" s="480"/>
      <c r="EW6" s="479"/>
      <c r="EX6" s="612"/>
      <c r="EY6" s="479"/>
      <c r="EZ6" s="481"/>
      <c r="FB6" s="481"/>
      <c r="FE6" s="481"/>
      <c r="FG6" s="481"/>
      <c r="FI6" s="481"/>
      <c r="FL6" s="481"/>
      <c r="FN6" s="481"/>
      <c r="FP6" s="481"/>
      <c r="FS6" s="481"/>
      <c r="FU6" s="481"/>
      <c r="FW6" s="481"/>
      <c r="FZ6" s="612"/>
      <c r="GA6" s="614"/>
      <c r="GB6" s="479"/>
      <c r="GD6" s="481"/>
      <c r="GG6" s="481"/>
      <c r="GI6" s="481"/>
      <c r="GK6" s="481"/>
      <c r="GN6" s="481"/>
      <c r="GP6" s="481"/>
      <c r="GR6" s="481"/>
      <c r="GU6" s="481"/>
      <c r="GW6" s="481"/>
      <c r="GY6" s="481"/>
      <c r="HB6" s="481"/>
      <c r="HD6" s="481"/>
      <c r="HE6" s="480"/>
      <c r="HF6" s="479"/>
      <c r="HI6" s="481"/>
      <c r="HK6" s="481"/>
      <c r="HM6" s="481"/>
      <c r="HP6" s="481"/>
      <c r="HR6" s="481"/>
      <c r="HT6" s="481"/>
      <c r="HW6" s="481"/>
      <c r="HY6" s="481"/>
      <c r="IA6" s="481"/>
      <c r="ID6" s="481"/>
      <c r="IF6" s="481"/>
      <c r="IH6" s="481"/>
      <c r="II6" s="480"/>
      <c r="IJ6" s="614"/>
      <c r="IK6" s="479"/>
      <c r="IM6" s="481"/>
      <c r="IO6" s="481"/>
      <c r="IR6" s="481"/>
      <c r="IT6" s="481"/>
      <c r="IV6" s="481"/>
      <c r="IY6" s="481"/>
      <c r="JA6" s="481"/>
      <c r="JC6" s="481"/>
      <c r="JF6" s="481"/>
      <c r="JH6" s="481"/>
      <c r="JJ6" s="481"/>
      <c r="JM6" s="481"/>
      <c r="JN6" s="480"/>
      <c r="JO6" s="479"/>
      <c r="JQ6" s="481"/>
      <c r="JT6" s="481"/>
      <c r="JV6" s="481"/>
      <c r="JX6" s="481"/>
      <c r="KA6" s="481"/>
      <c r="KC6" s="481"/>
      <c r="KE6" s="481"/>
      <c r="KH6" s="481"/>
      <c r="KJ6" s="481"/>
      <c r="KL6" s="481"/>
      <c r="KO6" s="481"/>
      <c r="KQ6" s="481"/>
      <c r="KS6" s="612"/>
      <c r="KT6" s="479"/>
      <c r="KV6" s="481"/>
      <c r="KX6" s="481"/>
      <c r="KZ6" s="481"/>
      <c r="LC6" s="481"/>
      <c r="LE6" s="481"/>
      <c r="LG6" s="481"/>
      <c r="LJ6" s="481"/>
      <c r="LL6" s="481"/>
      <c r="LN6" s="481"/>
      <c r="LQ6" s="481"/>
      <c r="LS6" s="481"/>
      <c r="LU6" s="481"/>
      <c r="LW6" s="480"/>
      <c r="LX6" s="612"/>
      <c r="LZ6" s="481"/>
      <c r="MB6" s="481"/>
      <c r="ME6" s="481"/>
      <c r="MG6" s="481"/>
      <c r="MI6" s="481"/>
      <c r="ML6" s="481"/>
      <c r="MN6" s="481"/>
      <c r="MP6" s="481"/>
      <c r="MS6" s="481"/>
      <c r="MU6" s="481"/>
      <c r="MW6" s="481"/>
      <c r="MZ6" s="481"/>
      <c r="NB6" s="481"/>
      <c r="NC6" s="480"/>
    </row>
    <row r="7" spans="1:367">
      <c r="B7" s="479"/>
      <c r="I7" s="481"/>
      <c r="K7" s="481"/>
      <c r="N7" s="481"/>
      <c r="P7" s="481"/>
      <c r="R7" s="481"/>
      <c r="U7" s="481"/>
      <c r="W7" s="481"/>
      <c r="Y7" s="481"/>
      <c r="AB7" s="481"/>
      <c r="AD7" s="481"/>
      <c r="AE7" s="480"/>
      <c r="AF7" s="614"/>
      <c r="AG7" s="479"/>
      <c r="AI7" s="481"/>
      <c r="AK7" s="481"/>
      <c r="AM7" s="481"/>
      <c r="AP7" s="481"/>
      <c r="AR7" s="481"/>
      <c r="AT7" s="481"/>
      <c r="AW7" s="481"/>
      <c r="AY7" s="481"/>
      <c r="BA7" s="481"/>
      <c r="BD7" s="481"/>
      <c r="BF7" s="481"/>
      <c r="BH7" s="481"/>
      <c r="BJ7" s="480"/>
      <c r="BK7" s="479"/>
      <c r="BM7" s="481"/>
      <c r="BO7" s="481"/>
      <c r="BR7" s="481"/>
      <c r="BT7" s="481"/>
      <c r="BV7" s="481"/>
      <c r="BY7" s="481"/>
      <c r="CA7" s="481"/>
      <c r="CC7" s="481"/>
      <c r="CF7" s="481"/>
      <c r="CH7" s="481"/>
      <c r="CJ7" s="481"/>
      <c r="CM7" s="481"/>
      <c r="CN7" s="480"/>
      <c r="CO7" s="614"/>
      <c r="CP7" s="479"/>
      <c r="CQ7" s="481"/>
      <c r="CT7" s="481"/>
      <c r="CV7" s="481"/>
      <c r="CX7" s="481"/>
      <c r="DA7" s="481"/>
      <c r="DC7" s="481"/>
      <c r="DE7" s="481"/>
      <c r="DH7" s="481"/>
      <c r="DJ7" s="481"/>
      <c r="DL7" s="481"/>
      <c r="DO7" s="481"/>
      <c r="DQ7" s="612"/>
      <c r="DR7" s="479"/>
      <c r="DS7" s="612"/>
      <c r="DT7" s="614"/>
      <c r="DU7" s="479"/>
      <c r="DV7" s="481"/>
      <c r="DX7" s="481"/>
      <c r="DZ7" s="481"/>
      <c r="EC7" s="481"/>
      <c r="EE7" s="481"/>
      <c r="EG7" s="481"/>
      <c r="EJ7" s="481"/>
      <c r="EL7" s="481"/>
      <c r="EN7" s="481"/>
      <c r="EQ7" s="481"/>
      <c r="ES7" s="481"/>
      <c r="EU7" s="481"/>
      <c r="EV7" s="480"/>
      <c r="EW7" s="479"/>
      <c r="EX7" s="612"/>
      <c r="EY7" s="479"/>
      <c r="EZ7" s="481"/>
      <c r="FB7" s="481"/>
      <c r="FE7" s="481"/>
      <c r="FG7" s="481"/>
      <c r="FI7" s="481"/>
      <c r="FL7" s="481"/>
      <c r="FN7" s="481"/>
      <c r="FP7" s="481"/>
      <c r="FS7" s="481"/>
      <c r="FU7" s="481"/>
      <c r="FW7" s="481"/>
      <c r="FZ7" s="612"/>
      <c r="GA7" s="614"/>
      <c r="GB7" s="479"/>
      <c r="GD7" s="481"/>
      <c r="GG7" s="481"/>
      <c r="GI7" s="481"/>
      <c r="GK7" s="481"/>
      <c r="GN7" s="481"/>
      <c r="GP7" s="481"/>
      <c r="GR7" s="481"/>
      <c r="GU7" s="481"/>
      <c r="GW7" s="481"/>
      <c r="GY7" s="481"/>
      <c r="HB7" s="481"/>
      <c r="HD7" s="481"/>
      <c r="HE7" s="480"/>
      <c r="HF7" s="479"/>
      <c r="HI7" s="481"/>
      <c r="HK7" s="481"/>
      <c r="HM7" s="481"/>
      <c r="HP7" s="481"/>
      <c r="HR7" s="481"/>
      <c r="HT7" s="481"/>
      <c r="HW7" s="481"/>
      <c r="HY7" s="481"/>
      <c r="IA7" s="481"/>
      <c r="ID7" s="481"/>
      <c r="IF7" s="481"/>
      <c r="IH7" s="481"/>
      <c r="II7" s="480"/>
      <c r="IJ7" s="614"/>
      <c r="IK7" s="479"/>
      <c r="IM7" s="481"/>
      <c r="IO7" s="481"/>
      <c r="IR7" s="481"/>
      <c r="IT7" s="481"/>
      <c r="IV7" s="481"/>
      <c r="IY7" s="481"/>
      <c r="JA7" s="481"/>
      <c r="JC7" s="481"/>
      <c r="JF7" s="481"/>
      <c r="JH7" s="481"/>
      <c r="JJ7" s="481"/>
      <c r="JM7" s="481"/>
      <c r="JN7" s="480"/>
      <c r="JO7" s="479"/>
      <c r="JQ7" s="481"/>
      <c r="JT7" s="481"/>
      <c r="JV7" s="481"/>
      <c r="JX7" s="481"/>
      <c r="KA7" s="481"/>
      <c r="KC7" s="481"/>
      <c r="KE7" s="481"/>
      <c r="KH7" s="481"/>
      <c r="KJ7" s="481"/>
      <c r="KL7" s="481"/>
      <c r="KO7" s="481"/>
      <c r="KQ7" s="481"/>
      <c r="KS7" s="612"/>
      <c r="KT7" s="479"/>
      <c r="KV7" s="481"/>
      <c r="KX7" s="481"/>
      <c r="KZ7" s="481"/>
      <c r="LC7" s="481"/>
      <c r="LE7" s="481"/>
      <c r="LG7" s="481"/>
      <c r="LJ7" s="481"/>
      <c r="LL7" s="481"/>
      <c r="LN7" s="481"/>
      <c r="LQ7" s="481"/>
      <c r="LS7" s="481"/>
      <c r="LU7" s="481"/>
      <c r="LW7" s="480"/>
      <c r="LX7" s="612"/>
      <c r="LZ7" s="481"/>
      <c r="MB7" s="481"/>
      <c r="ME7" s="481"/>
      <c r="MG7" s="481"/>
      <c r="MI7" s="481"/>
      <c r="ML7" s="481"/>
      <c r="MN7" s="481"/>
      <c r="MP7" s="481"/>
      <c r="MS7" s="481"/>
      <c r="MU7" s="481"/>
      <c r="MW7" s="481"/>
      <c r="MZ7" s="481"/>
      <c r="NB7" s="481"/>
      <c r="NC7" s="480"/>
    </row>
    <row r="8" spans="1:367">
      <c r="B8" s="479"/>
      <c r="D8" s="481"/>
      <c r="G8" s="481"/>
      <c r="I8" s="481"/>
      <c r="K8" s="481"/>
      <c r="N8" s="481"/>
      <c r="P8" s="481"/>
      <c r="R8" s="481"/>
      <c r="U8" s="481"/>
      <c r="W8" s="481"/>
      <c r="Y8" s="481"/>
      <c r="AB8" s="481"/>
      <c r="AD8" s="481"/>
      <c r="AE8" s="480"/>
      <c r="AF8" s="614"/>
      <c r="AG8" s="479"/>
      <c r="AI8" s="481"/>
      <c r="AK8" s="481"/>
      <c r="AM8" s="481"/>
      <c r="AP8" s="481"/>
      <c r="AR8" s="481"/>
      <c r="AT8" s="481"/>
      <c r="AW8" s="481"/>
      <c r="AY8" s="481"/>
      <c r="BA8" s="481"/>
      <c r="BD8" s="481"/>
      <c r="BF8" s="481"/>
      <c r="BH8" s="481"/>
      <c r="BJ8" s="480"/>
      <c r="BK8" s="479"/>
      <c r="BM8" s="481"/>
      <c r="BO8" s="481"/>
      <c r="BR8" s="481"/>
      <c r="BT8" s="481"/>
      <c r="BV8" s="481"/>
      <c r="BY8" s="481"/>
      <c r="CA8" s="481"/>
      <c r="CC8" s="481"/>
      <c r="CF8" s="481"/>
      <c r="CH8" s="481"/>
      <c r="CJ8" s="481"/>
      <c r="CM8" s="481"/>
      <c r="CN8" s="480"/>
      <c r="CO8" s="614"/>
      <c r="CP8" s="479"/>
      <c r="CQ8" s="481"/>
      <c r="CT8" s="481"/>
      <c r="CV8" s="481"/>
      <c r="CX8" s="481"/>
      <c r="DA8" s="481"/>
      <c r="DC8" s="481"/>
      <c r="DE8" s="481"/>
      <c r="DH8" s="481"/>
      <c r="DJ8" s="481"/>
      <c r="DL8" s="481"/>
      <c r="DO8" s="481"/>
      <c r="DQ8" s="612"/>
      <c r="DR8" s="479"/>
      <c r="DS8" s="612"/>
      <c r="DT8" s="614"/>
      <c r="DU8" s="479"/>
      <c r="DV8" s="481"/>
      <c r="DX8" s="481"/>
      <c r="DZ8" s="481"/>
      <c r="EC8" s="481"/>
      <c r="EE8" s="481"/>
      <c r="EG8" s="481"/>
      <c r="EJ8" s="481"/>
      <c r="EL8" s="481"/>
      <c r="EN8" s="481"/>
      <c r="EQ8" s="481"/>
      <c r="ES8" s="481"/>
      <c r="EU8" s="481"/>
      <c r="EV8" s="480"/>
      <c r="EW8" s="479"/>
      <c r="EX8" s="612"/>
      <c r="EY8" s="479"/>
      <c r="EZ8" s="481"/>
      <c r="FB8" s="481"/>
      <c r="FE8" s="481"/>
      <c r="FG8" s="481"/>
      <c r="FI8" s="481"/>
      <c r="FL8" s="481"/>
      <c r="FN8" s="481"/>
      <c r="FP8" s="481"/>
      <c r="FS8" s="481"/>
      <c r="FU8" s="481"/>
      <c r="FW8" s="481"/>
      <c r="FZ8" s="612"/>
      <c r="GA8" s="614"/>
      <c r="GB8" s="479"/>
      <c r="GD8" s="481"/>
      <c r="GG8" s="481"/>
      <c r="GI8" s="481"/>
      <c r="GK8" s="481"/>
      <c r="GN8" s="481"/>
      <c r="GP8" s="481"/>
      <c r="GR8" s="481"/>
      <c r="GU8" s="481"/>
      <c r="GW8" s="481"/>
      <c r="GY8" s="481"/>
      <c r="HB8" s="481"/>
      <c r="HD8" s="481"/>
      <c r="HE8" s="480"/>
      <c r="HF8" s="479"/>
      <c r="HI8" s="481"/>
      <c r="HK8" s="481"/>
      <c r="HM8" s="481"/>
      <c r="HP8" s="481"/>
      <c r="HR8" s="481"/>
      <c r="HT8" s="481"/>
      <c r="HW8" s="481"/>
      <c r="HY8" s="481"/>
      <c r="IA8" s="481"/>
      <c r="ID8" s="481"/>
      <c r="IF8" s="481"/>
      <c r="IH8" s="481"/>
      <c r="II8" s="480"/>
      <c r="IJ8" s="614"/>
      <c r="IK8" s="479"/>
      <c r="IM8" s="481"/>
      <c r="IO8" s="481"/>
      <c r="IR8" s="481"/>
      <c r="IT8" s="481"/>
      <c r="IV8" s="481"/>
      <c r="IY8" s="481"/>
      <c r="JA8" s="481"/>
      <c r="JC8" s="481"/>
      <c r="JF8" s="481"/>
      <c r="JH8" s="481"/>
      <c r="JJ8" s="481"/>
      <c r="JM8" s="481"/>
      <c r="JN8" s="480"/>
      <c r="JO8" s="479"/>
      <c r="JQ8" s="481"/>
      <c r="JT8" s="481"/>
      <c r="JV8" s="481"/>
      <c r="JX8" s="481"/>
      <c r="KA8" s="481"/>
      <c r="KC8" s="481"/>
      <c r="KE8" s="481"/>
      <c r="KH8" s="481"/>
      <c r="KJ8" s="481"/>
      <c r="KL8" s="481"/>
      <c r="KO8" s="481"/>
      <c r="KQ8" s="481"/>
      <c r="KS8" s="612"/>
      <c r="KT8" s="479"/>
      <c r="KV8" s="481"/>
      <c r="KX8" s="481"/>
      <c r="KZ8" s="481"/>
      <c r="LC8" s="481"/>
      <c r="LE8" s="481"/>
      <c r="LG8" s="481"/>
      <c r="LJ8" s="481"/>
      <c r="LL8" s="481"/>
      <c r="LN8" s="481"/>
      <c r="LQ8" s="481"/>
      <c r="LS8" s="481"/>
      <c r="LU8" s="481"/>
      <c r="LW8" s="480"/>
      <c r="LX8" s="612"/>
      <c r="LZ8" s="481"/>
      <c r="MB8" s="481"/>
      <c r="ME8" s="481"/>
      <c r="MG8" s="481"/>
      <c r="MI8" s="481"/>
      <c r="ML8" s="481"/>
      <c r="MN8" s="481"/>
      <c r="MP8" s="481"/>
      <c r="MS8" s="481"/>
      <c r="MU8" s="481"/>
      <c r="MW8" s="481"/>
      <c r="MZ8" s="481"/>
      <c r="NB8" s="481"/>
      <c r="NC8" s="480"/>
    </row>
  </sheetData>
  <mergeCells count="1">
    <mergeCell ref="A1:P2"/>
  </mergeCell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52225" r:id="rId4" name="cbLogement">
          <controlPr defaultSize="0" autoLine="0" listFillRange="Paramètres!A3:A4" r:id="rId5">
            <anchor moveWithCells="1">
              <from>
                <xdr:col>0</xdr:col>
                <xdr:colOff>982980</xdr:colOff>
                <xdr:row>2</xdr:row>
                <xdr:rowOff>274320</xdr:rowOff>
              </from>
              <to>
                <xdr:col>3</xdr:col>
                <xdr:colOff>22860</xdr:colOff>
                <xdr:row>4</xdr:row>
                <xdr:rowOff>53340</xdr:rowOff>
              </to>
            </anchor>
          </controlPr>
        </control>
      </mc:Choice>
      <mc:Fallback>
        <control shapeId="52225" r:id="rId4" name="cbLogement"/>
      </mc:Fallback>
    </mc:AlternateContent>
    <mc:AlternateContent xmlns:mc="http://schemas.openxmlformats.org/markup-compatibility/2006">
      <mc:Choice Requires="x14">
        <control shapeId="52226" r:id="rId6" name="cbSerie">
          <controlPr defaultSize="0" autoLine="0" listFillRange="Paramètres!E21:E26" r:id="rId7">
            <anchor moveWithCells="1">
              <from>
                <xdr:col>5</xdr:col>
                <xdr:colOff>60960</xdr:colOff>
                <xdr:row>2</xdr:row>
                <xdr:rowOff>289560</xdr:rowOff>
              </from>
              <to>
                <xdr:col>7</xdr:col>
                <xdr:colOff>259080</xdr:colOff>
                <xdr:row>4</xdr:row>
                <xdr:rowOff>60960</xdr:rowOff>
              </to>
            </anchor>
          </controlPr>
        </control>
      </mc:Choice>
      <mc:Fallback>
        <control shapeId="52226" r:id="rId6" name="cbSerie"/>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BD0CF-A229-430D-B3A5-B605707F32B7}">
  <sheetPr codeName="Feuil5"/>
  <dimension ref="A1:NC56"/>
  <sheetViews>
    <sheetView showGridLines="0" workbookViewId="0">
      <selection activeCell="H9" sqref="H9"/>
    </sheetView>
  </sheetViews>
  <sheetFormatPr baseColWidth="10" defaultColWidth="10.7109375" defaultRowHeight="24"/>
  <cols>
    <col min="1" max="1" width="20.78515625" customWidth="1"/>
    <col min="2" max="2" width="10.5703125" customWidth="1"/>
    <col min="3" max="3" width="13.5703125" customWidth="1"/>
    <col min="4" max="4" width="8" customWidth="1"/>
    <col min="6" max="6" width="13.2109375" customWidth="1"/>
    <col min="7" max="7" width="17.78515625" customWidth="1"/>
    <col min="8" max="8" width="9.7109375" style="2" customWidth="1"/>
    <col min="9" max="9" width="6.640625" customWidth="1"/>
    <col min="10" max="10" width="10.7109375" customWidth="1"/>
    <col min="11" max="11" width="22.0703125" customWidth="1"/>
    <col min="12" max="12" width="6.0703125" customWidth="1"/>
  </cols>
  <sheetData>
    <row r="1" spans="1:367" s="12" customFormat="1">
      <c r="A1" s="83" t="s">
        <v>695</v>
      </c>
      <c r="B1" s="83"/>
      <c r="C1" s="83"/>
      <c r="D1" s="1117"/>
      <c r="E1" s="83"/>
      <c r="F1" s="83"/>
      <c r="G1" s="83"/>
    </row>
    <row r="2" spans="1:367">
      <c r="A2" s="63" t="s">
        <v>60</v>
      </c>
      <c r="B2" s="1052" t="s">
        <v>700</v>
      </c>
      <c r="C2" s="63" t="s">
        <v>701</v>
      </c>
      <c r="D2" s="78" t="s">
        <v>70</v>
      </c>
      <c r="E2" s="63" t="s">
        <v>702</v>
      </c>
      <c r="F2" s="63" t="s">
        <v>703</v>
      </c>
      <c r="G2" s="63" t="s">
        <v>1132</v>
      </c>
      <c r="H2" s="63" t="s">
        <v>3332</v>
      </c>
      <c r="AF2" s="480"/>
      <c r="AG2" s="479"/>
      <c r="BH2" s="480"/>
      <c r="BI2" s="479"/>
      <c r="CM2" s="480"/>
      <c r="CN2" s="479"/>
      <c r="DQ2" s="480"/>
      <c r="DR2" s="479"/>
      <c r="EV2" s="480"/>
      <c r="EW2" s="479"/>
      <c r="FZ2" s="480"/>
      <c r="GA2" s="479"/>
      <c r="HE2" s="480"/>
      <c r="HF2" s="479"/>
      <c r="IJ2" s="480"/>
      <c r="IK2" s="479"/>
      <c r="JN2" s="480"/>
      <c r="JO2" s="479"/>
      <c r="KS2" s="480"/>
      <c r="KT2" s="479"/>
      <c r="LW2" s="480"/>
      <c r="NC2" s="480"/>
    </row>
    <row r="3" spans="1:367">
      <c r="A3" s="63" t="s">
        <v>8</v>
      </c>
      <c r="B3" s="813" t="s">
        <v>89</v>
      </c>
      <c r="C3" s="892" t="s">
        <v>705</v>
      </c>
      <c r="D3" s="805">
        <v>90</v>
      </c>
      <c r="E3" s="1120">
        <v>0.2</v>
      </c>
      <c r="F3" s="1118">
        <v>10926064</v>
      </c>
      <c r="G3" s="63" t="s">
        <v>1113</v>
      </c>
      <c r="H3" s="698">
        <v>1</v>
      </c>
      <c r="M3" s="481"/>
      <c r="T3" s="481"/>
      <c r="AA3" s="481"/>
      <c r="AF3" s="480"/>
      <c r="AG3" s="479"/>
      <c r="AH3" s="481"/>
      <c r="AO3" s="481"/>
      <c r="AV3" s="481"/>
      <c r="BC3" s="481"/>
      <c r="BH3" s="480"/>
      <c r="BI3" s="479"/>
      <c r="BJ3" s="481"/>
      <c r="BQ3" s="481"/>
      <c r="BX3" s="481"/>
      <c r="CE3" s="481"/>
      <c r="CL3" s="481"/>
      <c r="CM3" s="480"/>
      <c r="CN3" s="479"/>
      <c r="CS3" s="481"/>
      <c r="CZ3" s="481"/>
      <c r="DG3" s="481"/>
      <c r="DN3" s="481"/>
      <c r="DQ3" s="480"/>
      <c r="DR3" s="479"/>
      <c r="DU3" s="481"/>
      <c r="EB3" s="481"/>
      <c r="EI3" s="481"/>
      <c r="EP3" s="481"/>
      <c r="EV3" s="480"/>
      <c r="EW3" s="479"/>
      <c r="FD3" s="481"/>
      <c r="FK3" s="481"/>
      <c r="FR3" s="481"/>
      <c r="FY3" s="481"/>
      <c r="FZ3" s="480"/>
      <c r="GA3" s="479"/>
      <c r="GF3" s="481"/>
      <c r="GM3" s="481"/>
      <c r="GT3" s="481"/>
      <c r="HA3" s="481"/>
      <c r="HE3" s="480"/>
      <c r="HF3" s="479"/>
      <c r="HH3" s="481"/>
      <c r="HO3" s="481"/>
      <c r="HV3" s="481"/>
      <c r="IC3" s="481"/>
      <c r="IJ3" s="612"/>
      <c r="IK3" s="479"/>
      <c r="IQ3" s="481"/>
      <c r="IX3" s="481"/>
      <c r="JE3" s="481"/>
      <c r="JL3" s="481"/>
      <c r="JN3" s="480"/>
      <c r="JO3" s="479"/>
      <c r="JS3" s="481"/>
      <c r="JZ3" s="481"/>
      <c r="KG3" s="481"/>
      <c r="KN3" s="481"/>
      <c r="KS3" s="480"/>
      <c r="KT3" s="479"/>
      <c r="KU3" s="481"/>
      <c r="LB3" s="481"/>
      <c r="LI3" s="481"/>
      <c r="LP3" s="481"/>
      <c r="LW3" s="612"/>
      <c r="MD3" s="481"/>
      <c r="MK3" s="481"/>
      <c r="MR3" s="481"/>
      <c r="MY3" s="481"/>
      <c r="NC3" s="480"/>
    </row>
    <row r="4" spans="1:367">
      <c r="A4" s="63" t="s">
        <v>10</v>
      </c>
      <c r="B4" s="813" t="s">
        <v>97</v>
      </c>
      <c r="C4" s="892" t="s">
        <v>706</v>
      </c>
      <c r="D4" s="805">
        <v>70</v>
      </c>
      <c r="E4" s="1120">
        <v>0.2</v>
      </c>
      <c r="F4" s="1119">
        <v>10924266</v>
      </c>
      <c r="G4" s="63" t="s">
        <v>1114</v>
      </c>
      <c r="H4" s="698">
        <v>1</v>
      </c>
      <c r="M4" s="481"/>
      <c r="T4" s="481"/>
      <c r="AA4" s="481"/>
      <c r="AF4" s="480"/>
      <c r="AG4" s="479"/>
      <c r="AH4" s="481"/>
      <c r="AO4" s="481"/>
      <c r="AV4" s="481"/>
      <c r="BC4" s="481"/>
      <c r="BH4" s="480"/>
      <c r="BI4" s="479"/>
      <c r="BJ4" s="481"/>
      <c r="BQ4" s="481"/>
      <c r="BX4" s="481"/>
      <c r="CE4" s="481"/>
      <c r="CL4" s="481"/>
      <c r="CM4" s="480"/>
      <c r="CN4" s="479"/>
      <c r="CS4" s="481"/>
      <c r="CZ4" s="481"/>
      <c r="DG4" s="481"/>
      <c r="DN4" s="481"/>
      <c r="DQ4" s="480"/>
      <c r="DR4" s="479"/>
      <c r="DU4" s="481"/>
      <c r="EB4" s="481"/>
      <c r="EI4" s="481"/>
      <c r="EP4" s="481"/>
      <c r="EV4" s="480"/>
      <c r="EW4" s="479"/>
      <c r="FD4" s="481"/>
      <c r="FK4" s="481"/>
      <c r="FR4" s="481"/>
      <c r="FY4" s="481"/>
      <c r="FZ4" s="480"/>
      <c r="GA4" s="479"/>
      <c r="GF4" s="481"/>
      <c r="GM4" s="481"/>
      <c r="GT4" s="481"/>
      <c r="HA4" s="481"/>
      <c r="HE4" s="480"/>
      <c r="HF4" s="479"/>
      <c r="HH4" s="481"/>
      <c r="HO4" s="481"/>
      <c r="HV4" s="481"/>
      <c r="IC4" s="481"/>
      <c r="IJ4" s="612"/>
      <c r="IK4" s="479"/>
      <c r="IQ4" s="481"/>
      <c r="IX4" s="481"/>
      <c r="JE4" s="481"/>
      <c r="JL4" s="481"/>
      <c r="JN4" s="480"/>
      <c r="JO4" s="479"/>
      <c r="JS4" s="481"/>
      <c r="JZ4" s="481"/>
      <c r="KG4" s="481"/>
      <c r="KN4" s="481"/>
      <c r="KS4" s="480"/>
      <c r="KT4" s="479"/>
      <c r="KU4" s="481"/>
      <c r="LB4" s="481"/>
      <c r="LI4" s="481"/>
      <c r="LP4" s="481"/>
      <c r="LW4" s="612"/>
      <c r="MD4" s="481"/>
      <c r="MK4" s="481"/>
      <c r="MR4" s="481"/>
      <c r="MY4" s="481"/>
      <c r="NC4" s="480"/>
    </row>
    <row r="5" spans="1:367">
      <c r="A5" s="63" t="s">
        <v>13</v>
      </c>
      <c r="B5" s="813" t="s">
        <v>143</v>
      </c>
      <c r="C5" s="892" t="s">
        <v>3263</v>
      </c>
      <c r="D5" s="805">
        <v>150</v>
      </c>
      <c r="E5" s="1120">
        <v>0.2</v>
      </c>
      <c r="F5" s="1118"/>
      <c r="G5" s="63" t="s">
        <v>1114</v>
      </c>
      <c r="H5" s="698">
        <v>0</v>
      </c>
      <c r="M5" s="481"/>
      <c r="T5" s="481"/>
      <c r="AA5" s="481"/>
      <c r="AF5" s="480"/>
      <c r="AG5" s="479"/>
      <c r="AH5" s="481"/>
      <c r="AO5" s="481"/>
      <c r="AV5" s="481"/>
      <c r="BC5" s="481"/>
      <c r="BH5" s="480"/>
      <c r="BI5" s="479"/>
      <c r="BJ5" s="481"/>
      <c r="BQ5" s="481"/>
      <c r="BX5" s="481"/>
      <c r="CE5" s="481"/>
      <c r="CL5" s="481"/>
      <c r="CM5" s="480"/>
      <c r="CN5" s="479"/>
      <c r="CS5" s="481"/>
      <c r="CZ5" s="481"/>
      <c r="DG5" s="481"/>
      <c r="DN5" s="481"/>
      <c r="DQ5" s="480"/>
      <c r="DR5" s="479"/>
      <c r="DU5" s="481"/>
      <c r="EB5" s="481"/>
      <c r="EI5" s="481"/>
      <c r="EP5" s="481"/>
      <c r="EV5" s="480"/>
      <c r="EW5" s="479"/>
      <c r="FD5" s="481"/>
      <c r="FK5" s="481"/>
      <c r="FR5" s="481"/>
      <c r="FY5" s="481"/>
      <c r="FZ5" s="480"/>
      <c r="GA5" s="479"/>
      <c r="GF5" s="481"/>
      <c r="GM5" s="481"/>
      <c r="GT5" s="481"/>
      <c r="HA5" s="481"/>
      <c r="HE5" s="480"/>
      <c r="HF5" s="479"/>
      <c r="HH5" s="481"/>
      <c r="HO5" s="481"/>
      <c r="HV5" s="481"/>
      <c r="IC5" s="481"/>
      <c r="IJ5" s="612"/>
      <c r="IK5" s="479"/>
      <c r="IQ5" s="481"/>
      <c r="IX5" s="481"/>
      <c r="JE5" s="481"/>
      <c r="JL5" s="481"/>
      <c r="JN5" s="480"/>
      <c r="JO5" s="479"/>
      <c r="JS5" s="481"/>
      <c r="JZ5" s="481"/>
      <c r="KG5" s="481"/>
      <c r="KN5" s="481"/>
      <c r="KS5" s="480"/>
      <c r="KT5" s="479"/>
      <c r="KU5" s="481"/>
      <c r="LB5" s="481"/>
      <c r="LI5" s="481"/>
      <c r="LP5" s="481"/>
      <c r="LW5" s="612"/>
      <c r="MD5" s="481"/>
      <c r="MK5" s="481"/>
      <c r="MR5" s="481"/>
      <c r="MY5" s="481"/>
      <c r="NC5" s="480"/>
    </row>
    <row r="6" spans="1:367">
      <c r="A6" s="63" t="s">
        <v>15</v>
      </c>
      <c r="B6" s="813" t="s">
        <v>114</v>
      </c>
      <c r="C6" s="892" t="s">
        <v>1126</v>
      </c>
      <c r="D6" s="805">
        <v>75</v>
      </c>
      <c r="E6" s="1120">
        <v>0.12</v>
      </c>
      <c r="F6" s="1118"/>
      <c r="G6" s="63" t="s">
        <v>1115</v>
      </c>
      <c r="H6" s="698">
        <v>1</v>
      </c>
      <c r="M6" s="481"/>
      <c r="T6" s="481"/>
      <c r="AA6" s="481"/>
      <c r="AF6" s="480"/>
      <c r="AG6" s="479"/>
      <c r="AH6" s="481"/>
      <c r="AO6" s="481"/>
      <c r="AV6" s="481"/>
      <c r="BC6" s="481"/>
      <c r="BH6" s="480"/>
      <c r="BI6" s="479"/>
      <c r="BJ6" s="481"/>
      <c r="BQ6" s="481"/>
      <c r="BX6" s="481"/>
      <c r="CE6" s="481"/>
      <c r="CL6" s="481"/>
      <c r="CM6" s="480"/>
      <c r="CN6" s="479"/>
      <c r="CS6" s="481"/>
      <c r="CZ6" s="481"/>
      <c r="DG6" s="481"/>
      <c r="DN6" s="481"/>
      <c r="DQ6" s="480"/>
      <c r="DR6" s="479"/>
      <c r="DU6" s="481"/>
      <c r="EB6" s="481"/>
      <c r="EI6" s="481"/>
      <c r="EP6" s="481"/>
      <c r="EV6" s="480"/>
      <c r="EW6" s="479"/>
      <c r="FD6" s="481"/>
      <c r="FK6" s="481"/>
      <c r="FR6" s="481"/>
      <c r="FY6" s="481"/>
      <c r="FZ6" s="480"/>
      <c r="GA6" s="479"/>
      <c r="GF6" s="481"/>
      <c r="GM6" s="481"/>
      <c r="GT6" s="481"/>
      <c r="HA6" s="481"/>
      <c r="HE6" s="480"/>
      <c r="HF6" s="479"/>
      <c r="HH6" s="481"/>
      <c r="HO6" s="481"/>
      <c r="HV6" s="481"/>
      <c r="IC6" s="481"/>
      <c r="IJ6" s="612"/>
      <c r="IK6" s="479"/>
      <c r="IQ6" s="481"/>
      <c r="IX6" s="481"/>
      <c r="JE6" s="481"/>
      <c r="JL6" s="481"/>
      <c r="JN6" s="480"/>
      <c r="JO6" s="479"/>
      <c r="JS6" s="481"/>
      <c r="JZ6" s="481"/>
      <c r="KG6" s="481"/>
      <c r="KN6" s="481"/>
      <c r="KS6" s="480"/>
      <c r="KT6" s="479"/>
      <c r="KU6" s="481"/>
      <c r="LB6" s="481"/>
      <c r="LI6" s="481"/>
      <c r="LP6" s="481"/>
      <c r="LW6" s="612"/>
      <c r="MD6" s="481"/>
      <c r="MK6" s="481"/>
      <c r="MR6" s="481"/>
      <c r="MY6" s="481"/>
      <c r="NC6" s="480"/>
    </row>
    <row r="7" spans="1:367">
      <c r="A7" s="63" t="s">
        <v>18</v>
      </c>
      <c r="B7" s="1121" t="s">
        <v>106</v>
      </c>
      <c r="C7" s="892" t="s">
        <v>714</v>
      </c>
      <c r="D7" s="805">
        <v>70</v>
      </c>
      <c r="E7" s="1120">
        <v>0</v>
      </c>
      <c r="F7" s="1118"/>
      <c r="G7" s="1118"/>
      <c r="H7" s="698">
        <v>0</v>
      </c>
      <c r="M7" s="481"/>
      <c r="T7" s="481"/>
      <c r="AA7" s="481"/>
      <c r="AF7" s="480"/>
      <c r="AG7" s="479"/>
      <c r="AH7" s="481"/>
      <c r="AO7" s="481"/>
      <c r="AV7" s="481"/>
      <c r="BC7" s="481"/>
      <c r="BH7" s="480"/>
      <c r="BI7" s="479"/>
      <c r="BJ7" s="481"/>
      <c r="BQ7" s="481"/>
      <c r="BX7" s="481"/>
      <c r="CE7" s="481"/>
      <c r="CL7" s="481"/>
      <c r="CM7" s="480"/>
      <c r="CN7" s="479"/>
      <c r="CS7" s="481"/>
      <c r="CZ7" s="481"/>
      <c r="DG7" s="481"/>
      <c r="DN7" s="481"/>
      <c r="DQ7" s="480"/>
      <c r="DR7" s="479"/>
      <c r="DU7" s="481"/>
      <c r="EB7" s="481"/>
      <c r="EI7" s="481"/>
      <c r="EP7" s="481"/>
      <c r="EV7" s="480"/>
      <c r="EW7" s="479"/>
      <c r="FD7" s="481"/>
      <c r="FK7" s="481"/>
      <c r="FR7" s="481"/>
      <c r="FY7" s="481"/>
      <c r="FZ7" s="480"/>
      <c r="GA7" s="479"/>
      <c r="GF7" s="481"/>
      <c r="GM7" s="481"/>
      <c r="GT7" s="481"/>
      <c r="HA7" s="481"/>
      <c r="HE7" s="480"/>
      <c r="HF7" s="479"/>
      <c r="HH7" s="481"/>
      <c r="HO7" s="481"/>
      <c r="HV7" s="481"/>
      <c r="IC7" s="481"/>
      <c r="IJ7" s="612"/>
      <c r="IK7" s="479"/>
      <c r="IQ7" s="481"/>
      <c r="IX7" s="481"/>
      <c r="JE7" s="481"/>
      <c r="JL7" s="481"/>
      <c r="JN7" s="480"/>
      <c r="JO7" s="479"/>
      <c r="JS7" s="481"/>
      <c r="JZ7" s="481"/>
      <c r="KG7" s="481"/>
      <c r="KN7" s="481"/>
      <c r="KS7" s="480"/>
      <c r="KT7" s="479"/>
      <c r="KU7" s="481"/>
      <c r="LB7" s="481"/>
      <c r="LI7" s="481"/>
      <c r="LP7" s="481"/>
      <c r="LW7" s="612"/>
      <c r="MD7" s="481"/>
      <c r="MK7" s="481"/>
      <c r="MR7" s="481"/>
      <c r="MY7" s="481"/>
      <c r="NC7" s="480"/>
    </row>
    <row r="8" spans="1:367">
      <c r="A8" s="63" t="s">
        <v>3764</v>
      </c>
      <c r="B8" s="74"/>
      <c r="C8" s="63" t="s">
        <v>3789</v>
      </c>
      <c r="D8" s="78">
        <v>120</v>
      </c>
      <c r="E8" s="1122">
        <v>0</v>
      </c>
      <c r="F8" s="1123"/>
      <c r="G8" s="1123"/>
      <c r="H8" s="63">
        <v>1</v>
      </c>
      <c r="J8" s="63"/>
      <c r="L8" s="63"/>
      <c r="M8" s="63"/>
      <c r="N8" s="63"/>
      <c r="O8" s="63"/>
      <c r="P8" s="63"/>
      <c r="Q8" s="63"/>
      <c r="R8" s="63"/>
      <c r="S8" s="63"/>
      <c r="T8" s="63"/>
      <c r="U8" s="63"/>
      <c r="V8" s="63"/>
      <c r="W8" s="63"/>
      <c r="X8" s="63"/>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row>
    <row r="9" spans="1:367">
      <c r="A9" s="63"/>
      <c r="B9" s="74"/>
      <c r="C9" s="63"/>
      <c r="D9" s="78"/>
      <c r="E9" s="1122"/>
      <c r="F9" s="1123"/>
      <c r="G9" s="1123"/>
      <c r="H9" s="63"/>
      <c r="J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63"/>
      <c r="BD9" s="63"/>
      <c r="BE9" s="63"/>
      <c r="BF9" s="63"/>
      <c r="BG9" s="63"/>
      <c r="BH9" s="63"/>
      <c r="BI9" s="63"/>
      <c r="BJ9" s="63"/>
      <c r="BK9" s="63"/>
      <c r="BL9" s="63"/>
      <c r="BM9" s="63"/>
      <c r="BN9" s="63"/>
      <c r="BO9" s="63"/>
      <c r="BP9" s="63"/>
      <c r="BQ9" s="63"/>
      <c r="BR9" s="63"/>
      <c r="BS9" s="63"/>
      <c r="BT9" s="63"/>
      <c r="BU9" s="63"/>
    </row>
    <row r="10" spans="1:367">
      <c r="A10" s="63"/>
      <c r="B10" s="74"/>
      <c r="C10" s="63"/>
      <c r="D10" s="78"/>
      <c r="E10" s="1122"/>
      <c r="F10" s="1123"/>
      <c r="G10" s="1123"/>
      <c r="H10" s="63"/>
      <c r="J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row>
    <row r="11" spans="1:367">
      <c r="A11" s="83" t="s">
        <v>696</v>
      </c>
      <c r="B11" s="83"/>
      <c r="C11" s="85"/>
      <c r="D11" s="63"/>
      <c r="F11" s="63"/>
      <c r="G11" s="63"/>
      <c r="H11" s="63"/>
    </row>
    <row r="12" spans="1:367">
      <c r="A12" s="63" t="s">
        <v>65</v>
      </c>
      <c r="B12" s="63" t="s">
        <v>677</v>
      </c>
      <c r="C12" s="698" t="s">
        <v>3734</v>
      </c>
      <c r="D12" s="63"/>
      <c r="F12" s="63"/>
      <c r="G12" s="63"/>
      <c r="H12" s="63"/>
    </row>
    <row r="13" spans="1:367">
      <c r="A13" s="63" t="s">
        <v>88</v>
      </c>
      <c r="B13" s="290">
        <v>0.18</v>
      </c>
      <c r="C13" s="47" t="s">
        <v>3735</v>
      </c>
      <c r="D13" s="63"/>
      <c r="F13" s="63"/>
      <c r="G13" s="63"/>
      <c r="H13" s="63"/>
    </row>
    <row r="14" spans="1:367">
      <c r="A14" s="63" t="s">
        <v>23</v>
      </c>
      <c r="B14" s="86">
        <v>0.18099999999999999</v>
      </c>
      <c r="C14" s="47" t="s">
        <v>3735</v>
      </c>
      <c r="D14" s="63"/>
      <c r="F14" s="63"/>
      <c r="G14" s="63"/>
      <c r="H14" s="63"/>
    </row>
    <row r="15" spans="1:367">
      <c r="A15" s="63" t="s">
        <v>3573</v>
      </c>
      <c r="B15" s="86">
        <v>0</v>
      </c>
      <c r="C15" s="47" t="s">
        <v>3735</v>
      </c>
      <c r="D15" s="63"/>
      <c r="F15" s="63"/>
      <c r="G15" s="63"/>
      <c r="H15" s="63"/>
    </row>
    <row r="16" spans="1:367">
      <c r="A16" s="63" t="s">
        <v>3594</v>
      </c>
      <c r="B16" s="86">
        <v>0</v>
      </c>
      <c r="C16" s="47" t="s">
        <v>3735</v>
      </c>
      <c r="D16" s="63"/>
      <c r="F16" s="63"/>
      <c r="G16" s="63"/>
      <c r="H16" s="63"/>
    </row>
    <row r="17" spans="1:11">
      <c r="A17" s="63" t="s">
        <v>3733</v>
      </c>
      <c r="B17" s="86">
        <v>0</v>
      </c>
      <c r="C17" s="47" t="s">
        <v>3736</v>
      </c>
      <c r="D17" s="63"/>
      <c r="E17" s="84"/>
      <c r="F17" s="63"/>
      <c r="G17" s="63"/>
      <c r="H17" s="63"/>
    </row>
    <row r="18" spans="1:11">
      <c r="A18" s="63"/>
      <c r="B18" s="86"/>
      <c r="C18" s="85"/>
      <c r="D18" s="63"/>
      <c r="E18" s="84"/>
      <c r="F18" s="63"/>
      <c r="G18" s="63"/>
      <c r="H18" s="63"/>
    </row>
    <row r="19" spans="1:11" ht="24.6" thickBot="1">
      <c r="A19" s="63" t="s">
        <v>1009</v>
      </c>
      <c r="B19" s="63"/>
      <c r="C19" s="85"/>
      <c r="D19" s="63"/>
      <c r="E19" s="84"/>
      <c r="F19" s="63"/>
      <c r="G19" s="63"/>
      <c r="H19" s="63"/>
    </row>
    <row r="20" spans="1:11" ht="24.6" thickBot="1">
      <c r="A20" s="63" t="s">
        <v>710</v>
      </c>
      <c r="B20" s="63" t="s">
        <v>711</v>
      </c>
      <c r="C20" s="85"/>
      <c r="D20" s="63"/>
      <c r="E20" s="482" t="s">
        <v>3413</v>
      </c>
      <c r="F20" s="63"/>
      <c r="G20" s="63"/>
      <c r="H20" s="63"/>
    </row>
    <row r="21" spans="1:11">
      <c r="A21" s="186">
        <v>1</v>
      </c>
      <c r="B21" s="291" t="s">
        <v>687</v>
      </c>
      <c r="C21" s="85"/>
      <c r="D21" s="63"/>
      <c r="E21" s="483" t="s">
        <v>3375</v>
      </c>
      <c r="F21" s="63"/>
      <c r="G21" s="63"/>
      <c r="H21" s="84"/>
    </row>
    <row r="22" spans="1:11">
      <c r="A22" s="186">
        <v>2</v>
      </c>
      <c r="B22" s="191" t="s">
        <v>688</v>
      </c>
      <c r="C22" s="85"/>
      <c r="D22" s="63"/>
      <c r="E22" s="484" t="s">
        <v>3367</v>
      </c>
      <c r="F22" s="63"/>
      <c r="G22" s="63"/>
      <c r="H22" s="84"/>
      <c r="I22" s="63"/>
      <c r="J22" s="63"/>
      <c r="K22" s="63"/>
    </row>
    <row r="23" spans="1:11">
      <c r="A23" s="186">
        <v>3</v>
      </c>
      <c r="B23" s="191" t="s">
        <v>86</v>
      </c>
      <c r="C23" s="85"/>
      <c r="D23" s="63"/>
      <c r="E23" s="484" t="s">
        <v>3370</v>
      </c>
      <c r="F23" s="63"/>
      <c r="G23" s="63"/>
      <c r="H23" s="84"/>
      <c r="I23" s="63"/>
      <c r="J23" s="63"/>
      <c r="K23" s="63"/>
    </row>
    <row r="24" spans="1:11">
      <c r="A24" s="186">
        <v>4</v>
      </c>
      <c r="B24" s="186" t="s">
        <v>278</v>
      </c>
      <c r="C24" s="85"/>
      <c r="D24" s="63"/>
      <c r="E24" s="484" t="s">
        <v>3368</v>
      </c>
      <c r="F24" s="63"/>
      <c r="G24" s="63"/>
      <c r="H24" s="84"/>
      <c r="I24" s="63"/>
      <c r="J24" s="63"/>
      <c r="K24" s="63"/>
    </row>
    <row r="25" spans="1:11">
      <c r="A25" s="186">
        <v>5</v>
      </c>
      <c r="B25" s="186" t="s">
        <v>283</v>
      </c>
      <c r="C25" s="85"/>
      <c r="D25" s="63"/>
      <c r="E25" s="484" t="s">
        <v>3371</v>
      </c>
      <c r="F25" s="63"/>
      <c r="G25" s="63"/>
      <c r="H25" s="84"/>
      <c r="I25" s="63"/>
      <c r="J25" s="63"/>
      <c r="K25" s="63"/>
    </row>
    <row r="26" spans="1:11" ht="24.6" thickBot="1">
      <c r="A26" s="192">
        <v>6</v>
      </c>
      <c r="B26" s="192" t="s">
        <v>680</v>
      </c>
      <c r="C26" s="85"/>
      <c r="D26" s="63"/>
      <c r="E26" s="485" t="s">
        <v>3374</v>
      </c>
      <c r="H26" s="21"/>
      <c r="I26" s="63"/>
      <c r="J26" s="63"/>
      <c r="K26" s="63"/>
    </row>
    <row r="27" spans="1:11">
      <c r="A27" s="192">
        <v>7</v>
      </c>
      <c r="B27" s="192" t="s">
        <v>681</v>
      </c>
      <c r="C27" s="85"/>
      <c r="D27" s="63"/>
      <c r="E27" s="63"/>
      <c r="H27" s="21"/>
    </row>
    <row r="28" spans="1:11">
      <c r="A28" s="192">
        <v>8</v>
      </c>
      <c r="B28" s="192" t="s">
        <v>777</v>
      </c>
      <c r="C28" s="85"/>
      <c r="D28" s="63"/>
      <c r="E28" s="63"/>
      <c r="H28" s="21"/>
    </row>
    <row r="29" spans="1:11">
      <c r="A29" s="63"/>
      <c r="B29" s="85"/>
      <c r="C29" s="5"/>
      <c r="E29" s="63"/>
      <c r="H29" s="21"/>
    </row>
    <row r="30" spans="1:11">
      <c r="B30" s="5"/>
      <c r="C30" s="5"/>
      <c r="H30" s="21"/>
    </row>
    <row r="31" spans="1:11">
      <c r="A31" s="286" t="s">
        <v>694</v>
      </c>
      <c r="B31" s="287"/>
      <c r="C31" s="288"/>
      <c r="H31" s="21"/>
    </row>
    <row r="32" spans="1:11">
      <c r="A32" s="186" t="s">
        <v>697</v>
      </c>
      <c r="B32" s="1322" t="s">
        <v>698</v>
      </c>
      <c r="C32" s="1323"/>
      <c r="H32" s="21"/>
    </row>
    <row r="33" spans="1:8">
      <c r="A33" s="186" t="s">
        <v>704</v>
      </c>
      <c r="B33" s="1322" t="s">
        <v>3625</v>
      </c>
      <c r="C33" s="1323"/>
      <c r="H33" s="21"/>
    </row>
    <row r="34" spans="1:8">
      <c r="A34" s="63"/>
      <c r="B34" s="681"/>
      <c r="C34" s="71"/>
      <c r="H34" s="21"/>
    </row>
    <row r="35" spans="1:8">
      <c r="A35" s="186" t="s">
        <v>707</v>
      </c>
      <c r="B35" s="1327"/>
      <c r="C35" s="1328"/>
      <c r="H35" s="21"/>
    </row>
    <row r="36" spans="1:8">
      <c r="A36" s="186" t="s">
        <v>708</v>
      </c>
      <c r="B36" s="1329" t="s">
        <v>709</v>
      </c>
      <c r="C36" s="1330"/>
      <c r="H36" s="21"/>
    </row>
    <row r="37" spans="1:8">
      <c r="A37" s="186" t="s">
        <v>712</v>
      </c>
      <c r="B37" s="1324" t="s">
        <v>713</v>
      </c>
      <c r="C37" s="1325"/>
      <c r="H37" s="21"/>
    </row>
    <row r="38" spans="1:8">
      <c r="A38" s="682" t="s">
        <v>715</v>
      </c>
      <c r="B38" s="1326" t="s">
        <v>716</v>
      </c>
      <c r="C38" s="1326"/>
      <c r="H38" s="21"/>
    </row>
    <row r="39" spans="1:8">
      <c r="H39" s="21"/>
    </row>
    <row r="40" spans="1:8">
      <c r="H40" s="21"/>
    </row>
    <row r="41" spans="1:8">
      <c r="H41" s="21"/>
    </row>
    <row r="42" spans="1:8">
      <c r="H42" s="21"/>
    </row>
    <row r="43" spans="1:8">
      <c r="H43" s="21"/>
    </row>
    <row r="44" spans="1:8">
      <c r="H44" s="21"/>
    </row>
    <row r="45" spans="1:8">
      <c r="H45" s="21"/>
    </row>
    <row r="46" spans="1:8">
      <c r="H46" s="21"/>
    </row>
    <row r="47" spans="1:8">
      <c r="H47" s="21"/>
    </row>
    <row r="48" spans="1:8">
      <c r="H48" s="21"/>
    </row>
    <row r="49" spans="8:8">
      <c r="H49" s="21"/>
    </row>
    <row r="50" spans="8:8">
      <c r="H50" s="21"/>
    </row>
    <row r="51" spans="8:8">
      <c r="H51" s="21"/>
    </row>
    <row r="52" spans="8:8">
      <c r="H52" s="21"/>
    </row>
    <row r="53" spans="8:8">
      <c r="H53" s="21"/>
    </row>
    <row r="54" spans="8:8">
      <c r="H54" s="21"/>
    </row>
    <row r="55" spans="8:8">
      <c r="H55" s="21"/>
    </row>
    <row r="56" spans="8:8">
      <c r="H56" s="21"/>
    </row>
  </sheetData>
  <mergeCells count="6">
    <mergeCell ref="B32:C32"/>
    <mergeCell ref="B33:C33"/>
    <mergeCell ref="B37:C37"/>
    <mergeCell ref="B38:C38"/>
    <mergeCell ref="B35:C35"/>
    <mergeCell ref="B36:C36"/>
  </mergeCells>
  <hyperlinks>
    <hyperlink ref="B37" r:id="rId1" xr:uid="{C597AEBE-E641-4C4E-A210-E634CC73E12E}"/>
  </hyperlinks>
  <pageMargins left="0.7" right="0.7" top="0.75" bottom="0.75" header="0.3" footer="0.3"/>
  <pageSetup paperSize="9" orientation="portrait" r:id="rId2"/>
  <tableParts count="3">
    <tablePart r:id="rId3"/>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6E5C-F8F0-4A72-A67C-315F087438C7}">
  <sheetPr codeName="Feuil4"/>
  <dimension ref="A1:F20"/>
  <sheetViews>
    <sheetView showGridLines="0" topLeftCell="A7" workbookViewId="0">
      <selection activeCell="C25" sqref="C25"/>
    </sheetView>
  </sheetViews>
  <sheetFormatPr baseColWidth="10" defaultColWidth="10.78515625" defaultRowHeight="24"/>
  <cols>
    <col min="1" max="1" width="15.42578125" customWidth="1"/>
    <col min="4" max="4" width="4.7109375" customWidth="1"/>
    <col min="5" max="5" width="17.78515625" customWidth="1"/>
    <col min="6" max="6" width="18.7109375" customWidth="1"/>
  </cols>
  <sheetData>
    <row r="1" spans="1:6">
      <c r="A1" s="63" t="s">
        <v>717</v>
      </c>
      <c r="B1" s="1124" t="s">
        <v>718</v>
      </c>
      <c r="C1" s="1124" t="s">
        <v>719</v>
      </c>
      <c r="D1" s="63"/>
      <c r="E1" s="63" t="s">
        <v>1025</v>
      </c>
      <c r="F1" s="63"/>
    </row>
    <row r="2" spans="1:6">
      <c r="A2" s="1127" t="s">
        <v>720</v>
      </c>
      <c r="B2" s="1128">
        <v>12</v>
      </c>
      <c r="C2" s="1128" t="s">
        <v>720</v>
      </c>
      <c r="D2" s="63"/>
      <c r="E2" s="294" t="s">
        <v>1053</v>
      </c>
      <c r="F2" s="294" t="s">
        <v>701</v>
      </c>
    </row>
    <row r="3" spans="1:6">
      <c r="A3" s="1127" t="s">
        <v>721</v>
      </c>
      <c r="B3" s="1128">
        <v>3</v>
      </c>
      <c r="C3" s="1128" t="s">
        <v>66</v>
      </c>
      <c r="D3" s="63"/>
      <c r="E3" s="63" t="s">
        <v>1026</v>
      </c>
      <c r="F3" s="71" t="s">
        <v>1042</v>
      </c>
    </row>
    <row r="4" spans="1:6">
      <c r="A4" s="1127" t="s">
        <v>722</v>
      </c>
      <c r="B4" s="1128"/>
      <c r="C4" s="1128"/>
      <c r="D4" s="63"/>
      <c r="E4" s="63" t="s">
        <v>1027</v>
      </c>
      <c r="F4" s="71" t="s">
        <v>1043</v>
      </c>
    </row>
    <row r="5" spans="1:6">
      <c r="A5" s="1127" t="s">
        <v>683</v>
      </c>
      <c r="B5" s="1128">
        <v>14</v>
      </c>
      <c r="C5" s="1128" t="s">
        <v>683</v>
      </c>
      <c r="D5" s="63"/>
      <c r="E5" s="63" t="s">
        <v>1028</v>
      </c>
      <c r="F5" s="71" t="s">
        <v>1028</v>
      </c>
    </row>
    <row r="6" spans="1:6">
      <c r="A6" s="1127" t="s">
        <v>723</v>
      </c>
      <c r="B6" s="1128"/>
      <c r="C6" s="1128"/>
      <c r="D6" s="63"/>
      <c r="E6" s="63" t="s">
        <v>1057</v>
      </c>
      <c r="F6" s="71" t="s">
        <v>1057</v>
      </c>
    </row>
    <row r="7" spans="1:6">
      <c r="A7" s="1127" t="s">
        <v>684</v>
      </c>
      <c r="B7" s="1128">
        <v>15</v>
      </c>
      <c r="C7" s="1128" t="s">
        <v>684</v>
      </c>
      <c r="D7" s="63"/>
      <c r="E7" s="63" t="s">
        <v>1029</v>
      </c>
      <c r="F7" s="71" t="s">
        <v>1029</v>
      </c>
    </row>
    <row r="8" spans="1:6">
      <c r="A8" s="1127" t="s">
        <v>724</v>
      </c>
      <c r="B8" s="1128">
        <v>4</v>
      </c>
      <c r="C8" s="1128" t="s">
        <v>67</v>
      </c>
      <c r="D8" s="63"/>
      <c r="E8" s="63" t="s">
        <v>1030</v>
      </c>
      <c r="F8" s="71" t="s">
        <v>1044</v>
      </c>
    </row>
    <row r="9" spans="1:6">
      <c r="A9" s="1127" t="s">
        <v>725</v>
      </c>
      <c r="B9" s="1128">
        <v>16</v>
      </c>
      <c r="C9" s="1128" t="s">
        <v>685</v>
      </c>
      <c r="D9" s="63"/>
      <c r="E9" s="63" t="s">
        <v>1031</v>
      </c>
      <c r="F9" s="71" t="s">
        <v>1031</v>
      </c>
    </row>
    <row r="10" spans="1:6">
      <c r="A10" s="1127" t="s">
        <v>78</v>
      </c>
      <c r="B10" s="1128">
        <v>17</v>
      </c>
      <c r="C10" s="1128" t="s">
        <v>78</v>
      </c>
      <c r="D10" s="63"/>
      <c r="E10" s="63" t="s">
        <v>1032</v>
      </c>
      <c r="F10" s="71" t="s">
        <v>1045</v>
      </c>
    </row>
    <row r="11" spans="1:6">
      <c r="A11" s="1125" t="s">
        <v>726</v>
      </c>
      <c r="B11" s="1126">
        <v>18</v>
      </c>
      <c r="C11" s="1126" t="s">
        <v>79</v>
      </c>
      <c r="D11" s="63"/>
      <c r="E11" s="63" t="s">
        <v>1033</v>
      </c>
      <c r="F11" s="71" t="s">
        <v>1033</v>
      </c>
    </row>
    <row r="12" spans="1:6">
      <c r="A12" s="292" t="s">
        <v>727</v>
      </c>
      <c r="B12" s="293">
        <v>19</v>
      </c>
      <c r="C12" s="293" t="s">
        <v>728</v>
      </c>
      <c r="D12" s="63"/>
      <c r="E12" s="63" t="s">
        <v>1034</v>
      </c>
      <c r="F12" s="71" t="s">
        <v>1046</v>
      </c>
    </row>
    <row r="13" spans="1:6">
      <c r="A13" s="292" t="s">
        <v>729</v>
      </c>
      <c r="B13" s="293">
        <v>20</v>
      </c>
      <c r="C13" s="293" t="s">
        <v>81</v>
      </c>
      <c r="D13" s="63"/>
      <c r="E13" s="63" t="s">
        <v>1035</v>
      </c>
      <c r="F13" s="71" t="s">
        <v>1035</v>
      </c>
    </row>
    <row r="14" spans="1:6">
      <c r="A14" s="292" t="s">
        <v>730</v>
      </c>
      <c r="B14" s="293">
        <v>21</v>
      </c>
      <c r="C14" s="293" t="s">
        <v>82</v>
      </c>
      <c r="D14" s="63"/>
      <c r="E14" s="63" t="s">
        <v>1036</v>
      </c>
      <c r="F14" s="71" t="s">
        <v>1047</v>
      </c>
    </row>
    <row r="15" spans="1:6">
      <c r="A15" s="292" t="s">
        <v>731</v>
      </c>
      <c r="B15" s="293">
        <v>22</v>
      </c>
      <c r="C15" s="293" t="s">
        <v>83</v>
      </c>
      <c r="D15" s="63"/>
      <c r="E15" s="63" t="s">
        <v>1037</v>
      </c>
      <c r="F15" s="71" t="s">
        <v>1048</v>
      </c>
    </row>
    <row r="16" spans="1:6">
      <c r="A16" s="292" t="s">
        <v>732</v>
      </c>
      <c r="B16" s="293">
        <v>23</v>
      </c>
      <c r="C16" s="293" t="s">
        <v>84</v>
      </c>
      <c r="D16" s="63"/>
      <c r="E16" s="63" t="s">
        <v>1038</v>
      </c>
      <c r="F16" s="71" t="s">
        <v>1049</v>
      </c>
    </row>
    <row r="17" spans="1:6">
      <c r="A17" s="292" t="s">
        <v>733</v>
      </c>
      <c r="B17" s="293">
        <v>10</v>
      </c>
      <c r="C17" s="293" t="s">
        <v>73</v>
      </c>
      <c r="D17" s="63"/>
      <c r="E17" s="63" t="s">
        <v>1039</v>
      </c>
      <c r="F17" s="71" t="s">
        <v>1049</v>
      </c>
    </row>
    <row r="18" spans="1:6">
      <c r="A18" s="292" t="s">
        <v>734</v>
      </c>
      <c r="B18" s="293">
        <v>13</v>
      </c>
      <c r="C18" s="293" t="s">
        <v>77</v>
      </c>
      <c r="D18" s="63"/>
      <c r="E18" s="63" t="s">
        <v>1040</v>
      </c>
      <c r="F18" s="71" t="s">
        <v>1050</v>
      </c>
    </row>
    <row r="19" spans="1:6">
      <c r="A19" s="292" t="s">
        <v>735</v>
      </c>
      <c r="B19" s="293">
        <v>24</v>
      </c>
      <c r="C19" s="293" t="s">
        <v>85</v>
      </c>
      <c r="D19" s="63"/>
      <c r="E19" s="63" t="s">
        <v>1041</v>
      </c>
      <c r="F19" s="71" t="s">
        <v>1051</v>
      </c>
    </row>
    <row r="20" spans="1:6">
      <c r="A20" s="292" t="s">
        <v>736</v>
      </c>
      <c r="B20" s="293"/>
      <c r="C20" s="293"/>
      <c r="D20" s="63"/>
      <c r="E20" s="63"/>
      <c r="F20" s="71" t="s">
        <v>1052</v>
      </c>
    </row>
  </sheetData>
  <pageMargins left="0.7" right="0.7" top="0.75" bottom="0.75" header="0.3" footer="0.3"/>
  <pageSetup paperSize="9" orientation="portrait" r:id="rId1"/>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3878B-4CD3-4607-8007-668E897B46D4}">
  <sheetPr codeName="Feuil1"/>
  <dimension ref="A1:F16"/>
  <sheetViews>
    <sheetView showGridLines="0" topLeftCell="A13" workbookViewId="0">
      <selection activeCell="E20" sqref="E20"/>
    </sheetView>
  </sheetViews>
  <sheetFormatPr baseColWidth="10" defaultColWidth="10.78515625" defaultRowHeight="24"/>
  <cols>
    <col min="1" max="1" width="15.0703125" customWidth="1"/>
    <col min="2" max="2" width="33.640625" customWidth="1"/>
    <col min="3" max="3" width="3.42578125" customWidth="1"/>
    <col min="4" max="4" width="22.28515625" customWidth="1"/>
  </cols>
  <sheetData>
    <row r="1" spans="1:6">
      <c r="A1" s="1129" t="s">
        <v>1010</v>
      </c>
      <c r="B1" s="63"/>
      <c r="C1" s="63"/>
      <c r="D1" s="63" t="s">
        <v>717</v>
      </c>
      <c r="E1" s="1124" t="s">
        <v>718</v>
      </c>
      <c r="F1" s="1124" t="s">
        <v>719</v>
      </c>
    </row>
    <row r="2" spans="1:6">
      <c r="A2" s="294" t="s">
        <v>1092</v>
      </c>
      <c r="B2" s="294" t="s">
        <v>3993</v>
      </c>
      <c r="C2" s="63" t="s">
        <v>699</v>
      </c>
      <c r="D2" s="1127" t="s">
        <v>1099</v>
      </c>
      <c r="E2" s="1128">
        <v>13</v>
      </c>
      <c r="F2" s="1128" t="s">
        <v>77</v>
      </c>
    </row>
    <row r="3" spans="1:6">
      <c r="A3" s="294" t="s">
        <v>1093</v>
      </c>
      <c r="B3" s="1130" t="s">
        <v>1097</v>
      </c>
      <c r="C3" s="63" t="s">
        <v>699</v>
      </c>
      <c r="D3" s="1127" t="s">
        <v>1098</v>
      </c>
      <c r="E3" s="1128">
        <v>12</v>
      </c>
      <c r="F3" s="1128" t="s">
        <v>682</v>
      </c>
    </row>
    <row r="4" spans="1:6">
      <c r="A4" s="294" t="s">
        <v>1096</v>
      </c>
      <c r="B4" s="294" t="s">
        <v>1095</v>
      </c>
      <c r="C4" s="63" t="s">
        <v>699</v>
      </c>
      <c r="D4" s="1127" t="s">
        <v>1100</v>
      </c>
      <c r="E4" s="1128">
        <v>1</v>
      </c>
      <c r="F4" s="1128" t="s">
        <v>64</v>
      </c>
    </row>
    <row r="5" spans="1:6">
      <c r="A5" s="294" t="s">
        <v>1094</v>
      </c>
      <c r="B5" s="1131" t="s">
        <v>2488</v>
      </c>
      <c r="C5" s="63" t="s">
        <v>699</v>
      </c>
      <c r="D5" s="1127" t="s">
        <v>2470</v>
      </c>
      <c r="E5" s="1128">
        <v>2</v>
      </c>
      <c r="F5" s="1128" t="s">
        <v>65</v>
      </c>
    </row>
    <row r="6" spans="1:6">
      <c r="A6" s="294" t="s">
        <v>1131</v>
      </c>
      <c r="B6" s="294" t="s">
        <v>1130</v>
      </c>
      <c r="C6" s="63"/>
      <c r="D6" s="1127" t="s">
        <v>2472</v>
      </c>
      <c r="E6" s="1128">
        <v>3</v>
      </c>
      <c r="F6" s="1128" t="s">
        <v>66</v>
      </c>
    </row>
    <row r="7" spans="1:6">
      <c r="A7" s="294" t="s">
        <v>1133</v>
      </c>
      <c r="B7" s="295" t="s">
        <v>1134</v>
      </c>
      <c r="C7" s="63"/>
      <c r="D7" s="1127" t="s">
        <v>2473</v>
      </c>
      <c r="E7" s="1132">
        <v>4</v>
      </c>
      <c r="F7" s="1132" t="s">
        <v>2471</v>
      </c>
    </row>
    <row r="8" spans="1:6">
      <c r="A8" s="63"/>
      <c r="B8" s="63"/>
      <c r="C8" s="63"/>
      <c r="D8" s="1127" t="s">
        <v>2486</v>
      </c>
      <c r="E8" s="1128">
        <v>6</v>
      </c>
      <c r="F8" s="1128" t="s">
        <v>2487</v>
      </c>
    </row>
    <row r="9" spans="1:6">
      <c r="A9" s="63" t="s">
        <v>675</v>
      </c>
      <c r="B9" s="63"/>
      <c r="C9" s="63"/>
      <c r="D9" s="1127" t="s">
        <v>2485</v>
      </c>
      <c r="E9" s="1128">
        <v>10</v>
      </c>
      <c r="F9" s="1128" t="s">
        <v>73</v>
      </c>
    </row>
    <row r="10" spans="1:6">
      <c r="A10" s="63" t="s">
        <v>1106</v>
      </c>
      <c r="B10" s="63"/>
      <c r="C10" s="63"/>
      <c r="D10" s="1127" t="s">
        <v>2484</v>
      </c>
      <c r="E10" s="1128">
        <v>16</v>
      </c>
      <c r="F10" s="1128" t="s">
        <v>1107</v>
      </c>
    </row>
    <row r="11" spans="1:6">
      <c r="A11" s="63" t="s">
        <v>1105</v>
      </c>
      <c r="B11" s="63"/>
      <c r="C11" s="63"/>
      <c r="D11" s="1125" t="s">
        <v>1101</v>
      </c>
      <c r="E11" s="1126">
        <v>14</v>
      </c>
      <c r="F11" s="1126" t="s">
        <v>1108</v>
      </c>
    </row>
    <row r="12" spans="1:6">
      <c r="A12" s="63" t="s">
        <v>1104</v>
      </c>
      <c r="B12" s="63"/>
      <c r="C12" s="63"/>
      <c r="D12" s="292" t="s">
        <v>2483</v>
      </c>
      <c r="E12" s="293">
        <v>20</v>
      </c>
      <c r="F12" s="293" t="s">
        <v>1110</v>
      </c>
    </row>
    <row r="13" spans="1:6">
      <c r="A13" s="63" t="s">
        <v>1103</v>
      </c>
      <c r="B13" s="63"/>
      <c r="C13" s="63"/>
      <c r="D13" s="292" t="s">
        <v>2482</v>
      </c>
      <c r="E13" s="293">
        <v>21</v>
      </c>
      <c r="F13" s="293" t="s">
        <v>1111</v>
      </c>
    </row>
    <row r="14" spans="1:6">
      <c r="A14" s="63"/>
      <c r="B14" s="63"/>
      <c r="C14" s="63"/>
      <c r="D14" s="292" t="s">
        <v>2481</v>
      </c>
      <c r="E14" s="293">
        <v>22</v>
      </c>
      <c r="F14" s="293" t="s">
        <v>1112</v>
      </c>
    </row>
    <row r="15" spans="1:6">
      <c r="A15" t="s">
        <v>3424</v>
      </c>
      <c r="B15" t="s">
        <v>4036</v>
      </c>
      <c r="D15" s="292" t="s">
        <v>1102</v>
      </c>
      <c r="E15" s="293">
        <v>5</v>
      </c>
      <c r="F15" s="293" t="s">
        <v>1109</v>
      </c>
    </row>
    <row r="16" spans="1:6">
      <c r="A16" t="s">
        <v>3425</v>
      </c>
      <c r="B16" s="447">
        <v>46081.570821759262</v>
      </c>
    </row>
  </sheetData>
  <hyperlinks>
    <hyperlink ref="B5" r:id="rId1" display="https://app.guesty.com/api/reservations-reports/owner-portal?smartView=true&amp;columns=source+status+checkIn+checkOut+money.ownerRevenue+money.hostPayout+guest.fullName+guestsCount+numberOfGuests.numberOfAdults+numberOfGuests.numberOfChildren+numberOfGuests.numberOfInfants+listingNickname+listing+integration.platform&amp;filters=%7B%22status%22%3A%7B%22%40in%22%3A%5B%22confirmed%22%2C%22reserved%22%2C%22awaiting_payment%22%5D%7D%7D&amp;skip=0&amp;limit=250&amp;sort=-checkIn&amp;lang=fr-FR&amp;timezone=Europe%2FParis" xr:uid="{7B543344-248E-49E6-8D18-338868E0C573}"/>
    <hyperlink ref="B7" r:id="rId2" xr:uid="{90856ACF-826B-4390-B519-F3BE0C2983BF}"/>
  </hyperlinks>
  <pageMargins left="0.7" right="0.7" top="0.75" bottom="0.75" header="0.3" footer="0.3"/>
  <pageSetup paperSize="9" orientation="portrait" horizontalDpi="0" verticalDpi="0"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89E46-A945-405F-8BCA-BCEDB299EABF}">
  <sheetPr codeName="Feuil15"/>
  <dimension ref="A1:F367"/>
  <sheetViews>
    <sheetView showGridLines="0" topLeftCell="A274" zoomScale="85" zoomScaleNormal="85" workbookViewId="0">
      <selection activeCell="I12" sqref="I12"/>
    </sheetView>
  </sheetViews>
  <sheetFormatPr baseColWidth="10" defaultColWidth="10.78515625" defaultRowHeight="24"/>
  <cols>
    <col min="1" max="1" width="10.78515625" style="1"/>
    <col min="2" max="5" width="10.78515625" style="2"/>
  </cols>
  <sheetData>
    <row r="1" spans="1:6">
      <c r="A1" s="1133" t="s">
        <v>880</v>
      </c>
      <c r="B1" s="569" t="s">
        <v>8</v>
      </c>
      <c r="C1" s="569" t="s">
        <v>10</v>
      </c>
      <c r="D1" s="569" t="s">
        <v>13</v>
      </c>
      <c r="E1" s="607" t="s">
        <v>18</v>
      </c>
      <c r="F1" s="602" t="s">
        <v>15</v>
      </c>
    </row>
    <row r="2" spans="1:6">
      <c r="A2" s="441">
        <v>46080</v>
      </c>
      <c r="B2" s="442"/>
      <c r="C2" s="442"/>
      <c r="D2" s="442"/>
      <c r="E2" s="443"/>
      <c r="F2" s="446"/>
    </row>
    <row r="3" spans="1:6">
      <c r="A3" s="439">
        <v>46081</v>
      </c>
      <c r="B3" s="300"/>
      <c r="C3" s="300"/>
      <c r="D3" s="300"/>
      <c r="E3" s="440"/>
      <c r="F3" s="300"/>
    </row>
    <row r="4" spans="1:6">
      <c r="A4" s="439">
        <v>46082</v>
      </c>
      <c r="B4" s="300">
        <v>180</v>
      </c>
      <c r="C4" s="300"/>
      <c r="D4" s="300"/>
      <c r="E4" s="440"/>
      <c r="F4" s="300"/>
    </row>
    <row r="5" spans="1:6">
      <c r="A5" s="439">
        <v>46083</v>
      </c>
      <c r="B5" s="300">
        <v>180</v>
      </c>
      <c r="C5" s="300"/>
      <c r="D5" s="300"/>
      <c r="E5" s="440"/>
      <c r="F5" s="300"/>
    </row>
    <row r="6" spans="1:6">
      <c r="A6" s="439">
        <v>46084</v>
      </c>
      <c r="B6" s="300">
        <v>180</v>
      </c>
      <c r="C6" s="300"/>
      <c r="D6" s="300"/>
      <c r="E6" s="440"/>
      <c r="F6" s="300"/>
    </row>
    <row r="7" spans="1:6">
      <c r="A7" s="439">
        <v>46085</v>
      </c>
      <c r="B7" s="300"/>
      <c r="C7" s="300"/>
      <c r="D7" s="300"/>
      <c r="E7" s="440"/>
      <c r="F7" s="300"/>
    </row>
    <row r="8" spans="1:6">
      <c r="A8" s="439">
        <v>46086</v>
      </c>
      <c r="B8" s="300"/>
      <c r="C8" s="300"/>
      <c r="D8" s="300"/>
      <c r="E8" s="440"/>
      <c r="F8" s="300"/>
    </row>
    <row r="9" spans="1:6">
      <c r="A9" s="439">
        <v>46087</v>
      </c>
      <c r="B9" s="300"/>
      <c r="C9" s="300"/>
      <c r="D9" s="300"/>
      <c r="E9" s="440"/>
      <c r="F9" s="300"/>
    </row>
    <row r="10" spans="1:6">
      <c r="A10" s="439">
        <v>46088</v>
      </c>
      <c r="B10" s="300"/>
      <c r="C10" s="300"/>
      <c r="D10" s="300"/>
      <c r="E10" s="440"/>
      <c r="F10" s="300"/>
    </row>
    <row r="11" spans="1:6">
      <c r="A11" s="439">
        <v>46089</v>
      </c>
      <c r="B11" s="300"/>
      <c r="C11" s="300"/>
      <c r="D11" s="300"/>
      <c r="E11" s="440"/>
      <c r="F11" s="300"/>
    </row>
    <row r="12" spans="1:6">
      <c r="A12" s="439">
        <v>46090</v>
      </c>
      <c r="B12" s="300"/>
      <c r="C12" s="300"/>
      <c r="D12" s="300"/>
      <c r="E12" s="440"/>
      <c r="F12" s="300"/>
    </row>
    <row r="13" spans="1:6">
      <c r="A13" s="439">
        <v>46091</v>
      </c>
      <c r="B13" s="300"/>
      <c r="C13" s="300"/>
      <c r="D13" s="300"/>
      <c r="E13" s="440"/>
      <c r="F13" s="300"/>
    </row>
    <row r="14" spans="1:6">
      <c r="A14" s="439">
        <v>46092</v>
      </c>
      <c r="B14" s="300"/>
      <c r="C14" s="300"/>
      <c r="D14" s="300"/>
      <c r="E14" s="440"/>
      <c r="F14" s="300"/>
    </row>
    <row r="15" spans="1:6">
      <c r="A15" s="439">
        <v>46093</v>
      </c>
      <c r="B15" s="300"/>
      <c r="C15" s="300"/>
      <c r="D15" s="300"/>
      <c r="E15" s="440"/>
      <c r="F15" s="300"/>
    </row>
    <row r="16" spans="1:6">
      <c r="A16" s="439">
        <v>46094</v>
      </c>
      <c r="B16" s="300"/>
      <c r="C16" s="300"/>
      <c r="D16" s="300"/>
      <c r="E16" s="440"/>
      <c r="F16" s="300"/>
    </row>
    <row r="17" spans="1:6">
      <c r="A17" s="439">
        <v>46095</v>
      </c>
      <c r="B17" s="300"/>
      <c r="C17" s="300"/>
      <c r="D17" s="300"/>
      <c r="E17" s="440"/>
      <c r="F17" s="300"/>
    </row>
    <row r="18" spans="1:6">
      <c r="A18" s="439">
        <v>46096</v>
      </c>
      <c r="B18" s="300"/>
      <c r="C18" s="300"/>
      <c r="D18" s="300"/>
      <c r="E18" s="440"/>
      <c r="F18" s="300"/>
    </row>
    <row r="19" spans="1:6">
      <c r="A19" s="439">
        <v>46097</v>
      </c>
      <c r="B19" s="300"/>
      <c r="C19" s="300"/>
      <c r="D19" s="300"/>
      <c r="E19" s="440"/>
      <c r="F19" s="300"/>
    </row>
    <row r="20" spans="1:6">
      <c r="A20" s="439">
        <v>46098</v>
      </c>
      <c r="B20" s="300"/>
      <c r="C20" s="300">
        <v>159</v>
      </c>
      <c r="D20" s="300">
        <v>159</v>
      </c>
      <c r="E20" s="440"/>
      <c r="F20" s="300"/>
    </row>
    <row r="21" spans="1:6">
      <c r="A21" s="439">
        <v>46099</v>
      </c>
      <c r="B21" s="300"/>
      <c r="C21" s="300"/>
      <c r="D21" s="300"/>
      <c r="E21" s="440"/>
      <c r="F21" s="300"/>
    </row>
    <row r="22" spans="1:6">
      <c r="A22" s="439">
        <v>46100</v>
      </c>
      <c r="B22" s="300"/>
      <c r="C22" s="300"/>
      <c r="D22" s="300"/>
      <c r="E22" s="440"/>
      <c r="F22" s="300"/>
    </row>
    <row r="23" spans="1:6">
      <c r="A23" s="439">
        <v>46101</v>
      </c>
      <c r="B23" s="300"/>
      <c r="C23" s="300"/>
      <c r="D23" s="300"/>
      <c r="E23" s="440"/>
      <c r="F23" s="300"/>
    </row>
    <row r="24" spans="1:6">
      <c r="A24" s="439">
        <v>46102</v>
      </c>
      <c r="B24" s="300"/>
      <c r="C24" s="300"/>
      <c r="D24" s="300"/>
      <c r="E24" s="440"/>
      <c r="F24" s="300"/>
    </row>
    <row r="25" spans="1:6">
      <c r="A25" s="439">
        <v>46103</v>
      </c>
      <c r="B25" s="300"/>
      <c r="C25" s="300"/>
      <c r="D25" s="300"/>
      <c r="E25" s="440"/>
      <c r="F25" s="300"/>
    </row>
    <row r="26" spans="1:6">
      <c r="A26" s="439">
        <v>46104</v>
      </c>
      <c r="B26" s="300"/>
      <c r="C26" s="300">
        <v>190</v>
      </c>
      <c r="D26" s="300">
        <v>190</v>
      </c>
      <c r="E26" s="440"/>
      <c r="F26" s="300"/>
    </row>
    <row r="27" spans="1:6">
      <c r="A27" s="439">
        <v>46105</v>
      </c>
      <c r="B27" s="300">
        <v>231</v>
      </c>
      <c r="C27" s="300">
        <v>194</v>
      </c>
      <c r="D27" s="300">
        <v>194</v>
      </c>
      <c r="E27" s="440"/>
      <c r="F27" s="300"/>
    </row>
    <row r="28" spans="1:6">
      <c r="A28" s="439">
        <v>46106</v>
      </c>
      <c r="B28" s="300">
        <v>233</v>
      </c>
      <c r="C28" s="300">
        <v>198</v>
      </c>
      <c r="D28" s="300">
        <v>198</v>
      </c>
      <c r="E28" s="440"/>
      <c r="F28" s="300"/>
    </row>
    <row r="29" spans="1:6">
      <c r="A29" s="439">
        <v>46107</v>
      </c>
      <c r="B29" s="300"/>
      <c r="C29" s="300">
        <v>211</v>
      </c>
      <c r="D29" s="300">
        <v>211</v>
      </c>
      <c r="E29" s="440"/>
      <c r="F29" s="300"/>
    </row>
    <row r="30" spans="1:6">
      <c r="A30" s="439">
        <v>46108</v>
      </c>
      <c r="B30" s="300"/>
      <c r="C30" s="300">
        <v>226</v>
      </c>
      <c r="D30" s="300">
        <v>226</v>
      </c>
      <c r="E30" s="440"/>
      <c r="F30" s="300"/>
    </row>
    <row r="31" spans="1:6">
      <c r="A31" s="439">
        <v>46109</v>
      </c>
      <c r="B31" s="300"/>
      <c r="C31" s="300"/>
      <c r="D31" s="300"/>
      <c r="E31" s="440"/>
      <c r="F31" s="300"/>
    </row>
    <row r="32" spans="1:6">
      <c r="A32" s="439">
        <v>46110</v>
      </c>
      <c r="B32" s="300"/>
      <c r="C32" s="300"/>
      <c r="D32" s="300"/>
      <c r="E32" s="440"/>
      <c r="F32" s="300"/>
    </row>
    <row r="33" spans="1:6">
      <c r="A33" s="439">
        <v>46111</v>
      </c>
      <c r="B33" s="300"/>
      <c r="C33" s="300">
        <v>191</v>
      </c>
      <c r="D33" s="300">
        <v>191</v>
      </c>
      <c r="E33" s="440"/>
      <c r="F33" s="300"/>
    </row>
    <row r="34" spans="1:6">
      <c r="A34" s="439">
        <v>46112</v>
      </c>
      <c r="B34" s="300"/>
      <c r="C34" s="300">
        <v>198</v>
      </c>
      <c r="D34" s="300">
        <v>198</v>
      </c>
      <c r="E34" s="440"/>
      <c r="F34" s="300"/>
    </row>
    <row r="35" spans="1:6">
      <c r="A35" s="439">
        <v>46113</v>
      </c>
      <c r="B35" s="300"/>
      <c r="C35" s="300"/>
      <c r="D35" s="300"/>
      <c r="E35" s="440"/>
      <c r="F35" s="300"/>
    </row>
    <row r="36" spans="1:6">
      <c r="A36" s="439">
        <v>46114</v>
      </c>
      <c r="B36" s="300"/>
      <c r="C36" s="300"/>
      <c r="D36" s="300"/>
      <c r="E36" s="440"/>
      <c r="F36" s="300"/>
    </row>
    <row r="37" spans="1:6">
      <c r="A37" s="439">
        <v>46115</v>
      </c>
      <c r="B37" s="300">
        <v>335</v>
      </c>
      <c r="C37" s="300"/>
      <c r="D37" s="300"/>
      <c r="E37" s="440"/>
      <c r="F37" s="300"/>
    </row>
    <row r="38" spans="1:6">
      <c r="A38" s="439">
        <v>46116</v>
      </c>
      <c r="B38" s="300">
        <v>328</v>
      </c>
      <c r="C38" s="300"/>
      <c r="D38" s="300"/>
      <c r="E38" s="440"/>
      <c r="F38" s="300"/>
    </row>
    <row r="39" spans="1:6">
      <c r="A39" s="439">
        <v>46117</v>
      </c>
      <c r="B39" s="300"/>
      <c r="C39" s="300">
        <v>228</v>
      </c>
      <c r="D39" s="300">
        <v>228</v>
      </c>
      <c r="E39" s="440"/>
      <c r="F39" s="300"/>
    </row>
    <row r="40" spans="1:6">
      <c r="A40" s="439">
        <v>46118</v>
      </c>
      <c r="B40" s="300"/>
      <c r="C40" s="300">
        <v>213</v>
      </c>
      <c r="D40" s="300">
        <v>213</v>
      </c>
      <c r="E40" s="440"/>
      <c r="F40" s="300"/>
    </row>
    <row r="41" spans="1:6">
      <c r="A41" s="439">
        <v>46119</v>
      </c>
      <c r="B41" s="300"/>
      <c r="C41" s="300"/>
      <c r="D41" s="300"/>
      <c r="E41" s="440"/>
      <c r="F41" s="300"/>
    </row>
    <row r="42" spans="1:6">
      <c r="A42" s="439">
        <v>46120</v>
      </c>
      <c r="B42" s="300"/>
      <c r="C42" s="300"/>
      <c r="D42" s="300"/>
      <c r="E42" s="440"/>
      <c r="F42" s="300"/>
    </row>
    <row r="43" spans="1:6">
      <c r="A43" s="439">
        <v>46121</v>
      </c>
      <c r="B43" s="300"/>
      <c r="C43" s="300"/>
      <c r="D43" s="300"/>
      <c r="E43" s="440"/>
      <c r="F43" s="300"/>
    </row>
    <row r="44" spans="1:6">
      <c r="A44" s="439">
        <v>46122</v>
      </c>
      <c r="B44" s="300"/>
      <c r="C44" s="300">
        <v>272</v>
      </c>
      <c r="D44" s="300">
        <v>272</v>
      </c>
      <c r="E44" s="440"/>
      <c r="F44" s="300"/>
    </row>
    <row r="45" spans="1:6">
      <c r="A45" s="439">
        <v>46123</v>
      </c>
      <c r="B45" s="300"/>
      <c r="C45" s="300">
        <v>279</v>
      </c>
      <c r="D45" s="300">
        <v>279</v>
      </c>
      <c r="E45" s="440"/>
      <c r="F45" s="300"/>
    </row>
    <row r="46" spans="1:6">
      <c r="A46" s="439">
        <v>46124</v>
      </c>
      <c r="B46" s="300"/>
      <c r="C46" s="300">
        <v>265</v>
      </c>
      <c r="D46" s="300">
        <v>265</v>
      </c>
      <c r="E46" s="440"/>
      <c r="F46" s="300"/>
    </row>
    <row r="47" spans="1:6">
      <c r="A47" s="439">
        <v>46125</v>
      </c>
      <c r="B47" s="300"/>
      <c r="C47" s="300">
        <v>259</v>
      </c>
      <c r="D47" s="300">
        <v>259</v>
      </c>
      <c r="E47" s="440"/>
      <c r="F47" s="300"/>
    </row>
    <row r="48" spans="1:6">
      <c r="A48" s="439">
        <v>46126</v>
      </c>
      <c r="B48" s="300"/>
      <c r="C48" s="300">
        <v>257</v>
      </c>
      <c r="D48" s="300">
        <v>257</v>
      </c>
      <c r="E48" s="440"/>
      <c r="F48" s="300"/>
    </row>
    <row r="49" spans="1:6">
      <c r="A49" s="439">
        <v>46127</v>
      </c>
      <c r="B49" s="300"/>
      <c r="C49" s="300">
        <v>257</v>
      </c>
      <c r="D49" s="300">
        <v>257</v>
      </c>
      <c r="E49" s="440"/>
      <c r="F49" s="300"/>
    </row>
    <row r="50" spans="1:6">
      <c r="A50" s="439">
        <v>46128</v>
      </c>
      <c r="B50" s="300"/>
      <c r="C50" s="300"/>
      <c r="D50" s="300"/>
      <c r="E50" s="440"/>
      <c r="F50" s="300"/>
    </row>
    <row r="51" spans="1:6">
      <c r="A51" s="439">
        <v>46129</v>
      </c>
      <c r="B51" s="300"/>
      <c r="C51" s="300"/>
      <c r="D51" s="300"/>
      <c r="E51" s="440"/>
      <c r="F51" s="300"/>
    </row>
    <row r="52" spans="1:6">
      <c r="A52" s="439">
        <v>46130</v>
      </c>
      <c r="B52" s="300"/>
      <c r="C52" s="300"/>
      <c r="D52" s="300"/>
      <c r="E52" s="440"/>
      <c r="F52" s="300"/>
    </row>
    <row r="53" spans="1:6">
      <c r="A53" s="439">
        <v>46131</v>
      </c>
      <c r="B53" s="300">
        <v>267</v>
      </c>
      <c r="C53" s="300"/>
      <c r="D53" s="300"/>
      <c r="E53" s="440"/>
      <c r="F53" s="300"/>
    </row>
    <row r="54" spans="1:6">
      <c r="A54" s="439">
        <v>46132</v>
      </c>
      <c r="B54" s="300">
        <v>260</v>
      </c>
      <c r="C54" s="300"/>
      <c r="D54" s="300"/>
      <c r="E54" s="440"/>
      <c r="F54" s="300"/>
    </row>
    <row r="55" spans="1:6">
      <c r="A55" s="439">
        <v>46133</v>
      </c>
      <c r="B55" s="300">
        <v>268</v>
      </c>
      <c r="C55" s="300">
        <v>230</v>
      </c>
      <c r="D55" s="300">
        <v>230</v>
      </c>
      <c r="E55" s="440"/>
      <c r="F55" s="300"/>
    </row>
    <row r="56" spans="1:6">
      <c r="A56" s="439">
        <v>46134</v>
      </c>
      <c r="B56" s="300"/>
      <c r="C56" s="300">
        <v>237</v>
      </c>
      <c r="D56" s="300">
        <v>237</v>
      </c>
      <c r="E56" s="440"/>
      <c r="F56" s="300"/>
    </row>
    <row r="57" spans="1:6">
      <c r="A57" s="439">
        <v>46135</v>
      </c>
      <c r="B57" s="300"/>
      <c r="C57" s="300">
        <v>245</v>
      </c>
      <c r="D57" s="300">
        <v>245</v>
      </c>
      <c r="E57" s="440"/>
      <c r="F57" s="300"/>
    </row>
    <row r="58" spans="1:6">
      <c r="A58" s="439">
        <v>46136</v>
      </c>
      <c r="B58" s="300"/>
      <c r="C58" s="300"/>
      <c r="D58" s="300"/>
      <c r="E58" s="440"/>
      <c r="F58" s="300"/>
    </row>
    <row r="59" spans="1:6">
      <c r="A59" s="439">
        <v>46137</v>
      </c>
      <c r="B59" s="300"/>
      <c r="C59" s="300"/>
      <c r="D59" s="300"/>
      <c r="E59" s="440"/>
      <c r="F59" s="300"/>
    </row>
    <row r="60" spans="1:6">
      <c r="A60" s="439">
        <v>46138</v>
      </c>
      <c r="B60" s="300">
        <v>259</v>
      </c>
      <c r="C60" s="300"/>
      <c r="D60" s="300"/>
      <c r="E60" s="440"/>
      <c r="F60" s="300"/>
    </row>
    <row r="61" spans="1:6">
      <c r="A61" s="439">
        <v>46139</v>
      </c>
      <c r="B61" s="300">
        <v>260</v>
      </c>
      <c r="C61" s="300"/>
      <c r="D61" s="300"/>
      <c r="E61" s="440"/>
      <c r="F61" s="300"/>
    </row>
    <row r="62" spans="1:6">
      <c r="A62" s="439">
        <v>46140</v>
      </c>
      <c r="B62" s="300">
        <v>270</v>
      </c>
      <c r="C62" s="300"/>
      <c r="D62" s="300"/>
      <c r="E62" s="440"/>
      <c r="F62" s="300"/>
    </row>
    <row r="63" spans="1:6">
      <c r="A63" s="439">
        <v>46141</v>
      </c>
      <c r="B63" s="300"/>
      <c r="C63" s="300">
        <v>178</v>
      </c>
      <c r="D63" s="300">
        <v>178</v>
      </c>
      <c r="E63" s="440"/>
      <c r="F63" s="300"/>
    </row>
    <row r="64" spans="1:6">
      <c r="A64" s="439">
        <v>46142</v>
      </c>
      <c r="B64" s="300"/>
      <c r="C64" s="300"/>
      <c r="D64" s="300"/>
      <c r="E64" s="440"/>
      <c r="F64" s="300"/>
    </row>
    <row r="65" spans="1:6">
      <c r="A65" s="439">
        <v>46143</v>
      </c>
      <c r="B65" s="300"/>
      <c r="C65" s="300"/>
      <c r="D65" s="300"/>
      <c r="E65" s="440"/>
      <c r="F65" s="300"/>
    </row>
    <row r="66" spans="1:6">
      <c r="A66" s="439">
        <v>46144</v>
      </c>
      <c r="B66" s="300"/>
      <c r="C66" s="300"/>
      <c r="D66" s="300"/>
      <c r="E66" s="440"/>
      <c r="F66" s="300"/>
    </row>
    <row r="67" spans="1:6">
      <c r="A67" s="439">
        <v>46145</v>
      </c>
      <c r="B67" s="300"/>
      <c r="C67" s="300">
        <v>256</v>
      </c>
      <c r="D67" s="300">
        <v>256</v>
      </c>
      <c r="E67" s="440"/>
      <c r="F67" s="300"/>
    </row>
    <row r="68" spans="1:6">
      <c r="A68" s="439">
        <v>46146</v>
      </c>
      <c r="B68" s="300"/>
      <c r="C68" s="300">
        <v>254</v>
      </c>
      <c r="D68" s="300">
        <v>254</v>
      </c>
      <c r="E68" s="440"/>
      <c r="F68" s="300"/>
    </row>
    <row r="69" spans="1:6">
      <c r="A69" s="439">
        <v>46147</v>
      </c>
      <c r="B69" s="300"/>
      <c r="C69" s="300">
        <v>222</v>
      </c>
      <c r="D69" s="300">
        <v>222</v>
      </c>
      <c r="E69" s="440"/>
      <c r="F69" s="300"/>
    </row>
    <row r="70" spans="1:6">
      <c r="A70" s="439">
        <v>46148</v>
      </c>
      <c r="B70" s="300">
        <v>385</v>
      </c>
      <c r="C70" s="300">
        <v>239</v>
      </c>
      <c r="D70" s="300">
        <v>239</v>
      </c>
      <c r="E70" s="440"/>
      <c r="F70" s="300"/>
    </row>
    <row r="71" spans="1:6">
      <c r="A71" s="439">
        <v>46149</v>
      </c>
      <c r="B71" s="300">
        <v>396</v>
      </c>
      <c r="C71" s="300">
        <v>239</v>
      </c>
      <c r="D71" s="300">
        <v>239</v>
      </c>
      <c r="E71" s="440"/>
      <c r="F71" s="300"/>
    </row>
    <row r="72" spans="1:6">
      <c r="A72" s="439">
        <v>46150</v>
      </c>
      <c r="B72" s="300">
        <v>396</v>
      </c>
      <c r="C72" s="300"/>
      <c r="D72" s="300"/>
      <c r="E72" s="440"/>
      <c r="F72" s="300"/>
    </row>
    <row r="73" spans="1:6">
      <c r="A73" s="439">
        <v>46151</v>
      </c>
      <c r="B73" s="300">
        <v>387</v>
      </c>
      <c r="C73" s="300"/>
      <c r="D73" s="300"/>
      <c r="E73" s="440"/>
      <c r="F73" s="300"/>
    </row>
    <row r="74" spans="1:6">
      <c r="A74" s="439">
        <v>46152</v>
      </c>
      <c r="B74" s="300">
        <v>368</v>
      </c>
      <c r="C74" s="300"/>
      <c r="D74" s="300"/>
      <c r="E74" s="440"/>
      <c r="F74" s="300"/>
    </row>
    <row r="75" spans="1:6">
      <c r="A75" s="439">
        <v>46153</v>
      </c>
      <c r="B75" s="300"/>
      <c r="C75" s="300"/>
      <c r="D75" s="300"/>
      <c r="E75" s="440"/>
      <c r="F75" s="300"/>
    </row>
    <row r="76" spans="1:6">
      <c r="A76" s="439">
        <v>46154</v>
      </c>
      <c r="B76" s="300"/>
      <c r="C76" s="300"/>
      <c r="D76" s="300"/>
      <c r="E76" s="440"/>
      <c r="F76" s="300"/>
    </row>
    <row r="77" spans="1:6">
      <c r="A77" s="439">
        <v>46155</v>
      </c>
      <c r="B77" s="300"/>
      <c r="C77" s="300"/>
      <c r="D77" s="300"/>
      <c r="E77" s="440"/>
      <c r="F77" s="300"/>
    </row>
    <row r="78" spans="1:6">
      <c r="A78" s="439">
        <v>46156</v>
      </c>
      <c r="B78" s="300"/>
      <c r="C78" s="300">
        <v>227</v>
      </c>
      <c r="D78" s="300">
        <v>227</v>
      </c>
      <c r="E78" s="440"/>
      <c r="F78" s="300"/>
    </row>
    <row r="79" spans="1:6">
      <c r="A79" s="439">
        <v>46157</v>
      </c>
      <c r="B79" s="300"/>
      <c r="C79" s="300"/>
      <c r="D79" s="300"/>
      <c r="E79" s="440"/>
      <c r="F79" s="300"/>
    </row>
    <row r="80" spans="1:6">
      <c r="A80" s="439">
        <v>46158</v>
      </c>
      <c r="B80" s="300"/>
      <c r="C80" s="300"/>
      <c r="D80" s="300"/>
      <c r="E80" s="440"/>
      <c r="F80" s="300"/>
    </row>
    <row r="81" spans="1:6">
      <c r="A81" s="439">
        <v>46159</v>
      </c>
      <c r="B81" s="300">
        <v>300</v>
      </c>
      <c r="C81" s="300"/>
      <c r="D81" s="300"/>
      <c r="E81" s="440"/>
      <c r="F81" s="300"/>
    </row>
    <row r="82" spans="1:6">
      <c r="A82" s="439">
        <v>46160</v>
      </c>
      <c r="B82" s="300"/>
      <c r="C82" s="300">
        <v>244</v>
      </c>
      <c r="D82" s="300">
        <v>244</v>
      </c>
      <c r="E82" s="440"/>
      <c r="F82" s="300"/>
    </row>
    <row r="83" spans="1:6">
      <c r="A83" s="439">
        <v>46161</v>
      </c>
      <c r="B83" s="300"/>
      <c r="C83" s="300">
        <v>259</v>
      </c>
      <c r="D83" s="300">
        <v>259</v>
      </c>
      <c r="E83" s="440"/>
      <c r="F83" s="300"/>
    </row>
    <row r="84" spans="1:6">
      <c r="A84" s="439">
        <v>46162</v>
      </c>
      <c r="B84" s="300"/>
      <c r="C84" s="300">
        <v>297</v>
      </c>
      <c r="D84" s="300">
        <v>297</v>
      </c>
      <c r="E84" s="440"/>
      <c r="F84" s="300"/>
    </row>
    <row r="85" spans="1:6">
      <c r="A85" s="439">
        <v>46163</v>
      </c>
      <c r="B85" s="300">
        <v>381</v>
      </c>
      <c r="C85" s="300">
        <v>297</v>
      </c>
      <c r="D85" s="300">
        <v>297</v>
      </c>
      <c r="E85" s="440"/>
      <c r="F85" s="300"/>
    </row>
    <row r="86" spans="1:6">
      <c r="A86" s="439">
        <v>46164</v>
      </c>
      <c r="B86" s="300">
        <v>394</v>
      </c>
      <c r="C86" s="300">
        <v>297</v>
      </c>
      <c r="D86" s="300">
        <v>297</v>
      </c>
      <c r="E86" s="440"/>
      <c r="F86" s="300"/>
    </row>
    <row r="87" spans="1:6">
      <c r="A87" s="439">
        <v>46165</v>
      </c>
      <c r="B87" s="300">
        <v>396</v>
      </c>
      <c r="C87" s="300">
        <v>297</v>
      </c>
      <c r="D87" s="300">
        <v>297</v>
      </c>
      <c r="E87" s="440"/>
      <c r="F87" s="300"/>
    </row>
    <row r="88" spans="1:6">
      <c r="A88" s="439">
        <v>46166</v>
      </c>
      <c r="B88" s="300"/>
      <c r="C88" s="300">
        <v>297</v>
      </c>
      <c r="D88" s="300">
        <v>297</v>
      </c>
      <c r="E88" s="440"/>
      <c r="F88" s="300"/>
    </row>
    <row r="89" spans="1:6">
      <c r="A89" s="439">
        <v>46167</v>
      </c>
      <c r="B89" s="300"/>
      <c r="C89" s="300">
        <v>297</v>
      </c>
      <c r="D89" s="300">
        <v>297</v>
      </c>
      <c r="E89" s="440"/>
      <c r="F89" s="300"/>
    </row>
    <row r="90" spans="1:6">
      <c r="A90" s="439">
        <v>46168</v>
      </c>
      <c r="B90" s="300"/>
      <c r="C90" s="300">
        <v>297</v>
      </c>
      <c r="D90" s="300">
        <v>297</v>
      </c>
      <c r="E90" s="440"/>
      <c r="F90" s="300"/>
    </row>
    <row r="91" spans="1:6">
      <c r="A91" s="439">
        <v>46169</v>
      </c>
      <c r="B91" s="300"/>
      <c r="C91" s="300"/>
      <c r="D91" s="300"/>
      <c r="E91" s="440"/>
      <c r="F91" s="300"/>
    </row>
    <row r="92" spans="1:6">
      <c r="A92" s="439">
        <v>46170</v>
      </c>
      <c r="B92" s="300"/>
      <c r="C92" s="300"/>
      <c r="D92" s="300"/>
      <c r="E92" s="440"/>
      <c r="F92" s="300"/>
    </row>
    <row r="93" spans="1:6">
      <c r="A93" s="439">
        <v>46171</v>
      </c>
      <c r="B93" s="300"/>
      <c r="C93" s="300"/>
      <c r="D93" s="300"/>
      <c r="E93" s="440"/>
      <c r="F93" s="300"/>
    </row>
    <row r="94" spans="1:6">
      <c r="A94" s="439">
        <v>46172</v>
      </c>
      <c r="B94" s="300"/>
      <c r="C94" s="300"/>
      <c r="D94" s="300"/>
      <c r="E94" s="440">
        <v>198</v>
      </c>
      <c r="F94" s="300"/>
    </row>
    <row r="95" spans="1:6">
      <c r="A95" s="439">
        <v>46173</v>
      </c>
      <c r="B95" s="300"/>
      <c r="C95" s="300"/>
      <c r="D95" s="300"/>
      <c r="E95" s="440">
        <v>198</v>
      </c>
      <c r="F95" s="300"/>
    </row>
    <row r="96" spans="1:6">
      <c r="A96" s="439">
        <v>46174</v>
      </c>
      <c r="B96" s="300">
        <v>371</v>
      </c>
      <c r="C96" s="300">
        <v>297</v>
      </c>
      <c r="D96" s="300">
        <v>297</v>
      </c>
      <c r="E96" s="440">
        <v>198</v>
      </c>
      <c r="F96" s="300"/>
    </row>
    <row r="97" spans="1:6">
      <c r="A97" s="439">
        <v>46175</v>
      </c>
      <c r="B97" s="300"/>
      <c r="C97" s="300">
        <v>297</v>
      </c>
      <c r="D97" s="300">
        <v>297</v>
      </c>
      <c r="E97" s="440">
        <v>198</v>
      </c>
      <c r="F97" s="300"/>
    </row>
    <row r="98" spans="1:6">
      <c r="A98" s="439">
        <v>46176</v>
      </c>
      <c r="B98" s="300"/>
      <c r="C98" s="300">
        <v>297</v>
      </c>
      <c r="D98" s="300">
        <v>297</v>
      </c>
      <c r="E98" s="440">
        <v>198</v>
      </c>
      <c r="F98" s="300"/>
    </row>
    <row r="99" spans="1:6">
      <c r="A99" s="439">
        <v>46177</v>
      </c>
      <c r="B99" s="300"/>
      <c r="C99" s="300">
        <v>297</v>
      </c>
      <c r="D99" s="300">
        <v>297</v>
      </c>
      <c r="E99" s="440">
        <v>198</v>
      </c>
      <c r="F99" s="300"/>
    </row>
    <row r="100" spans="1:6">
      <c r="A100" s="439">
        <v>46178</v>
      </c>
      <c r="B100" s="300"/>
      <c r="C100" s="300">
        <v>297</v>
      </c>
      <c r="D100" s="300">
        <v>297</v>
      </c>
      <c r="E100" s="440">
        <v>198</v>
      </c>
      <c r="F100" s="300"/>
    </row>
    <row r="101" spans="1:6">
      <c r="A101" s="439">
        <v>46179</v>
      </c>
      <c r="B101" s="300"/>
      <c r="C101" s="300"/>
      <c r="D101" s="300"/>
      <c r="E101" s="440">
        <v>198</v>
      </c>
      <c r="F101" s="300"/>
    </row>
    <row r="102" spans="1:6">
      <c r="A102" s="439">
        <v>46180</v>
      </c>
      <c r="B102" s="300"/>
      <c r="C102" s="300"/>
      <c r="D102" s="300"/>
      <c r="E102" s="440">
        <v>198</v>
      </c>
      <c r="F102" s="300"/>
    </row>
    <row r="103" spans="1:6">
      <c r="A103" s="439">
        <v>46181</v>
      </c>
      <c r="B103" s="300"/>
      <c r="C103" s="300"/>
      <c r="D103" s="300"/>
      <c r="E103" s="440">
        <v>198</v>
      </c>
      <c r="F103" s="300"/>
    </row>
    <row r="104" spans="1:6">
      <c r="A104" s="439">
        <v>46182</v>
      </c>
      <c r="B104" s="300"/>
      <c r="C104" s="300"/>
      <c r="D104" s="300"/>
      <c r="E104" s="440">
        <v>198</v>
      </c>
      <c r="F104" s="300"/>
    </row>
    <row r="105" spans="1:6">
      <c r="A105" s="439">
        <v>46183</v>
      </c>
      <c r="B105" s="300">
        <v>339</v>
      </c>
      <c r="C105" s="300"/>
      <c r="D105" s="300"/>
      <c r="E105" s="440">
        <v>198</v>
      </c>
      <c r="F105" s="300"/>
    </row>
    <row r="106" spans="1:6">
      <c r="A106" s="439">
        <v>46184</v>
      </c>
      <c r="B106" s="300"/>
      <c r="C106" s="300"/>
      <c r="D106" s="300"/>
      <c r="E106" s="440">
        <v>198</v>
      </c>
      <c r="F106" s="300"/>
    </row>
    <row r="107" spans="1:6">
      <c r="A107" s="439">
        <v>46185</v>
      </c>
      <c r="B107" s="300"/>
      <c r="C107" s="300">
        <v>297</v>
      </c>
      <c r="D107" s="300">
        <v>297</v>
      </c>
      <c r="E107" s="440">
        <v>198</v>
      </c>
      <c r="F107" s="300"/>
    </row>
    <row r="108" spans="1:6">
      <c r="A108" s="439">
        <v>46186</v>
      </c>
      <c r="B108" s="300"/>
      <c r="C108" s="300">
        <v>297</v>
      </c>
      <c r="D108" s="300">
        <v>297</v>
      </c>
      <c r="E108" s="440">
        <v>198</v>
      </c>
      <c r="F108" s="300"/>
    </row>
    <row r="109" spans="1:6">
      <c r="A109" s="439">
        <v>46187</v>
      </c>
      <c r="B109" s="300">
        <v>414</v>
      </c>
      <c r="C109" s="300">
        <v>297</v>
      </c>
      <c r="D109" s="300">
        <v>297</v>
      </c>
      <c r="E109" s="440">
        <v>198</v>
      </c>
      <c r="F109" s="300"/>
    </row>
    <row r="110" spans="1:6">
      <c r="A110" s="439">
        <v>46188</v>
      </c>
      <c r="B110" s="300">
        <v>414</v>
      </c>
      <c r="C110" s="300"/>
      <c r="D110" s="300"/>
      <c r="E110" s="440">
        <v>198</v>
      </c>
      <c r="F110" s="300"/>
    </row>
    <row r="111" spans="1:6">
      <c r="A111" s="439">
        <v>46189</v>
      </c>
      <c r="B111" s="300">
        <v>414</v>
      </c>
      <c r="C111" s="300"/>
      <c r="D111" s="300"/>
      <c r="E111" s="440">
        <v>198</v>
      </c>
      <c r="F111" s="300"/>
    </row>
    <row r="112" spans="1:6">
      <c r="A112" s="439">
        <v>46190</v>
      </c>
      <c r="B112" s="300">
        <v>414</v>
      </c>
      <c r="C112" s="300"/>
      <c r="D112" s="300"/>
      <c r="E112" s="440">
        <v>198</v>
      </c>
      <c r="F112" s="300"/>
    </row>
    <row r="113" spans="1:6">
      <c r="A113" s="439">
        <v>46191</v>
      </c>
      <c r="B113" s="300"/>
      <c r="C113" s="300"/>
      <c r="D113" s="300"/>
      <c r="E113" s="440">
        <v>198</v>
      </c>
      <c r="F113" s="300"/>
    </row>
    <row r="114" spans="1:6">
      <c r="A114" s="439">
        <v>46192</v>
      </c>
      <c r="B114" s="300"/>
      <c r="C114" s="300">
        <v>297</v>
      </c>
      <c r="D114" s="300">
        <v>297</v>
      </c>
      <c r="E114" s="440">
        <v>198</v>
      </c>
      <c r="F114" s="300"/>
    </row>
    <row r="115" spans="1:6">
      <c r="A115" s="439">
        <v>46193</v>
      </c>
      <c r="B115" s="300"/>
      <c r="C115" s="300">
        <v>297</v>
      </c>
      <c r="D115" s="300">
        <v>297</v>
      </c>
      <c r="E115" s="440">
        <v>198</v>
      </c>
      <c r="F115" s="300"/>
    </row>
    <row r="116" spans="1:6">
      <c r="A116" s="439">
        <v>46194</v>
      </c>
      <c r="B116" s="300"/>
      <c r="C116" s="300">
        <v>297</v>
      </c>
      <c r="D116" s="300">
        <v>297</v>
      </c>
      <c r="E116" s="440">
        <v>198</v>
      </c>
      <c r="F116" s="300"/>
    </row>
    <row r="117" spans="1:6">
      <c r="A117" s="439">
        <v>46195</v>
      </c>
      <c r="B117" s="300"/>
      <c r="C117" s="300">
        <v>297</v>
      </c>
      <c r="D117" s="300">
        <v>297</v>
      </c>
      <c r="E117" s="440">
        <v>198</v>
      </c>
      <c r="F117" s="300"/>
    </row>
    <row r="118" spans="1:6">
      <c r="A118" s="439">
        <v>46196</v>
      </c>
      <c r="B118" s="300"/>
      <c r="C118" s="300">
        <v>297</v>
      </c>
      <c r="D118" s="300">
        <v>297</v>
      </c>
      <c r="E118" s="440">
        <v>198</v>
      </c>
      <c r="F118" s="300"/>
    </row>
    <row r="119" spans="1:6">
      <c r="A119" s="439">
        <v>46197</v>
      </c>
      <c r="B119" s="300">
        <v>354</v>
      </c>
      <c r="C119" s="300">
        <v>297</v>
      </c>
      <c r="D119" s="300">
        <v>297</v>
      </c>
      <c r="E119" s="440">
        <v>198</v>
      </c>
      <c r="F119" s="300"/>
    </row>
    <row r="120" spans="1:6">
      <c r="A120" s="439">
        <v>46198</v>
      </c>
      <c r="B120" s="300">
        <v>407</v>
      </c>
      <c r="C120" s="300">
        <v>297</v>
      </c>
      <c r="D120" s="300">
        <v>297</v>
      </c>
      <c r="E120" s="440">
        <v>198</v>
      </c>
      <c r="F120" s="300"/>
    </row>
    <row r="121" spans="1:6">
      <c r="A121" s="439">
        <v>46199</v>
      </c>
      <c r="B121" s="300"/>
      <c r="C121" s="300"/>
      <c r="D121" s="300"/>
      <c r="E121" s="440">
        <v>198</v>
      </c>
      <c r="F121" s="300"/>
    </row>
    <row r="122" spans="1:6">
      <c r="A122" s="439">
        <v>46200</v>
      </c>
      <c r="B122" s="300"/>
      <c r="C122" s="300"/>
      <c r="D122" s="300"/>
      <c r="E122" s="440">
        <v>198</v>
      </c>
      <c r="F122" s="300"/>
    </row>
    <row r="123" spans="1:6">
      <c r="A123" s="439">
        <v>46201</v>
      </c>
      <c r="B123" s="300">
        <v>403</v>
      </c>
      <c r="C123" s="300">
        <v>297</v>
      </c>
      <c r="D123" s="300">
        <v>297</v>
      </c>
      <c r="E123" s="440">
        <v>198</v>
      </c>
      <c r="F123" s="300"/>
    </row>
    <row r="124" spans="1:6">
      <c r="A124" s="439">
        <v>46202</v>
      </c>
      <c r="B124" s="300"/>
      <c r="C124" s="300">
        <v>289</v>
      </c>
      <c r="D124" s="300">
        <v>289</v>
      </c>
      <c r="E124" s="440"/>
      <c r="F124" s="300"/>
    </row>
    <row r="125" spans="1:6">
      <c r="A125" s="439">
        <v>46203</v>
      </c>
      <c r="B125" s="300"/>
      <c r="C125" s="300">
        <v>284</v>
      </c>
      <c r="D125" s="300">
        <v>284</v>
      </c>
      <c r="E125" s="440"/>
      <c r="F125" s="300"/>
    </row>
    <row r="126" spans="1:6">
      <c r="A126" s="439">
        <v>46204</v>
      </c>
      <c r="B126" s="300"/>
      <c r="C126" s="300">
        <v>279</v>
      </c>
      <c r="D126" s="300">
        <v>279</v>
      </c>
      <c r="E126" s="440"/>
      <c r="F126" s="300"/>
    </row>
    <row r="127" spans="1:6">
      <c r="A127" s="439">
        <v>46205</v>
      </c>
      <c r="B127" s="300"/>
      <c r="C127" s="300">
        <v>297</v>
      </c>
      <c r="D127" s="300">
        <v>297</v>
      </c>
      <c r="E127" s="440"/>
      <c r="F127" s="300"/>
    </row>
    <row r="128" spans="1:6">
      <c r="A128" s="439">
        <v>46206</v>
      </c>
      <c r="B128" s="300"/>
      <c r="C128" s="300"/>
      <c r="D128" s="300"/>
      <c r="E128" s="440"/>
      <c r="F128" s="300"/>
    </row>
    <row r="129" spans="1:6">
      <c r="A129" s="439">
        <v>46207</v>
      </c>
      <c r="B129" s="300"/>
      <c r="C129" s="300"/>
      <c r="D129" s="300"/>
      <c r="E129" s="440"/>
      <c r="F129" s="300"/>
    </row>
    <row r="130" spans="1:6">
      <c r="A130" s="439">
        <v>46208</v>
      </c>
      <c r="B130" s="300">
        <v>328</v>
      </c>
      <c r="C130" s="300"/>
      <c r="D130" s="300"/>
      <c r="E130" s="440"/>
      <c r="F130" s="300"/>
    </row>
    <row r="131" spans="1:6">
      <c r="A131" s="439">
        <v>46209</v>
      </c>
      <c r="B131" s="300"/>
      <c r="C131" s="300"/>
      <c r="D131" s="300"/>
      <c r="E131" s="440"/>
      <c r="F131" s="300"/>
    </row>
    <row r="132" spans="1:6">
      <c r="A132" s="439">
        <v>46210</v>
      </c>
      <c r="B132" s="300"/>
      <c r="C132" s="300"/>
      <c r="D132" s="300"/>
      <c r="E132" s="440"/>
      <c r="F132" s="300"/>
    </row>
    <row r="133" spans="1:6">
      <c r="A133" s="439">
        <v>46211</v>
      </c>
      <c r="B133" s="300"/>
      <c r="C133" s="300">
        <v>266</v>
      </c>
      <c r="D133" s="300">
        <v>266</v>
      </c>
      <c r="E133" s="440"/>
      <c r="F133" s="300"/>
    </row>
    <row r="134" spans="1:6">
      <c r="A134" s="439">
        <v>46212</v>
      </c>
      <c r="B134" s="300"/>
      <c r="C134" s="300"/>
      <c r="D134" s="300"/>
      <c r="E134" s="440"/>
      <c r="F134" s="300"/>
    </row>
    <row r="135" spans="1:6">
      <c r="A135" s="439">
        <v>46213</v>
      </c>
      <c r="B135" s="300"/>
      <c r="C135" s="300"/>
      <c r="D135" s="300"/>
      <c r="E135" s="440"/>
      <c r="F135" s="300"/>
    </row>
    <row r="136" spans="1:6">
      <c r="A136" s="439">
        <v>46214</v>
      </c>
      <c r="B136" s="300"/>
      <c r="C136" s="300"/>
      <c r="D136" s="300"/>
      <c r="E136" s="440"/>
      <c r="F136" s="300"/>
    </row>
    <row r="137" spans="1:6">
      <c r="A137" s="439">
        <v>46215</v>
      </c>
      <c r="B137" s="300"/>
      <c r="C137" s="300"/>
      <c r="D137" s="300"/>
      <c r="E137" s="440"/>
      <c r="F137" s="300"/>
    </row>
    <row r="138" spans="1:6">
      <c r="A138" s="439">
        <v>46216</v>
      </c>
      <c r="B138" s="300"/>
      <c r="C138" s="300">
        <v>281</v>
      </c>
      <c r="D138" s="300">
        <v>281</v>
      </c>
      <c r="E138" s="440"/>
      <c r="F138" s="300"/>
    </row>
    <row r="139" spans="1:6">
      <c r="A139" s="439">
        <v>46217</v>
      </c>
      <c r="B139" s="300"/>
      <c r="C139" s="300">
        <v>281</v>
      </c>
      <c r="D139" s="300">
        <v>281</v>
      </c>
      <c r="E139" s="440"/>
      <c r="F139" s="300"/>
    </row>
    <row r="140" spans="1:6">
      <c r="A140" s="439">
        <v>46218</v>
      </c>
      <c r="B140" s="300">
        <v>392</v>
      </c>
      <c r="C140" s="300">
        <v>252</v>
      </c>
      <c r="D140" s="300">
        <v>252</v>
      </c>
      <c r="E140" s="440"/>
      <c r="F140" s="300"/>
    </row>
    <row r="141" spans="1:6">
      <c r="A141" s="439">
        <v>46219</v>
      </c>
      <c r="B141" s="300">
        <v>405</v>
      </c>
      <c r="C141" s="300">
        <v>297</v>
      </c>
      <c r="D141" s="300">
        <v>297</v>
      </c>
      <c r="E141" s="440"/>
      <c r="F141" s="300"/>
    </row>
    <row r="142" spans="1:6">
      <c r="A142" s="439">
        <v>46220</v>
      </c>
      <c r="B142" s="300">
        <v>405</v>
      </c>
      <c r="C142" s="300">
        <v>297</v>
      </c>
      <c r="D142" s="300">
        <v>297</v>
      </c>
      <c r="E142" s="440"/>
      <c r="F142" s="300"/>
    </row>
    <row r="143" spans="1:6">
      <c r="A143" s="439">
        <v>46221</v>
      </c>
      <c r="B143" s="300">
        <v>405</v>
      </c>
      <c r="C143" s="300">
        <v>297</v>
      </c>
      <c r="D143" s="300">
        <v>297</v>
      </c>
      <c r="E143" s="440"/>
      <c r="F143" s="300"/>
    </row>
    <row r="144" spans="1:6">
      <c r="A144" s="439">
        <v>46222</v>
      </c>
      <c r="B144" s="300">
        <v>405</v>
      </c>
      <c r="C144" s="300">
        <v>297</v>
      </c>
      <c r="D144" s="300">
        <v>297</v>
      </c>
      <c r="E144" s="440"/>
      <c r="F144" s="300"/>
    </row>
    <row r="145" spans="1:6">
      <c r="A145" s="439">
        <v>46223</v>
      </c>
      <c r="B145" s="300"/>
      <c r="C145" s="300"/>
      <c r="D145" s="300"/>
      <c r="E145" s="440"/>
      <c r="F145" s="300"/>
    </row>
    <row r="146" spans="1:6">
      <c r="A146" s="439">
        <v>46224</v>
      </c>
      <c r="B146" s="300"/>
      <c r="C146" s="300"/>
      <c r="D146" s="300"/>
      <c r="E146" s="440"/>
      <c r="F146" s="300"/>
    </row>
    <row r="147" spans="1:6">
      <c r="A147" s="439">
        <v>46225</v>
      </c>
      <c r="B147" s="300"/>
      <c r="C147" s="300"/>
      <c r="D147" s="300"/>
      <c r="E147" s="440"/>
      <c r="F147" s="300"/>
    </row>
    <row r="148" spans="1:6">
      <c r="A148" s="439">
        <v>46226</v>
      </c>
      <c r="B148" s="300"/>
      <c r="C148" s="300">
        <v>197</v>
      </c>
      <c r="D148" s="300">
        <v>197</v>
      </c>
      <c r="E148" s="440"/>
      <c r="F148" s="300"/>
    </row>
    <row r="149" spans="1:6">
      <c r="A149" s="439">
        <v>46227</v>
      </c>
      <c r="B149" s="300"/>
      <c r="C149" s="300">
        <v>192</v>
      </c>
      <c r="D149" s="300">
        <v>192</v>
      </c>
      <c r="E149" s="440"/>
      <c r="F149" s="300"/>
    </row>
    <row r="150" spans="1:6">
      <c r="A150" s="439">
        <v>46228</v>
      </c>
      <c r="B150" s="300">
        <v>405</v>
      </c>
      <c r="C150" s="300"/>
      <c r="D150" s="300"/>
      <c r="E150" s="440"/>
      <c r="F150" s="300"/>
    </row>
    <row r="151" spans="1:6">
      <c r="A151" s="439">
        <v>46229</v>
      </c>
      <c r="B151" s="300">
        <v>405</v>
      </c>
      <c r="C151" s="300"/>
      <c r="D151" s="300"/>
      <c r="E151" s="440"/>
      <c r="F151" s="300"/>
    </row>
    <row r="152" spans="1:6">
      <c r="A152" s="439">
        <v>46230</v>
      </c>
      <c r="B152" s="300">
        <v>405</v>
      </c>
      <c r="C152" s="300"/>
      <c r="D152" s="300"/>
      <c r="E152" s="440"/>
      <c r="F152" s="300"/>
    </row>
    <row r="153" spans="1:6">
      <c r="A153" s="439">
        <v>46231</v>
      </c>
      <c r="B153" s="300">
        <v>367</v>
      </c>
      <c r="C153" s="300">
        <v>235</v>
      </c>
      <c r="D153" s="300">
        <v>235</v>
      </c>
      <c r="E153" s="440"/>
      <c r="F153" s="300"/>
    </row>
    <row r="154" spans="1:6">
      <c r="A154" s="439">
        <v>46232</v>
      </c>
      <c r="B154" s="300">
        <v>379</v>
      </c>
      <c r="C154" s="300">
        <v>240</v>
      </c>
      <c r="D154" s="300">
        <v>240</v>
      </c>
      <c r="E154" s="440"/>
      <c r="F154" s="300"/>
    </row>
    <row r="155" spans="1:6">
      <c r="A155" s="439">
        <v>46233</v>
      </c>
      <c r="B155" s="300">
        <v>369</v>
      </c>
      <c r="C155" s="300">
        <v>243</v>
      </c>
      <c r="D155" s="300">
        <v>243</v>
      </c>
      <c r="E155" s="440"/>
      <c r="F155" s="300"/>
    </row>
    <row r="156" spans="1:6">
      <c r="A156" s="439">
        <v>46234</v>
      </c>
      <c r="B156" s="300">
        <v>370</v>
      </c>
      <c r="C156" s="300">
        <v>239</v>
      </c>
      <c r="D156" s="300">
        <v>239</v>
      </c>
      <c r="E156" s="440"/>
      <c r="F156" s="300"/>
    </row>
    <row r="157" spans="1:6">
      <c r="A157" s="439">
        <v>46235</v>
      </c>
      <c r="B157" s="300">
        <v>380</v>
      </c>
      <c r="C157" s="300">
        <v>261</v>
      </c>
      <c r="D157" s="300">
        <v>261</v>
      </c>
      <c r="E157" s="440"/>
      <c r="F157" s="300"/>
    </row>
    <row r="158" spans="1:6">
      <c r="A158" s="439">
        <v>46236</v>
      </c>
      <c r="B158" s="300">
        <v>377</v>
      </c>
      <c r="C158" s="300">
        <v>248</v>
      </c>
      <c r="D158" s="300">
        <v>248</v>
      </c>
      <c r="E158" s="440"/>
      <c r="F158" s="300"/>
    </row>
    <row r="159" spans="1:6">
      <c r="A159" s="439">
        <v>46237</v>
      </c>
      <c r="B159" s="300">
        <v>405</v>
      </c>
      <c r="C159" s="300">
        <v>261</v>
      </c>
      <c r="D159" s="300">
        <v>261</v>
      </c>
      <c r="E159" s="440"/>
      <c r="F159" s="300"/>
    </row>
    <row r="160" spans="1:6">
      <c r="A160" s="439">
        <v>46238</v>
      </c>
      <c r="B160" s="300">
        <v>389</v>
      </c>
      <c r="C160" s="300">
        <v>261</v>
      </c>
      <c r="D160" s="300">
        <v>261</v>
      </c>
      <c r="E160" s="440"/>
      <c r="F160" s="300"/>
    </row>
    <row r="161" spans="1:6">
      <c r="A161" s="439">
        <v>46239</v>
      </c>
      <c r="B161" s="300">
        <v>370</v>
      </c>
      <c r="C161" s="300">
        <v>252</v>
      </c>
      <c r="D161" s="300">
        <v>252</v>
      </c>
      <c r="E161" s="440"/>
      <c r="F161" s="300"/>
    </row>
    <row r="162" spans="1:6">
      <c r="A162" s="439">
        <v>46240</v>
      </c>
      <c r="B162" s="300">
        <v>383</v>
      </c>
      <c r="C162" s="300">
        <v>261</v>
      </c>
      <c r="D162" s="300">
        <v>261</v>
      </c>
      <c r="E162" s="440"/>
      <c r="F162" s="300"/>
    </row>
    <row r="163" spans="1:6">
      <c r="A163" s="439">
        <v>46241</v>
      </c>
      <c r="B163" s="300">
        <v>368</v>
      </c>
      <c r="C163" s="300">
        <v>261</v>
      </c>
      <c r="D163" s="300">
        <v>261</v>
      </c>
      <c r="E163" s="440"/>
      <c r="F163" s="300"/>
    </row>
    <row r="164" spans="1:6">
      <c r="A164" s="439">
        <v>46242</v>
      </c>
      <c r="B164" s="300">
        <v>366</v>
      </c>
      <c r="C164" s="300">
        <v>261</v>
      </c>
      <c r="D164" s="300">
        <v>261</v>
      </c>
      <c r="E164" s="440"/>
      <c r="F164" s="300"/>
    </row>
    <row r="165" spans="1:6">
      <c r="A165" s="439">
        <v>46243</v>
      </c>
      <c r="B165" s="300">
        <v>344</v>
      </c>
      <c r="C165" s="300">
        <v>261</v>
      </c>
      <c r="D165" s="300">
        <v>261</v>
      </c>
      <c r="E165" s="440"/>
      <c r="F165" s="300"/>
    </row>
    <row r="166" spans="1:6">
      <c r="A166" s="439">
        <v>46244</v>
      </c>
      <c r="B166" s="300">
        <v>343</v>
      </c>
      <c r="C166" s="300">
        <v>247</v>
      </c>
      <c r="D166" s="300">
        <v>247</v>
      </c>
      <c r="E166" s="440"/>
      <c r="F166" s="300"/>
    </row>
    <row r="167" spans="1:6">
      <c r="A167" s="439">
        <v>46245</v>
      </c>
      <c r="B167" s="300">
        <v>348</v>
      </c>
      <c r="C167" s="300">
        <v>259</v>
      </c>
      <c r="D167" s="300">
        <v>259</v>
      </c>
      <c r="E167" s="440"/>
      <c r="F167" s="300"/>
    </row>
    <row r="168" spans="1:6">
      <c r="A168" s="439">
        <v>46246</v>
      </c>
      <c r="B168" s="300"/>
      <c r="C168" s="300">
        <v>244</v>
      </c>
      <c r="D168" s="300">
        <v>244</v>
      </c>
      <c r="E168" s="440"/>
      <c r="F168" s="300"/>
    </row>
    <row r="169" spans="1:6">
      <c r="A169" s="439">
        <v>46247</v>
      </c>
      <c r="B169" s="300"/>
      <c r="C169" s="300">
        <v>261</v>
      </c>
      <c r="D169" s="300">
        <v>261</v>
      </c>
      <c r="E169" s="440"/>
      <c r="F169" s="300"/>
    </row>
    <row r="170" spans="1:6">
      <c r="A170" s="439">
        <v>46248</v>
      </c>
      <c r="B170" s="300"/>
      <c r="C170" s="300">
        <v>261</v>
      </c>
      <c r="D170" s="300">
        <v>261</v>
      </c>
      <c r="E170" s="440"/>
      <c r="F170" s="300"/>
    </row>
    <row r="171" spans="1:6">
      <c r="A171" s="439">
        <v>46249</v>
      </c>
      <c r="B171" s="300">
        <v>365</v>
      </c>
      <c r="C171" s="300">
        <v>261</v>
      </c>
      <c r="D171" s="300">
        <v>261</v>
      </c>
      <c r="E171" s="440"/>
      <c r="F171" s="300"/>
    </row>
    <row r="172" spans="1:6">
      <c r="A172" s="439">
        <v>46250</v>
      </c>
      <c r="B172" s="300">
        <v>340</v>
      </c>
      <c r="C172" s="300">
        <v>254</v>
      </c>
      <c r="D172" s="300">
        <v>254</v>
      </c>
      <c r="E172" s="440"/>
      <c r="F172" s="300"/>
    </row>
    <row r="173" spans="1:6">
      <c r="A173" s="439">
        <v>46251</v>
      </c>
      <c r="B173" s="300">
        <v>346</v>
      </c>
      <c r="C173" s="300">
        <v>258</v>
      </c>
      <c r="D173" s="300">
        <v>258</v>
      </c>
      <c r="E173" s="440"/>
      <c r="F173" s="300"/>
    </row>
    <row r="174" spans="1:6">
      <c r="A174" s="439">
        <v>46252</v>
      </c>
      <c r="B174" s="300">
        <v>354</v>
      </c>
      <c r="C174" s="300">
        <v>261</v>
      </c>
      <c r="D174" s="300">
        <v>261</v>
      </c>
      <c r="E174" s="440"/>
      <c r="F174" s="300"/>
    </row>
    <row r="175" spans="1:6">
      <c r="A175" s="439">
        <v>46253</v>
      </c>
      <c r="B175" s="300">
        <v>351</v>
      </c>
      <c r="C175" s="300">
        <v>261</v>
      </c>
      <c r="D175" s="300">
        <v>261</v>
      </c>
      <c r="E175" s="440"/>
      <c r="F175" s="300"/>
    </row>
    <row r="176" spans="1:6">
      <c r="A176" s="439">
        <v>46254</v>
      </c>
      <c r="B176" s="300">
        <v>361</v>
      </c>
      <c r="C176" s="300">
        <v>261</v>
      </c>
      <c r="D176" s="300">
        <v>261</v>
      </c>
      <c r="E176" s="440"/>
      <c r="F176" s="300"/>
    </row>
    <row r="177" spans="1:6">
      <c r="A177" s="439">
        <v>46255</v>
      </c>
      <c r="B177" s="300">
        <v>362</v>
      </c>
      <c r="C177" s="300">
        <v>261</v>
      </c>
      <c r="D177" s="300">
        <v>261</v>
      </c>
      <c r="E177" s="440"/>
      <c r="F177" s="300"/>
    </row>
    <row r="178" spans="1:6">
      <c r="A178" s="439">
        <v>46256</v>
      </c>
      <c r="B178" s="300">
        <v>380</v>
      </c>
      <c r="C178" s="300"/>
      <c r="D178" s="300"/>
      <c r="E178" s="440"/>
      <c r="F178" s="300"/>
    </row>
    <row r="179" spans="1:6">
      <c r="A179" s="439">
        <v>46257</v>
      </c>
      <c r="B179" s="300">
        <v>375</v>
      </c>
      <c r="C179" s="300"/>
      <c r="D179" s="300"/>
      <c r="E179" s="440"/>
      <c r="F179" s="300"/>
    </row>
    <row r="180" spans="1:6">
      <c r="A180" s="439">
        <v>46258</v>
      </c>
      <c r="B180" s="300">
        <v>382</v>
      </c>
      <c r="C180" s="300"/>
      <c r="D180" s="300"/>
      <c r="E180" s="440"/>
      <c r="F180" s="300"/>
    </row>
    <row r="181" spans="1:6">
      <c r="A181" s="439">
        <v>46259</v>
      </c>
      <c r="B181" s="300">
        <v>363</v>
      </c>
      <c r="C181" s="300">
        <v>261</v>
      </c>
      <c r="D181" s="300">
        <v>261</v>
      </c>
      <c r="E181" s="440"/>
      <c r="F181" s="300"/>
    </row>
    <row r="182" spans="1:6">
      <c r="A182" s="439">
        <v>46260</v>
      </c>
      <c r="B182" s="300">
        <v>376</v>
      </c>
      <c r="C182" s="300">
        <v>261</v>
      </c>
      <c r="D182" s="300">
        <v>261</v>
      </c>
      <c r="E182" s="440"/>
      <c r="F182" s="300"/>
    </row>
    <row r="183" spans="1:6">
      <c r="A183" s="439">
        <v>46261</v>
      </c>
      <c r="B183" s="300">
        <v>387</v>
      </c>
      <c r="C183" s="300">
        <v>261</v>
      </c>
      <c r="D183" s="300">
        <v>261</v>
      </c>
      <c r="E183" s="440"/>
      <c r="F183" s="300"/>
    </row>
    <row r="184" spans="1:6">
      <c r="A184" s="439">
        <v>46262</v>
      </c>
      <c r="B184" s="300">
        <v>400</v>
      </c>
      <c r="C184" s="300">
        <v>261</v>
      </c>
      <c r="D184" s="300">
        <v>261</v>
      </c>
      <c r="E184" s="440"/>
      <c r="F184" s="300"/>
    </row>
    <row r="185" spans="1:6">
      <c r="A185" s="439">
        <v>46263</v>
      </c>
      <c r="B185" s="300">
        <v>397</v>
      </c>
      <c r="C185" s="300">
        <v>261</v>
      </c>
      <c r="D185" s="300">
        <v>261</v>
      </c>
      <c r="E185" s="440"/>
      <c r="F185" s="300"/>
    </row>
    <row r="186" spans="1:6">
      <c r="A186" s="439">
        <v>46264</v>
      </c>
      <c r="B186" s="300">
        <v>405</v>
      </c>
      <c r="C186" s="300">
        <v>261</v>
      </c>
      <c r="D186" s="300">
        <v>261</v>
      </c>
      <c r="E186" s="440"/>
      <c r="F186" s="300"/>
    </row>
    <row r="187" spans="1:6">
      <c r="A187" s="439">
        <v>46265</v>
      </c>
      <c r="B187" s="300">
        <v>405</v>
      </c>
      <c r="C187" s="300">
        <v>261</v>
      </c>
      <c r="D187" s="300">
        <v>261</v>
      </c>
      <c r="E187" s="440"/>
      <c r="F187" s="300"/>
    </row>
    <row r="188" spans="1:6">
      <c r="A188" s="439">
        <v>46266</v>
      </c>
      <c r="B188" s="300">
        <v>360</v>
      </c>
      <c r="C188" s="300">
        <v>297</v>
      </c>
      <c r="D188" s="300">
        <v>297</v>
      </c>
      <c r="E188" s="440"/>
      <c r="F188" s="300"/>
    </row>
    <row r="189" spans="1:6">
      <c r="A189" s="439">
        <v>46267</v>
      </c>
      <c r="B189" s="300">
        <v>360</v>
      </c>
      <c r="C189" s="300">
        <v>297</v>
      </c>
      <c r="D189" s="300">
        <v>297</v>
      </c>
      <c r="E189" s="440"/>
      <c r="F189" s="300"/>
    </row>
    <row r="190" spans="1:6">
      <c r="A190" s="439">
        <v>46268</v>
      </c>
      <c r="B190" s="300">
        <v>360</v>
      </c>
      <c r="C190" s="300">
        <v>297</v>
      </c>
      <c r="D190" s="300">
        <v>297</v>
      </c>
      <c r="E190" s="440"/>
      <c r="F190" s="300"/>
    </row>
    <row r="191" spans="1:6">
      <c r="A191" s="439">
        <v>46269</v>
      </c>
      <c r="B191" s="300">
        <v>360</v>
      </c>
      <c r="C191" s="300">
        <v>297</v>
      </c>
      <c r="D191" s="300">
        <v>297</v>
      </c>
      <c r="E191" s="440"/>
      <c r="F191" s="300"/>
    </row>
    <row r="192" spans="1:6">
      <c r="A192" s="439">
        <v>46270</v>
      </c>
      <c r="B192" s="300">
        <v>360</v>
      </c>
      <c r="C192" s="300">
        <v>297</v>
      </c>
      <c r="D192" s="300">
        <v>297</v>
      </c>
      <c r="E192" s="440"/>
      <c r="F192" s="300"/>
    </row>
    <row r="193" spans="1:6">
      <c r="A193" s="439">
        <v>46271</v>
      </c>
      <c r="B193" s="300">
        <v>360</v>
      </c>
      <c r="C193" s="300">
        <v>297</v>
      </c>
      <c r="D193" s="300">
        <v>297</v>
      </c>
      <c r="E193" s="440"/>
      <c r="F193" s="300"/>
    </row>
    <row r="194" spans="1:6">
      <c r="A194" s="439">
        <v>46272</v>
      </c>
      <c r="B194" s="300"/>
      <c r="C194" s="300">
        <v>295</v>
      </c>
      <c r="D194" s="300">
        <v>295</v>
      </c>
      <c r="E194" s="440"/>
      <c r="F194" s="300"/>
    </row>
    <row r="195" spans="1:6">
      <c r="A195" s="439">
        <v>46273</v>
      </c>
      <c r="B195" s="300"/>
      <c r="C195" s="300">
        <v>297</v>
      </c>
      <c r="D195" s="300">
        <v>297</v>
      </c>
      <c r="E195" s="440"/>
      <c r="F195" s="300"/>
    </row>
    <row r="196" spans="1:6">
      <c r="A196" s="439">
        <v>46274</v>
      </c>
      <c r="B196" s="300"/>
      <c r="C196" s="300">
        <v>297</v>
      </c>
      <c r="D196" s="300">
        <v>297</v>
      </c>
      <c r="E196" s="440"/>
      <c r="F196" s="300"/>
    </row>
    <row r="197" spans="1:6">
      <c r="A197" s="439">
        <v>46275</v>
      </c>
      <c r="B197" s="300"/>
      <c r="C197" s="300">
        <v>297</v>
      </c>
      <c r="D197" s="300">
        <v>297</v>
      </c>
      <c r="E197" s="440"/>
      <c r="F197" s="300"/>
    </row>
    <row r="198" spans="1:6">
      <c r="A198" s="439">
        <v>46276</v>
      </c>
      <c r="B198" s="300"/>
      <c r="C198" s="300">
        <v>297</v>
      </c>
      <c r="D198" s="300">
        <v>297</v>
      </c>
      <c r="E198" s="440"/>
      <c r="F198" s="300"/>
    </row>
    <row r="199" spans="1:6">
      <c r="A199" s="439">
        <v>46277</v>
      </c>
      <c r="B199" s="300">
        <v>360</v>
      </c>
      <c r="C199" s="300">
        <v>297</v>
      </c>
      <c r="D199" s="300">
        <v>297</v>
      </c>
      <c r="E199" s="440"/>
      <c r="F199" s="300"/>
    </row>
    <row r="200" spans="1:6">
      <c r="A200" s="439">
        <v>46278</v>
      </c>
      <c r="B200" s="300">
        <v>360</v>
      </c>
      <c r="C200" s="300">
        <v>297</v>
      </c>
      <c r="D200" s="300">
        <v>297</v>
      </c>
      <c r="E200" s="440"/>
      <c r="F200" s="300"/>
    </row>
    <row r="201" spans="1:6">
      <c r="A201" s="439">
        <v>46279</v>
      </c>
      <c r="B201" s="300">
        <v>360</v>
      </c>
      <c r="C201" s="300">
        <v>297</v>
      </c>
      <c r="D201" s="300">
        <v>297</v>
      </c>
      <c r="E201" s="440"/>
      <c r="F201" s="300"/>
    </row>
    <row r="202" spans="1:6">
      <c r="A202" s="439">
        <v>46280</v>
      </c>
      <c r="B202" s="300">
        <v>360</v>
      </c>
      <c r="C202" s="300">
        <v>297</v>
      </c>
      <c r="D202" s="300">
        <v>297</v>
      </c>
      <c r="E202" s="440"/>
      <c r="F202" s="300"/>
    </row>
    <row r="203" spans="1:6">
      <c r="A203" s="439">
        <v>46281</v>
      </c>
      <c r="B203" s="300">
        <v>360</v>
      </c>
      <c r="C203" s="300">
        <v>297</v>
      </c>
      <c r="D203" s="300">
        <v>297</v>
      </c>
      <c r="E203" s="440"/>
      <c r="F203" s="300"/>
    </row>
    <row r="204" spans="1:6">
      <c r="A204" s="439">
        <v>46282</v>
      </c>
      <c r="B204" s="300">
        <v>360</v>
      </c>
      <c r="C204" s="300">
        <v>297</v>
      </c>
      <c r="D204" s="300">
        <v>297</v>
      </c>
      <c r="E204" s="440"/>
      <c r="F204" s="300"/>
    </row>
    <row r="205" spans="1:6">
      <c r="A205" s="439">
        <v>46283</v>
      </c>
      <c r="B205" s="300">
        <v>360</v>
      </c>
      <c r="C205" s="300">
        <v>297</v>
      </c>
      <c r="D205" s="300">
        <v>297</v>
      </c>
      <c r="E205" s="440"/>
      <c r="F205" s="300"/>
    </row>
    <row r="206" spans="1:6">
      <c r="A206" s="439">
        <v>46284</v>
      </c>
      <c r="B206" s="300">
        <v>360</v>
      </c>
      <c r="C206" s="300">
        <v>297</v>
      </c>
      <c r="D206" s="300">
        <v>297</v>
      </c>
      <c r="E206" s="440">
        <v>198</v>
      </c>
      <c r="F206" s="300"/>
    </row>
    <row r="207" spans="1:6">
      <c r="A207" s="439">
        <v>46285</v>
      </c>
      <c r="B207" s="300">
        <v>360</v>
      </c>
      <c r="C207" s="300">
        <v>297</v>
      </c>
      <c r="D207" s="300">
        <v>297</v>
      </c>
      <c r="E207" s="440">
        <v>198</v>
      </c>
      <c r="F207" s="300"/>
    </row>
    <row r="208" spans="1:6">
      <c r="A208" s="439">
        <v>46286</v>
      </c>
      <c r="B208" s="300">
        <v>360</v>
      </c>
      <c r="C208" s="300"/>
      <c r="D208" s="300"/>
      <c r="E208" s="440">
        <v>198</v>
      </c>
      <c r="F208" s="300"/>
    </row>
    <row r="209" spans="1:6">
      <c r="A209" s="439">
        <v>46287</v>
      </c>
      <c r="B209" s="300">
        <v>360</v>
      </c>
      <c r="C209" s="300"/>
      <c r="D209" s="300"/>
      <c r="E209" s="440">
        <v>198</v>
      </c>
      <c r="F209" s="300"/>
    </row>
    <row r="210" spans="1:6">
      <c r="A210" s="439">
        <v>46288</v>
      </c>
      <c r="B210" s="300">
        <v>360</v>
      </c>
      <c r="C210" s="300"/>
      <c r="D210" s="300"/>
      <c r="E210" s="440">
        <v>198</v>
      </c>
      <c r="F210" s="300"/>
    </row>
    <row r="211" spans="1:6">
      <c r="A211" s="439">
        <v>46289</v>
      </c>
      <c r="B211" s="300">
        <v>360</v>
      </c>
      <c r="C211" s="300"/>
      <c r="D211" s="300"/>
      <c r="E211" s="440">
        <v>198</v>
      </c>
      <c r="F211" s="300"/>
    </row>
    <row r="212" spans="1:6">
      <c r="A212" s="439">
        <v>46290</v>
      </c>
      <c r="B212" s="300">
        <v>360</v>
      </c>
      <c r="C212" s="300"/>
      <c r="D212" s="300"/>
      <c r="E212" s="440">
        <v>198</v>
      </c>
      <c r="F212" s="300"/>
    </row>
    <row r="213" spans="1:6">
      <c r="A213" s="439">
        <v>46291</v>
      </c>
      <c r="B213" s="300">
        <v>360</v>
      </c>
      <c r="C213" s="300"/>
      <c r="D213" s="300"/>
      <c r="E213" s="440">
        <v>198</v>
      </c>
      <c r="F213" s="300"/>
    </row>
    <row r="214" spans="1:6">
      <c r="A214" s="439">
        <v>46292</v>
      </c>
      <c r="B214" s="300">
        <v>360</v>
      </c>
      <c r="C214" s="300"/>
      <c r="D214" s="300"/>
      <c r="E214" s="440">
        <v>198</v>
      </c>
      <c r="F214" s="300"/>
    </row>
    <row r="215" spans="1:6">
      <c r="A215" s="439">
        <v>46293</v>
      </c>
      <c r="B215" s="300">
        <v>360</v>
      </c>
      <c r="C215" s="300"/>
      <c r="D215" s="300"/>
      <c r="E215" s="440">
        <v>198</v>
      </c>
      <c r="F215" s="300"/>
    </row>
    <row r="216" spans="1:6">
      <c r="A216" s="439">
        <v>46294</v>
      </c>
      <c r="B216" s="300">
        <v>360</v>
      </c>
      <c r="C216" s="300">
        <v>297</v>
      </c>
      <c r="D216" s="300">
        <v>297</v>
      </c>
      <c r="E216" s="440">
        <v>198</v>
      </c>
      <c r="F216" s="300"/>
    </row>
    <row r="217" spans="1:6">
      <c r="A217" s="439">
        <v>46295</v>
      </c>
      <c r="B217" s="300">
        <v>360</v>
      </c>
      <c r="C217" s="300">
        <v>297</v>
      </c>
      <c r="D217" s="300">
        <v>297</v>
      </c>
      <c r="E217" s="440">
        <v>198</v>
      </c>
      <c r="F217" s="300"/>
    </row>
    <row r="218" spans="1:6">
      <c r="A218" s="439">
        <v>46296</v>
      </c>
      <c r="B218" s="300">
        <v>360</v>
      </c>
      <c r="C218" s="300">
        <v>297</v>
      </c>
      <c r="D218" s="300">
        <v>297</v>
      </c>
      <c r="E218" s="440">
        <v>170</v>
      </c>
      <c r="F218" s="300"/>
    </row>
    <row r="219" spans="1:6">
      <c r="A219" s="439">
        <v>46297</v>
      </c>
      <c r="B219" s="300">
        <v>360</v>
      </c>
      <c r="C219" s="300">
        <v>297</v>
      </c>
      <c r="D219" s="300">
        <v>297</v>
      </c>
      <c r="E219" s="440">
        <v>170</v>
      </c>
      <c r="F219" s="300"/>
    </row>
    <row r="220" spans="1:6">
      <c r="A220" s="439">
        <v>46298</v>
      </c>
      <c r="B220" s="300">
        <v>360</v>
      </c>
      <c r="C220" s="300">
        <v>297</v>
      </c>
      <c r="D220" s="300">
        <v>297</v>
      </c>
      <c r="E220" s="440">
        <v>170</v>
      </c>
      <c r="F220" s="300"/>
    </row>
    <row r="221" spans="1:6">
      <c r="A221" s="439">
        <v>46299</v>
      </c>
      <c r="B221" s="300">
        <v>360</v>
      </c>
      <c r="C221" s="300">
        <v>297</v>
      </c>
      <c r="D221" s="300">
        <v>297</v>
      </c>
      <c r="E221" s="440">
        <v>170</v>
      </c>
      <c r="F221" s="300"/>
    </row>
    <row r="222" spans="1:6">
      <c r="A222" s="439">
        <v>46300</v>
      </c>
      <c r="B222" s="300">
        <v>360</v>
      </c>
      <c r="C222" s="300">
        <v>297</v>
      </c>
      <c r="D222" s="300">
        <v>297</v>
      </c>
      <c r="E222" s="440">
        <v>170</v>
      </c>
      <c r="F222" s="300"/>
    </row>
    <row r="223" spans="1:6">
      <c r="A223" s="439">
        <v>46301</v>
      </c>
      <c r="B223" s="300">
        <v>360</v>
      </c>
      <c r="C223" s="300">
        <v>297</v>
      </c>
      <c r="D223" s="300">
        <v>297</v>
      </c>
      <c r="E223" s="440">
        <v>170</v>
      </c>
      <c r="F223" s="300"/>
    </row>
    <row r="224" spans="1:6">
      <c r="A224" s="439">
        <v>46302</v>
      </c>
      <c r="B224" s="300">
        <v>360</v>
      </c>
      <c r="C224" s="300">
        <v>297</v>
      </c>
      <c r="D224" s="300">
        <v>297</v>
      </c>
      <c r="E224" s="440">
        <v>170</v>
      </c>
      <c r="F224" s="300"/>
    </row>
    <row r="225" spans="1:6">
      <c r="A225" s="439">
        <v>46303</v>
      </c>
      <c r="B225" s="300">
        <v>360</v>
      </c>
      <c r="C225" s="300">
        <v>297</v>
      </c>
      <c r="D225" s="300">
        <v>297</v>
      </c>
      <c r="E225" s="440">
        <v>170</v>
      </c>
      <c r="F225" s="300"/>
    </row>
    <row r="226" spans="1:6">
      <c r="A226" s="439">
        <v>46304</v>
      </c>
      <c r="B226" s="300">
        <v>360</v>
      </c>
      <c r="C226" s="300">
        <v>297</v>
      </c>
      <c r="D226" s="300">
        <v>297</v>
      </c>
      <c r="E226" s="440">
        <v>170</v>
      </c>
      <c r="F226" s="300"/>
    </row>
    <row r="227" spans="1:6">
      <c r="A227" s="439">
        <v>46305</v>
      </c>
      <c r="B227" s="300">
        <v>360</v>
      </c>
      <c r="C227" s="300">
        <v>297</v>
      </c>
      <c r="D227" s="300">
        <v>297</v>
      </c>
      <c r="E227" s="440">
        <v>170</v>
      </c>
      <c r="F227" s="300"/>
    </row>
    <row r="228" spans="1:6">
      <c r="A228" s="439">
        <v>46306</v>
      </c>
      <c r="B228" s="300">
        <v>360</v>
      </c>
      <c r="C228" s="300">
        <v>297</v>
      </c>
      <c r="D228" s="300">
        <v>297</v>
      </c>
      <c r="E228" s="440">
        <v>170</v>
      </c>
      <c r="F228" s="300"/>
    </row>
    <row r="229" spans="1:6">
      <c r="A229" s="439">
        <v>46307</v>
      </c>
      <c r="B229" s="300">
        <v>360</v>
      </c>
      <c r="C229" s="300">
        <v>297</v>
      </c>
      <c r="D229" s="300">
        <v>297</v>
      </c>
      <c r="E229" s="440">
        <v>170</v>
      </c>
      <c r="F229" s="300"/>
    </row>
    <row r="230" spans="1:6">
      <c r="A230" s="439">
        <v>46308</v>
      </c>
      <c r="B230" s="300">
        <v>360</v>
      </c>
      <c r="C230" s="300">
        <v>297</v>
      </c>
      <c r="D230" s="300">
        <v>297</v>
      </c>
      <c r="E230" s="440">
        <v>170</v>
      </c>
      <c r="F230" s="300"/>
    </row>
    <row r="231" spans="1:6">
      <c r="A231" s="439">
        <v>46309</v>
      </c>
      <c r="B231" s="300">
        <v>360</v>
      </c>
      <c r="C231" s="300">
        <v>297</v>
      </c>
      <c r="D231" s="300">
        <v>297</v>
      </c>
      <c r="E231" s="440">
        <v>170</v>
      </c>
      <c r="F231" s="300"/>
    </row>
    <row r="232" spans="1:6">
      <c r="A232" s="439">
        <v>46310</v>
      </c>
      <c r="B232" s="300">
        <v>360</v>
      </c>
      <c r="C232" s="300"/>
      <c r="D232" s="300"/>
      <c r="E232" s="440">
        <v>170</v>
      </c>
      <c r="F232" s="300"/>
    </row>
    <row r="233" spans="1:6">
      <c r="A233" s="439">
        <v>46311</v>
      </c>
      <c r="B233" s="300">
        <v>360</v>
      </c>
      <c r="C233" s="300"/>
      <c r="D233" s="300"/>
      <c r="E233" s="440">
        <v>170</v>
      </c>
      <c r="F233" s="300"/>
    </row>
    <row r="234" spans="1:6">
      <c r="A234" s="439">
        <v>46312</v>
      </c>
      <c r="B234" s="300">
        <v>360</v>
      </c>
      <c r="C234" s="300"/>
      <c r="D234" s="300"/>
      <c r="E234" s="440">
        <v>170</v>
      </c>
      <c r="F234" s="300"/>
    </row>
    <row r="235" spans="1:6">
      <c r="A235" s="439">
        <v>46313</v>
      </c>
      <c r="B235" s="300">
        <v>360</v>
      </c>
      <c r="C235" s="300"/>
      <c r="D235" s="300"/>
      <c r="E235" s="440">
        <v>170</v>
      </c>
      <c r="F235" s="300"/>
    </row>
    <row r="236" spans="1:6">
      <c r="A236" s="439">
        <v>46314</v>
      </c>
      <c r="B236" s="300">
        <v>360</v>
      </c>
      <c r="C236" s="300">
        <v>297</v>
      </c>
      <c r="D236" s="300">
        <v>297</v>
      </c>
      <c r="E236" s="440">
        <v>170</v>
      </c>
      <c r="F236" s="300"/>
    </row>
    <row r="237" spans="1:6">
      <c r="A237" s="439">
        <v>46315</v>
      </c>
      <c r="B237" s="300">
        <v>360</v>
      </c>
      <c r="C237" s="300">
        <v>297</v>
      </c>
      <c r="D237" s="300">
        <v>297</v>
      </c>
      <c r="E237" s="440">
        <v>170</v>
      </c>
      <c r="F237" s="300"/>
    </row>
    <row r="238" spans="1:6">
      <c r="A238" s="439">
        <v>46316</v>
      </c>
      <c r="B238" s="300">
        <v>360</v>
      </c>
      <c r="C238" s="300">
        <v>297</v>
      </c>
      <c r="D238" s="300">
        <v>297</v>
      </c>
      <c r="E238" s="440">
        <v>170</v>
      </c>
      <c r="F238" s="300"/>
    </row>
    <row r="239" spans="1:6">
      <c r="A239" s="439">
        <v>46317</v>
      </c>
      <c r="B239" s="300">
        <v>360</v>
      </c>
      <c r="C239" s="300">
        <v>297</v>
      </c>
      <c r="D239" s="300">
        <v>297</v>
      </c>
      <c r="E239" s="440">
        <v>170</v>
      </c>
      <c r="F239" s="300"/>
    </row>
    <row r="240" spans="1:6">
      <c r="A240" s="439">
        <v>46318</v>
      </c>
      <c r="B240" s="300">
        <v>360</v>
      </c>
      <c r="C240" s="300">
        <v>297</v>
      </c>
      <c r="D240" s="300">
        <v>297</v>
      </c>
      <c r="E240" s="440">
        <v>170</v>
      </c>
      <c r="F240" s="300"/>
    </row>
    <row r="241" spans="1:6">
      <c r="A241" s="439">
        <v>46319</v>
      </c>
      <c r="B241" s="300">
        <v>360</v>
      </c>
      <c r="C241" s="300">
        <v>297</v>
      </c>
      <c r="D241" s="300">
        <v>297</v>
      </c>
      <c r="E241" s="440">
        <v>170</v>
      </c>
      <c r="F241" s="300"/>
    </row>
    <row r="242" spans="1:6">
      <c r="A242" s="439">
        <v>46320</v>
      </c>
      <c r="B242" s="300">
        <v>360</v>
      </c>
      <c r="C242" s="300">
        <v>297</v>
      </c>
      <c r="D242" s="300">
        <v>297</v>
      </c>
      <c r="E242" s="440">
        <v>170</v>
      </c>
      <c r="F242" s="300"/>
    </row>
    <row r="243" spans="1:6">
      <c r="A243" s="439">
        <v>46321</v>
      </c>
      <c r="B243" s="300">
        <v>360</v>
      </c>
      <c r="C243" s="300">
        <v>297</v>
      </c>
      <c r="D243" s="300">
        <v>297</v>
      </c>
      <c r="E243" s="440">
        <v>170</v>
      </c>
      <c r="F243" s="300"/>
    </row>
    <row r="244" spans="1:6">
      <c r="A244" s="439">
        <v>46322</v>
      </c>
      <c r="B244" s="300">
        <v>360</v>
      </c>
      <c r="C244" s="300">
        <v>297</v>
      </c>
      <c r="D244" s="300">
        <v>297</v>
      </c>
      <c r="E244" s="440">
        <v>170</v>
      </c>
      <c r="F244" s="300"/>
    </row>
    <row r="245" spans="1:6">
      <c r="A245" s="439">
        <v>46323</v>
      </c>
      <c r="B245" s="300">
        <v>360</v>
      </c>
      <c r="C245" s="300">
        <v>297</v>
      </c>
      <c r="D245" s="300">
        <v>297</v>
      </c>
      <c r="E245" s="440">
        <v>170</v>
      </c>
      <c r="F245" s="300"/>
    </row>
    <row r="246" spans="1:6">
      <c r="A246" s="439">
        <v>46324</v>
      </c>
      <c r="B246" s="300">
        <v>360</v>
      </c>
      <c r="C246" s="300">
        <v>297</v>
      </c>
      <c r="D246" s="300">
        <v>297</v>
      </c>
      <c r="E246" s="440">
        <v>170</v>
      </c>
      <c r="F246" s="300"/>
    </row>
    <row r="247" spans="1:6">
      <c r="A247" s="439">
        <v>46325</v>
      </c>
      <c r="B247" s="300">
        <v>360</v>
      </c>
      <c r="C247" s="300">
        <v>297</v>
      </c>
      <c r="D247" s="300">
        <v>297</v>
      </c>
      <c r="E247" s="440">
        <v>170</v>
      </c>
      <c r="F247" s="300"/>
    </row>
    <row r="248" spans="1:6">
      <c r="A248" s="439">
        <v>46326</v>
      </c>
      <c r="B248" s="300">
        <v>360</v>
      </c>
      <c r="C248" s="300">
        <v>297</v>
      </c>
      <c r="D248" s="300">
        <v>297</v>
      </c>
      <c r="E248" s="440">
        <v>170</v>
      </c>
      <c r="F248" s="300"/>
    </row>
    <row r="249" spans="1:6">
      <c r="A249" s="439">
        <v>46327</v>
      </c>
      <c r="B249" s="300">
        <v>288</v>
      </c>
      <c r="C249" s="300">
        <v>252</v>
      </c>
      <c r="D249" s="300">
        <v>252</v>
      </c>
      <c r="E249" s="440">
        <v>198</v>
      </c>
      <c r="F249" s="300"/>
    </row>
    <row r="250" spans="1:6">
      <c r="A250" s="439">
        <v>46328</v>
      </c>
      <c r="B250" s="300">
        <v>288</v>
      </c>
      <c r="C250" s="300">
        <v>252</v>
      </c>
      <c r="D250" s="300">
        <v>252</v>
      </c>
      <c r="E250" s="440">
        <v>198</v>
      </c>
      <c r="F250" s="300"/>
    </row>
    <row r="251" spans="1:6">
      <c r="A251" s="439">
        <v>46329</v>
      </c>
      <c r="B251" s="300">
        <v>288</v>
      </c>
      <c r="C251" s="300">
        <v>252</v>
      </c>
      <c r="D251" s="300">
        <v>252</v>
      </c>
      <c r="E251" s="440">
        <v>198</v>
      </c>
      <c r="F251" s="300"/>
    </row>
    <row r="252" spans="1:6">
      <c r="A252" s="439">
        <v>46330</v>
      </c>
      <c r="B252" s="300">
        <v>288</v>
      </c>
      <c r="C252" s="300">
        <v>252</v>
      </c>
      <c r="D252" s="300">
        <v>252</v>
      </c>
      <c r="E252" s="440">
        <v>198</v>
      </c>
      <c r="F252" s="300"/>
    </row>
    <row r="253" spans="1:6">
      <c r="A253" s="439">
        <v>46331</v>
      </c>
      <c r="B253" s="300">
        <v>288</v>
      </c>
      <c r="C253" s="300">
        <v>252</v>
      </c>
      <c r="D253" s="300">
        <v>252</v>
      </c>
      <c r="E253" s="440">
        <v>198</v>
      </c>
      <c r="F253" s="300"/>
    </row>
    <row r="254" spans="1:6">
      <c r="A254" s="439">
        <v>46332</v>
      </c>
      <c r="B254" s="300">
        <v>288</v>
      </c>
      <c r="C254" s="300">
        <v>252</v>
      </c>
      <c r="D254" s="300">
        <v>252</v>
      </c>
      <c r="E254" s="440">
        <v>198</v>
      </c>
      <c r="F254" s="300"/>
    </row>
    <row r="255" spans="1:6">
      <c r="A255" s="439">
        <v>46333</v>
      </c>
      <c r="B255" s="300">
        <v>288</v>
      </c>
      <c r="C255" s="300">
        <v>252</v>
      </c>
      <c r="D255" s="300">
        <v>252</v>
      </c>
      <c r="E255" s="440">
        <v>198</v>
      </c>
      <c r="F255" s="300"/>
    </row>
    <row r="256" spans="1:6">
      <c r="A256" s="439">
        <v>46334</v>
      </c>
      <c r="B256" s="300">
        <v>288</v>
      </c>
      <c r="C256" s="300">
        <v>252</v>
      </c>
      <c r="D256" s="300">
        <v>252</v>
      </c>
      <c r="E256" s="440">
        <v>198</v>
      </c>
      <c r="F256" s="300"/>
    </row>
    <row r="257" spans="1:6">
      <c r="A257" s="439">
        <v>46335</v>
      </c>
      <c r="B257" s="300">
        <v>288</v>
      </c>
      <c r="C257" s="300">
        <v>252</v>
      </c>
      <c r="D257" s="300">
        <v>252</v>
      </c>
      <c r="E257" s="440">
        <v>198</v>
      </c>
      <c r="F257" s="300"/>
    </row>
    <row r="258" spans="1:6">
      <c r="A258" s="439">
        <v>46336</v>
      </c>
      <c r="B258" s="300">
        <v>288</v>
      </c>
      <c r="C258" s="300">
        <v>252</v>
      </c>
      <c r="D258" s="300">
        <v>252</v>
      </c>
      <c r="E258" s="440">
        <v>198</v>
      </c>
      <c r="F258" s="300"/>
    </row>
    <row r="259" spans="1:6">
      <c r="A259" s="439">
        <v>46337</v>
      </c>
      <c r="B259" s="300">
        <v>288</v>
      </c>
      <c r="C259" s="300">
        <v>252</v>
      </c>
      <c r="D259" s="300">
        <v>252</v>
      </c>
      <c r="E259" s="440">
        <v>198</v>
      </c>
      <c r="F259" s="300"/>
    </row>
    <row r="260" spans="1:6">
      <c r="A260" s="439">
        <v>46338</v>
      </c>
      <c r="B260" s="300">
        <v>288</v>
      </c>
      <c r="C260" s="300">
        <v>252</v>
      </c>
      <c r="D260" s="300">
        <v>252</v>
      </c>
      <c r="E260" s="440">
        <v>198</v>
      </c>
      <c r="F260" s="300"/>
    </row>
    <row r="261" spans="1:6">
      <c r="A261" s="439">
        <v>46339</v>
      </c>
      <c r="B261" s="300">
        <v>288</v>
      </c>
      <c r="C261" s="300">
        <v>252</v>
      </c>
      <c r="D261" s="300">
        <v>252</v>
      </c>
      <c r="E261" s="440">
        <v>198</v>
      </c>
      <c r="F261" s="300"/>
    </row>
    <row r="262" spans="1:6">
      <c r="A262" s="439">
        <v>46340</v>
      </c>
      <c r="B262" s="300">
        <v>288</v>
      </c>
      <c r="C262" s="300">
        <v>252</v>
      </c>
      <c r="D262" s="300">
        <v>252</v>
      </c>
      <c r="E262" s="440">
        <v>198</v>
      </c>
      <c r="F262" s="300"/>
    </row>
    <row r="263" spans="1:6">
      <c r="A263" s="439">
        <v>46341</v>
      </c>
      <c r="B263" s="300">
        <v>288</v>
      </c>
      <c r="C263" s="300">
        <v>252</v>
      </c>
      <c r="D263" s="300">
        <v>252</v>
      </c>
      <c r="E263" s="440">
        <v>198</v>
      </c>
      <c r="F263" s="300"/>
    </row>
    <row r="264" spans="1:6">
      <c r="A264" s="439">
        <v>46342</v>
      </c>
      <c r="B264" s="300">
        <v>288</v>
      </c>
      <c r="C264" s="300">
        <v>252</v>
      </c>
      <c r="D264" s="300">
        <v>252</v>
      </c>
      <c r="E264" s="440">
        <v>198</v>
      </c>
      <c r="F264" s="300"/>
    </row>
    <row r="265" spans="1:6">
      <c r="A265" s="439">
        <v>46343</v>
      </c>
      <c r="B265" s="300">
        <v>288</v>
      </c>
      <c r="C265" s="300">
        <v>252</v>
      </c>
      <c r="D265" s="300">
        <v>252</v>
      </c>
      <c r="E265" s="440">
        <v>198</v>
      </c>
      <c r="F265" s="300"/>
    </row>
    <row r="266" spans="1:6">
      <c r="A266" s="439">
        <v>46344</v>
      </c>
      <c r="B266" s="300">
        <v>288</v>
      </c>
      <c r="C266" s="300">
        <v>252</v>
      </c>
      <c r="D266" s="300">
        <v>252</v>
      </c>
      <c r="E266" s="440">
        <v>198</v>
      </c>
      <c r="F266" s="300"/>
    </row>
    <row r="267" spans="1:6">
      <c r="A267" s="439">
        <v>46345</v>
      </c>
      <c r="B267" s="300">
        <v>288</v>
      </c>
      <c r="C267" s="300">
        <v>252</v>
      </c>
      <c r="D267" s="300">
        <v>252</v>
      </c>
      <c r="E267" s="440">
        <v>198</v>
      </c>
      <c r="F267" s="300"/>
    </row>
    <row r="268" spans="1:6">
      <c r="A268" s="439">
        <v>46346</v>
      </c>
      <c r="B268" s="300">
        <v>288</v>
      </c>
      <c r="C268" s="300">
        <v>252</v>
      </c>
      <c r="D268" s="300">
        <v>252</v>
      </c>
      <c r="E268" s="440">
        <v>198</v>
      </c>
      <c r="F268" s="300"/>
    </row>
    <row r="269" spans="1:6">
      <c r="A269" s="439">
        <v>46347</v>
      </c>
      <c r="B269" s="300">
        <v>288</v>
      </c>
      <c r="C269" s="300">
        <v>252</v>
      </c>
      <c r="D269" s="300">
        <v>252</v>
      </c>
      <c r="E269" s="440">
        <v>198</v>
      </c>
      <c r="F269" s="300"/>
    </row>
    <row r="270" spans="1:6">
      <c r="A270" s="439">
        <v>46348</v>
      </c>
      <c r="B270" s="300">
        <v>288</v>
      </c>
      <c r="C270" s="300">
        <v>252</v>
      </c>
      <c r="D270" s="300">
        <v>252</v>
      </c>
      <c r="E270" s="440">
        <v>198</v>
      </c>
      <c r="F270" s="300"/>
    </row>
    <row r="271" spans="1:6">
      <c r="A271" s="439">
        <v>46349</v>
      </c>
      <c r="B271" s="300">
        <v>288</v>
      </c>
      <c r="C271" s="300">
        <v>252</v>
      </c>
      <c r="D271" s="300">
        <v>252</v>
      </c>
      <c r="E271" s="440">
        <v>198</v>
      </c>
      <c r="F271" s="300"/>
    </row>
    <row r="272" spans="1:6">
      <c r="A272" s="439">
        <v>46350</v>
      </c>
      <c r="B272" s="300">
        <v>288</v>
      </c>
      <c r="C272" s="300">
        <v>252</v>
      </c>
      <c r="D272" s="300">
        <v>252</v>
      </c>
      <c r="E272" s="440">
        <v>198</v>
      </c>
      <c r="F272" s="300"/>
    </row>
    <row r="273" spans="1:6">
      <c r="A273" s="439">
        <v>46351</v>
      </c>
      <c r="B273" s="300">
        <v>288</v>
      </c>
      <c r="C273" s="300">
        <v>252</v>
      </c>
      <c r="D273" s="300">
        <v>252</v>
      </c>
      <c r="E273" s="440">
        <v>198</v>
      </c>
      <c r="F273" s="300"/>
    </row>
    <row r="274" spans="1:6">
      <c r="A274" s="439">
        <v>46352</v>
      </c>
      <c r="B274" s="300">
        <v>288</v>
      </c>
      <c r="C274" s="300">
        <v>252</v>
      </c>
      <c r="D274" s="300">
        <v>252</v>
      </c>
      <c r="E274" s="440">
        <v>198</v>
      </c>
      <c r="F274" s="300"/>
    </row>
    <row r="275" spans="1:6">
      <c r="A275" s="439">
        <v>46353</v>
      </c>
      <c r="B275" s="300">
        <v>288</v>
      </c>
      <c r="C275" s="300">
        <v>252</v>
      </c>
      <c r="D275" s="300">
        <v>252</v>
      </c>
      <c r="E275" s="440">
        <v>198</v>
      </c>
      <c r="F275" s="300"/>
    </row>
    <row r="276" spans="1:6">
      <c r="A276" s="439">
        <v>46354</v>
      </c>
      <c r="B276" s="300">
        <v>288</v>
      </c>
      <c r="C276" s="300">
        <v>252</v>
      </c>
      <c r="D276" s="300">
        <v>252</v>
      </c>
      <c r="E276" s="440">
        <v>198</v>
      </c>
      <c r="F276" s="300"/>
    </row>
    <row r="277" spans="1:6">
      <c r="A277" s="439">
        <v>46355</v>
      </c>
      <c r="B277" s="300">
        <v>288</v>
      </c>
      <c r="C277" s="300">
        <v>252</v>
      </c>
      <c r="D277" s="300">
        <v>252</v>
      </c>
      <c r="E277" s="440">
        <v>198</v>
      </c>
      <c r="F277" s="300"/>
    </row>
    <row r="278" spans="1:6">
      <c r="A278" s="439">
        <v>46356</v>
      </c>
      <c r="B278" s="300">
        <v>288</v>
      </c>
      <c r="C278" s="300">
        <v>252</v>
      </c>
      <c r="D278" s="300">
        <v>252</v>
      </c>
      <c r="E278" s="440">
        <v>198</v>
      </c>
      <c r="F278" s="300"/>
    </row>
    <row r="279" spans="1:6">
      <c r="A279" s="439">
        <v>46357</v>
      </c>
      <c r="B279" s="300">
        <v>306</v>
      </c>
      <c r="C279" s="300">
        <v>261</v>
      </c>
      <c r="D279" s="300">
        <v>261</v>
      </c>
      <c r="E279" s="440">
        <v>198</v>
      </c>
      <c r="F279" s="300"/>
    </row>
    <row r="280" spans="1:6">
      <c r="A280" s="439">
        <v>46358</v>
      </c>
      <c r="B280" s="300">
        <v>306</v>
      </c>
      <c r="C280" s="300">
        <v>261</v>
      </c>
      <c r="D280" s="300">
        <v>261</v>
      </c>
      <c r="E280" s="440">
        <v>198</v>
      </c>
      <c r="F280" s="300"/>
    </row>
    <row r="281" spans="1:6">
      <c r="A281" s="439">
        <v>46359</v>
      </c>
      <c r="B281" s="300">
        <v>306</v>
      </c>
      <c r="C281" s="300">
        <v>261</v>
      </c>
      <c r="D281" s="300">
        <v>261</v>
      </c>
      <c r="E281" s="440">
        <v>198</v>
      </c>
      <c r="F281" s="300"/>
    </row>
    <row r="282" spans="1:6">
      <c r="A282" s="439">
        <v>46360</v>
      </c>
      <c r="B282" s="300">
        <v>306</v>
      </c>
      <c r="C282" s="300">
        <v>261</v>
      </c>
      <c r="D282" s="300">
        <v>261</v>
      </c>
      <c r="E282" s="440">
        <v>198</v>
      </c>
      <c r="F282" s="300"/>
    </row>
    <row r="283" spans="1:6">
      <c r="A283" s="439">
        <v>46361</v>
      </c>
      <c r="B283" s="300">
        <v>306</v>
      </c>
      <c r="C283" s="300">
        <v>261</v>
      </c>
      <c r="D283" s="300">
        <v>261</v>
      </c>
      <c r="E283" s="440">
        <v>198</v>
      </c>
      <c r="F283" s="300"/>
    </row>
    <row r="284" spans="1:6">
      <c r="A284" s="439">
        <v>46362</v>
      </c>
      <c r="B284" s="300">
        <v>306</v>
      </c>
      <c r="C284" s="300">
        <v>260</v>
      </c>
      <c r="D284" s="300">
        <v>260</v>
      </c>
      <c r="E284" s="440">
        <v>198</v>
      </c>
      <c r="F284" s="300"/>
    </row>
    <row r="285" spans="1:6">
      <c r="A285" s="439">
        <v>46363</v>
      </c>
      <c r="B285" s="300">
        <v>306</v>
      </c>
      <c r="C285" s="300">
        <v>261</v>
      </c>
      <c r="D285" s="300">
        <v>261</v>
      </c>
      <c r="E285" s="440">
        <v>198</v>
      </c>
      <c r="F285" s="300"/>
    </row>
    <row r="286" spans="1:6">
      <c r="A286" s="439">
        <v>46364</v>
      </c>
      <c r="B286" s="300">
        <v>306</v>
      </c>
      <c r="C286" s="300">
        <v>261</v>
      </c>
      <c r="D286" s="300">
        <v>261</v>
      </c>
      <c r="E286" s="440">
        <v>198</v>
      </c>
      <c r="F286" s="300"/>
    </row>
    <row r="287" spans="1:6">
      <c r="A287" s="439">
        <v>46365</v>
      </c>
      <c r="B287" s="300">
        <v>306</v>
      </c>
      <c r="C287" s="300">
        <v>261</v>
      </c>
      <c r="D287" s="300">
        <v>261</v>
      </c>
      <c r="E287" s="440">
        <v>198</v>
      </c>
      <c r="F287" s="300"/>
    </row>
    <row r="288" spans="1:6">
      <c r="A288" s="439">
        <v>46366</v>
      </c>
      <c r="B288" s="300">
        <v>306</v>
      </c>
      <c r="C288" s="300">
        <v>261</v>
      </c>
      <c r="D288" s="300">
        <v>261</v>
      </c>
      <c r="E288" s="440">
        <v>198</v>
      </c>
      <c r="F288" s="300"/>
    </row>
    <row r="289" spans="1:6">
      <c r="A289" s="439">
        <v>46367</v>
      </c>
      <c r="B289" s="300">
        <v>306</v>
      </c>
      <c r="C289" s="300">
        <v>261</v>
      </c>
      <c r="D289" s="300">
        <v>261</v>
      </c>
      <c r="E289" s="440">
        <v>198</v>
      </c>
      <c r="F289" s="300"/>
    </row>
    <row r="290" spans="1:6">
      <c r="A290" s="439">
        <v>46368</v>
      </c>
      <c r="B290" s="300">
        <v>306</v>
      </c>
      <c r="C290" s="300">
        <v>261</v>
      </c>
      <c r="D290" s="300">
        <v>261</v>
      </c>
      <c r="E290" s="440">
        <v>198</v>
      </c>
      <c r="F290" s="300"/>
    </row>
    <row r="291" spans="1:6">
      <c r="A291" s="439">
        <v>46369</v>
      </c>
      <c r="B291" s="300">
        <v>306</v>
      </c>
      <c r="C291" s="300">
        <v>261</v>
      </c>
      <c r="D291" s="300">
        <v>261</v>
      </c>
      <c r="E291" s="440">
        <v>198</v>
      </c>
      <c r="F291" s="300"/>
    </row>
    <row r="292" spans="1:6">
      <c r="A292" s="439">
        <v>46370</v>
      </c>
      <c r="B292" s="300">
        <v>306</v>
      </c>
      <c r="C292" s="300">
        <v>261</v>
      </c>
      <c r="D292" s="300">
        <v>261</v>
      </c>
      <c r="E292" s="440">
        <v>198</v>
      </c>
      <c r="F292" s="300"/>
    </row>
    <row r="293" spans="1:6">
      <c r="A293" s="439">
        <v>46371</v>
      </c>
      <c r="B293" s="300">
        <v>306</v>
      </c>
      <c r="C293" s="300">
        <v>261</v>
      </c>
      <c r="D293" s="300">
        <v>261</v>
      </c>
      <c r="E293" s="440">
        <v>198</v>
      </c>
      <c r="F293" s="300"/>
    </row>
    <row r="294" spans="1:6">
      <c r="A294" s="439">
        <v>46372</v>
      </c>
      <c r="B294" s="300">
        <v>306</v>
      </c>
      <c r="C294" s="300">
        <v>261</v>
      </c>
      <c r="D294" s="300">
        <v>261</v>
      </c>
      <c r="E294" s="440">
        <v>198</v>
      </c>
      <c r="F294" s="300"/>
    </row>
    <row r="295" spans="1:6">
      <c r="A295" s="439">
        <v>46373</v>
      </c>
      <c r="B295" s="300">
        <v>306</v>
      </c>
      <c r="C295" s="300">
        <v>261</v>
      </c>
      <c r="D295" s="300">
        <v>261</v>
      </c>
      <c r="E295" s="440">
        <v>198</v>
      </c>
      <c r="F295" s="300"/>
    </row>
    <row r="296" spans="1:6">
      <c r="A296" s="439">
        <v>46374</v>
      </c>
      <c r="B296" s="300">
        <v>306</v>
      </c>
      <c r="C296" s="300">
        <v>261</v>
      </c>
      <c r="D296" s="300">
        <v>261</v>
      </c>
      <c r="E296" s="440">
        <v>198</v>
      </c>
      <c r="F296" s="300"/>
    </row>
    <row r="297" spans="1:6">
      <c r="A297" s="439">
        <v>46375</v>
      </c>
      <c r="B297" s="300">
        <v>306</v>
      </c>
      <c r="C297" s="300">
        <v>261</v>
      </c>
      <c r="D297" s="300">
        <v>261</v>
      </c>
      <c r="E297" s="440">
        <v>198</v>
      </c>
      <c r="F297" s="300"/>
    </row>
    <row r="298" spans="1:6">
      <c r="A298" s="439">
        <v>46376</v>
      </c>
      <c r="B298" s="300">
        <v>306</v>
      </c>
      <c r="C298" s="300">
        <v>261</v>
      </c>
      <c r="D298" s="300">
        <v>261</v>
      </c>
      <c r="E298" s="440">
        <v>198</v>
      </c>
      <c r="F298" s="300"/>
    </row>
    <row r="299" spans="1:6">
      <c r="A299" s="439">
        <v>46377</v>
      </c>
      <c r="B299" s="300">
        <v>306</v>
      </c>
      <c r="C299" s="300">
        <v>261</v>
      </c>
      <c r="D299" s="300">
        <v>261</v>
      </c>
      <c r="E299" s="440">
        <v>198</v>
      </c>
      <c r="F299" s="300"/>
    </row>
    <row r="300" spans="1:6">
      <c r="A300" s="439">
        <v>46378</v>
      </c>
      <c r="B300" s="300">
        <v>306</v>
      </c>
      <c r="C300" s="300">
        <v>261</v>
      </c>
      <c r="D300" s="300">
        <v>261</v>
      </c>
      <c r="E300" s="440">
        <v>198</v>
      </c>
      <c r="F300" s="300"/>
    </row>
    <row r="301" spans="1:6">
      <c r="A301" s="439">
        <v>46379</v>
      </c>
      <c r="B301" s="300">
        <v>306</v>
      </c>
      <c r="C301" s="300">
        <v>261</v>
      </c>
      <c r="D301" s="300">
        <v>261</v>
      </c>
      <c r="E301" s="440">
        <v>198</v>
      </c>
      <c r="F301" s="300"/>
    </row>
    <row r="302" spans="1:6">
      <c r="A302" s="439">
        <v>46380</v>
      </c>
      <c r="B302" s="300">
        <v>306</v>
      </c>
      <c r="C302" s="300">
        <v>261</v>
      </c>
      <c r="D302" s="300">
        <v>261</v>
      </c>
      <c r="E302" s="440">
        <v>198</v>
      </c>
      <c r="F302" s="300"/>
    </row>
    <row r="303" spans="1:6">
      <c r="A303" s="439">
        <v>46381</v>
      </c>
      <c r="B303" s="300">
        <v>306</v>
      </c>
      <c r="C303" s="300">
        <v>261</v>
      </c>
      <c r="D303" s="300">
        <v>261</v>
      </c>
      <c r="E303" s="440">
        <v>198</v>
      </c>
      <c r="F303" s="300"/>
    </row>
    <row r="304" spans="1:6">
      <c r="A304" s="439">
        <v>46382</v>
      </c>
      <c r="B304" s="300">
        <v>306</v>
      </c>
      <c r="C304" s="300">
        <v>261</v>
      </c>
      <c r="D304" s="300">
        <v>261</v>
      </c>
      <c r="E304" s="440">
        <v>198</v>
      </c>
      <c r="F304" s="300"/>
    </row>
    <row r="305" spans="1:6">
      <c r="A305" s="439">
        <v>46383</v>
      </c>
      <c r="B305" s="300"/>
      <c r="C305" s="300">
        <v>261</v>
      </c>
      <c r="D305" s="300">
        <v>261</v>
      </c>
      <c r="E305" s="440">
        <v>198</v>
      </c>
      <c r="F305" s="300"/>
    </row>
    <row r="306" spans="1:6">
      <c r="A306" s="439">
        <v>46384</v>
      </c>
      <c r="B306" s="300"/>
      <c r="C306" s="300">
        <v>261</v>
      </c>
      <c r="D306" s="300">
        <v>261</v>
      </c>
      <c r="E306" s="440">
        <v>198</v>
      </c>
      <c r="F306" s="300"/>
    </row>
    <row r="307" spans="1:6">
      <c r="A307" s="439">
        <v>46385</v>
      </c>
      <c r="B307" s="300"/>
      <c r="C307" s="300">
        <v>261</v>
      </c>
      <c r="D307" s="300">
        <v>261</v>
      </c>
      <c r="E307" s="440">
        <v>198</v>
      </c>
      <c r="F307" s="300"/>
    </row>
    <row r="308" spans="1:6">
      <c r="A308" s="439">
        <v>46386</v>
      </c>
      <c r="B308" s="300"/>
      <c r="C308" s="300">
        <v>261</v>
      </c>
      <c r="D308" s="300">
        <v>261</v>
      </c>
      <c r="E308" s="440">
        <v>198</v>
      </c>
      <c r="F308" s="300"/>
    </row>
    <row r="309" spans="1:6">
      <c r="A309" s="439">
        <v>46387</v>
      </c>
      <c r="B309" s="300"/>
      <c r="C309" s="300">
        <v>261</v>
      </c>
      <c r="D309" s="300">
        <v>261</v>
      </c>
      <c r="E309" s="440">
        <v>198</v>
      </c>
      <c r="F309" s="300"/>
    </row>
    <row r="310" spans="1:6">
      <c r="A310" s="439">
        <v>46388</v>
      </c>
      <c r="B310" s="300">
        <v>324</v>
      </c>
      <c r="C310" s="300">
        <v>216</v>
      </c>
      <c r="D310" s="300">
        <v>216</v>
      </c>
      <c r="E310" s="440">
        <v>198</v>
      </c>
      <c r="F310" s="300"/>
    </row>
    <row r="311" spans="1:6">
      <c r="A311" s="439">
        <v>46389</v>
      </c>
      <c r="B311" s="300">
        <v>324</v>
      </c>
      <c r="C311" s="300">
        <v>216</v>
      </c>
      <c r="D311" s="300">
        <v>216</v>
      </c>
      <c r="E311" s="440">
        <v>198</v>
      </c>
      <c r="F311" s="300"/>
    </row>
    <row r="312" spans="1:6">
      <c r="A312" s="439">
        <v>46390</v>
      </c>
      <c r="B312" s="300">
        <v>324</v>
      </c>
      <c r="C312" s="300">
        <v>216</v>
      </c>
      <c r="D312" s="300">
        <v>216</v>
      </c>
      <c r="E312" s="440">
        <v>198</v>
      </c>
      <c r="F312" s="300"/>
    </row>
    <row r="313" spans="1:6">
      <c r="A313" s="439">
        <v>46391</v>
      </c>
      <c r="B313" s="300">
        <v>324</v>
      </c>
      <c r="C313" s="300">
        <v>216</v>
      </c>
      <c r="D313" s="300">
        <v>216</v>
      </c>
      <c r="E313" s="440">
        <v>198</v>
      </c>
      <c r="F313" s="300"/>
    </row>
    <row r="314" spans="1:6">
      <c r="A314" s="439">
        <v>46392</v>
      </c>
      <c r="B314" s="300">
        <v>324</v>
      </c>
      <c r="C314" s="300">
        <v>216</v>
      </c>
      <c r="D314" s="300">
        <v>216</v>
      </c>
      <c r="E314" s="440">
        <v>198</v>
      </c>
      <c r="F314" s="300"/>
    </row>
    <row r="315" spans="1:6">
      <c r="A315" s="439">
        <v>46393</v>
      </c>
      <c r="B315" s="300">
        <v>324</v>
      </c>
      <c r="C315" s="300">
        <v>216</v>
      </c>
      <c r="D315" s="300">
        <v>216</v>
      </c>
      <c r="E315" s="440">
        <v>198</v>
      </c>
      <c r="F315" s="300"/>
    </row>
    <row r="316" spans="1:6">
      <c r="A316" s="439">
        <v>46394</v>
      </c>
      <c r="B316" s="300">
        <v>324</v>
      </c>
      <c r="C316" s="300">
        <v>216</v>
      </c>
      <c r="D316" s="300">
        <v>216</v>
      </c>
      <c r="E316" s="440">
        <v>198</v>
      </c>
      <c r="F316" s="300"/>
    </row>
    <row r="317" spans="1:6">
      <c r="A317" s="439">
        <v>46395</v>
      </c>
      <c r="B317" s="300">
        <v>324</v>
      </c>
      <c r="C317" s="300">
        <v>216</v>
      </c>
      <c r="D317" s="300">
        <v>216</v>
      </c>
      <c r="E317" s="440">
        <v>198</v>
      </c>
      <c r="F317" s="300"/>
    </row>
    <row r="318" spans="1:6">
      <c r="A318" s="439">
        <v>46396</v>
      </c>
      <c r="B318" s="300">
        <v>324</v>
      </c>
      <c r="C318" s="300">
        <v>216</v>
      </c>
      <c r="D318" s="300">
        <v>216</v>
      </c>
      <c r="E318" s="440">
        <v>198</v>
      </c>
      <c r="F318" s="300"/>
    </row>
    <row r="319" spans="1:6">
      <c r="A319" s="439">
        <v>46397</v>
      </c>
      <c r="B319" s="300">
        <v>324</v>
      </c>
      <c r="C319" s="300">
        <v>216</v>
      </c>
      <c r="D319" s="300">
        <v>216</v>
      </c>
      <c r="E319" s="440">
        <v>198</v>
      </c>
      <c r="F319" s="300"/>
    </row>
    <row r="320" spans="1:6">
      <c r="A320" s="439">
        <v>46398</v>
      </c>
      <c r="B320" s="300">
        <v>324</v>
      </c>
      <c r="C320" s="300">
        <v>216</v>
      </c>
      <c r="D320" s="300">
        <v>216</v>
      </c>
      <c r="E320" s="440">
        <v>198</v>
      </c>
      <c r="F320" s="300"/>
    </row>
    <row r="321" spans="1:6">
      <c r="A321" s="439">
        <v>46399</v>
      </c>
      <c r="B321" s="300">
        <v>324</v>
      </c>
      <c r="C321" s="300">
        <v>216</v>
      </c>
      <c r="D321" s="300">
        <v>216</v>
      </c>
      <c r="E321" s="440">
        <v>198</v>
      </c>
      <c r="F321" s="300"/>
    </row>
    <row r="322" spans="1:6">
      <c r="A322" s="439">
        <v>46400</v>
      </c>
      <c r="B322" s="300">
        <v>324</v>
      </c>
      <c r="C322" s="300">
        <v>216</v>
      </c>
      <c r="D322" s="300">
        <v>216</v>
      </c>
      <c r="E322" s="440">
        <v>198</v>
      </c>
      <c r="F322" s="300"/>
    </row>
    <row r="323" spans="1:6">
      <c r="A323" s="439">
        <v>46401</v>
      </c>
      <c r="B323" s="300">
        <v>324</v>
      </c>
      <c r="C323" s="300">
        <v>216</v>
      </c>
      <c r="D323" s="300">
        <v>216</v>
      </c>
      <c r="E323" s="440">
        <v>198</v>
      </c>
      <c r="F323" s="300"/>
    </row>
    <row r="324" spans="1:6">
      <c r="A324" s="439">
        <v>46402</v>
      </c>
      <c r="B324" s="300">
        <v>324</v>
      </c>
      <c r="C324" s="300">
        <v>216</v>
      </c>
      <c r="D324" s="300">
        <v>216</v>
      </c>
      <c r="E324" s="440">
        <v>198</v>
      </c>
      <c r="F324" s="300"/>
    </row>
    <row r="325" spans="1:6">
      <c r="A325" s="439">
        <v>46403</v>
      </c>
      <c r="B325" s="300">
        <v>324</v>
      </c>
      <c r="C325" s="300">
        <v>216</v>
      </c>
      <c r="D325" s="300">
        <v>216</v>
      </c>
      <c r="E325" s="440">
        <v>198</v>
      </c>
      <c r="F325" s="300"/>
    </row>
    <row r="326" spans="1:6">
      <c r="A326" s="439">
        <v>46404</v>
      </c>
      <c r="B326" s="300">
        <v>324</v>
      </c>
      <c r="C326" s="300">
        <v>216</v>
      </c>
      <c r="D326" s="300">
        <v>216</v>
      </c>
      <c r="E326" s="440">
        <v>198</v>
      </c>
      <c r="F326" s="300"/>
    </row>
    <row r="327" spans="1:6">
      <c r="A327" s="439">
        <v>46405</v>
      </c>
      <c r="B327" s="300">
        <v>324</v>
      </c>
      <c r="C327" s="300">
        <v>216</v>
      </c>
      <c r="D327" s="300">
        <v>216</v>
      </c>
      <c r="E327" s="440">
        <v>198</v>
      </c>
      <c r="F327" s="300"/>
    </row>
    <row r="328" spans="1:6">
      <c r="A328" s="439">
        <v>46406</v>
      </c>
      <c r="B328" s="300">
        <v>324</v>
      </c>
      <c r="C328" s="300">
        <v>216</v>
      </c>
      <c r="D328" s="300">
        <v>216</v>
      </c>
      <c r="E328" s="440">
        <v>198</v>
      </c>
      <c r="F328" s="300"/>
    </row>
    <row r="329" spans="1:6">
      <c r="A329" s="439">
        <v>46407</v>
      </c>
      <c r="B329" s="300">
        <v>324</v>
      </c>
      <c r="C329" s="300">
        <v>216</v>
      </c>
      <c r="D329" s="300">
        <v>216</v>
      </c>
      <c r="E329" s="440">
        <v>198</v>
      </c>
      <c r="F329" s="300"/>
    </row>
    <row r="330" spans="1:6">
      <c r="A330" s="439">
        <v>46408</v>
      </c>
      <c r="B330" s="300">
        <v>324</v>
      </c>
      <c r="C330" s="300">
        <v>216</v>
      </c>
      <c r="D330" s="300">
        <v>216</v>
      </c>
      <c r="E330" s="440">
        <v>198</v>
      </c>
      <c r="F330" s="300"/>
    </row>
    <row r="331" spans="1:6">
      <c r="A331" s="439">
        <v>46409</v>
      </c>
      <c r="B331" s="300">
        <v>324</v>
      </c>
      <c r="C331" s="300">
        <v>216</v>
      </c>
      <c r="D331" s="300">
        <v>216</v>
      </c>
      <c r="E331" s="440">
        <v>198</v>
      </c>
      <c r="F331" s="300"/>
    </row>
    <row r="332" spans="1:6">
      <c r="A332" s="439">
        <v>46410</v>
      </c>
      <c r="B332" s="300">
        <v>324</v>
      </c>
      <c r="C332" s="300">
        <v>216</v>
      </c>
      <c r="D332" s="300">
        <v>216</v>
      </c>
      <c r="E332" s="440">
        <v>198</v>
      </c>
      <c r="F332" s="300"/>
    </row>
    <row r="333" spans="1:6">
      <c r="A333" s="439">
        <v>46411</v>
      </c>
      <c r="B333" s="300">
        <v>324</v>
      </c>
      <c r="C333" s="300">
        <v>216</v>
      </c>
      <c r="D333" s="300">
        <v>216</v>
      </c>
      <c r="E333" s="440">
        <v>198</v>
      </c>
      <c r="F333" s="300"/>
    </row>
    <row r="334" spans="1:6">
      <c r="A334" s="439">
        <v>46412</v>
      </c>
      <c r="B334" s="300">
        <v>324</v>
      </c>
      <c r="C334" s="300">
        <v>216</v>
      </c>
      <c r="D334" s="300">
        <v>216</v>
      </c>
      <c r="E334" s="440">
        <v>198</v>
      </c>
      <c r="F334" s="300"/>
    </row>
    <row r="335" spans="1:6">
      <c r="A335" s="439">
        <v>46413</v>
      </c>
      <c r="B335" s="300">
        <v>324</v>
      </c>
      <c r="C335" s="300">
        <v>216</v>
      </c>
      <c r="D335" s="300">
        <v>216</v>
      </c>
      <c r="E335" s="440">
        <v>198</v>
      </c>
      <c r="F335" s="300"/>
    </row>
    <row r="336" spans="1:6">
      <c r="A336" s="439">
        <v>46414</v>
      </c>
      <c r="B336" s="300">
        <v>324</v>
      </c>
      <c r="C336" s="300">
        <v>216</v>
      </c>
      <c r="D336" s="300">
        <v>216</v>
      </c>
      <c r="E336" s="440">
        <v>198</v>
      </c>
      <c r="F336" s="300"/>
    </row>
    <row r="337" spans="1:6">
      <c r="A337" s="439">
        <v>46415</v>
      </c>
      <c r="B337" s="300">
        <v>324</v>
      </c>
      <c r="C337" s="300">
        <v>216</v>
      </c>
      <c r="D337" s="300">
        <v>216</v>
      </c>
      <c r="E337" s="440">
        <v>198</v>
      </c>
      <c r="F337" s="300"/>
    </row>
    <row r="338" spans="1:6">
      <c r="A338" s="439">
        <v>46416</v>
      </c>
      <c r="B338" s="300">
        <v>324</v>
      </c>
      <c r="C338" s="300">
        <v>216</v>
      </c>
      <c r="D338" s="300">
        <v>216</v>
      </c>
      <c r="E338" s="440">
        <v>198</v>
      </c>
      <c r="F338" s="300"/>
    </row>
    <row r="339" spans="1:6">
      <c r="A339" s="439">
        <v>46417</v>
      </c>
      <c r="B339" s="300">
        <v>324</v>
      </c>
      <c r="C339" s="300">
        <v>216</v>
      </c>
      <c r="D339" s="300">
        <v>216</v>
      </c>
      <c r="E339" s="440">
        <v>198</v>
      </c>
      <c r="F339" s="300"/>
    </row>
    <row r="340" spans="1:6">
      <c r="A340" s="439">
        <v>46418</v>
      </c>
      <c r="B340" s="300">
        <v>324</v>
      </c>
      <c r="C340" s="300">
        <v>216</v>
      </c>
      <c r="D340" s="300">
        <v>216</v>
      </c>
      <c r="E340" s="440">
        <v>198</v>
      </c>
      <c r="F340" s="300"/>
    </row>
    <row r="341" spans="1:6">
      <c r="A341" s="439">
        <v>46419</v>
      </c>
      <c r="B341" s="300">
        <v>297</v>
      </c>
      <c r="C341" s="300">
        <v>225</v>
      </c>
      <c r="D341" s="300">
        <v>225</v>
      </c>
      <c r="E341" s="440">
        <v>198</v>
      </c>
      <c r="F341" s="300"/>
    </row>
    <row r="342" spans="1:6">
      <c r="A342" s="439">
        <v>46420</v>
      </c>
      <c r="B342" s="300">
        <v>297</v>
      </c>
      <c r="C342" s="300">
        <v>225</v>
      </c>
      <c r="D342" s="300">
        <v>225</v>
      </c>
      <c r="E342" s="440">
        <v>198</v>
      </c>
      <c r="F342" s="300"/>
    </row>
    <row r="343" spans="1:6">
      <c r="A343" s="439">
        <v>46421</v>
      </c>
      <c r="B343" s="300">
        <v>297</v>
      </c>
      <c r="C343" s="300">
        <v>225</v>
      </c>
      <c r="D343" s="300">
        <v>225</v>
      </c>
      <c r="E343" s="440">
        <v>198</v>
      </c>
      <c r="F343" s="300"/>
    </row>
    <row r="344" spans="1:6">
      <c r="A344" s="439">
        <v>46422</v>
      </c>
      <c r="B344" s="300">
        <v>297</v>
      </c>
      <c r="C344" s="300">
        <v>225</v>
      </c>
      <c r="D344" s="300">
        <v>225</v>
      </c>
      <c r="E344" s="440">
        <v>198</v>
      </c>
      <c r="F344" s="300"/>
    </row>
    <row r="345" spans="1:6">
      <c r="A345" s="439">
        <v>46423</v>
      </c>
      <c r="B345" s="300">
        <v>297</v>
      </c>
      <c r="C345" s="300">
        <v>225</v>
      </c>
      <c r="D345" s="300">
        <v>225</v>
      </c>
      <c r="E345" s="440">
        <v>198</v>
      </c>
      <c r="F345" s="300"/>
    </row>
    <row r="346" spans="1:6">
      <c r="A346" s="439">
        <v>46424</v>
      </c>
      <c r="B346" s="300">
        <v>297</v>
      </c>
      <c r="C346" s="300">
        <v>225</v>
      </c>
      <c r="D346" s="300">
        <v>225</v>
      </c>
      <c r="E346" s="440">
        <v>198</v>
      </c>
      <c r="F346" s="300"/>
    </row>
    <row r="347" spans="1:6">
      <c r="A347" s="439">
        <v>46425</v>
      </c>
      <c r="B347" s="300">
        <v>297</v>
      </c>
      <c r="C347" s="300">
        <v>225</v>
      </c>
      <c r="D347" s="300">
        <v>225</v>
      </c>
      <c r="E347" s="440">
        <v>198</v>
      </c>
      <c r="F347" s="300"/>
    </row>
    <row r="348" spans="1:6">
      <c r="A348" s="439">
        <v>46426</v>
      </c>
      <c r="B348" s="300">
        <v>297</v>
      </c>
      <c r="C348" s="300">
        <v>225</v>
      </c>
      <c r="D348" s="300">
        <v>225</v>
      </c>
      <c r="E348" s="440">
        <v>198</v>
      </c>
      <c r="F348" s="300"/>
    </row>
    <row r="349" spans="1:6">
      <c r="A349" s="439">
        <v>46427</v>
      </c>
      <c r="B349" s="300">
        <v>297</v>
      </c>
      <c r="C349" s="300">
        <v>225</v>
      </c>
      <c r="D349" s="300">
        <v>225</v>
      </c>
      <c r="E349" s="440">
        <v>198</v>
      </c>
      <c r="F349" s="300"/>
    </row>
    <row r="350" spans="1:6">
      <c r="A350" s="439">
        <v>46428</v>
      </c>
      <c r="B350" s="300">
        <v>297</v>
      </c>
      <c r="C350" s="300">
        <v>225</v>
      </c>
      <c r="D350" s="300">
        <v>225</v>
      </c>
      <c r="E350" s="440">
        <v>198</v>
      </c>
      <c r="F350" s="300"/>
    </row>
    <row r="351" spans="1:6">
      <c r="A351" s="439">
        <v>46429</v>
      </c>
      <c r="B351" s="300">
        <v>297</v>
      </c>
      <c r="C351" s="300">
        <v>225</v>
      </c>
      <c r="D351" s="300">
        <v>225</v>
      </c>
      <c r="E351" s="440">
        <v>198</v>
      </c>
      <c r="F351" s="300"/>
    </row>
    <row r="352" spans="1:6">
      <c r="A352" s="439">
        <v>46430</v>
      </c>
      <c r="B352" s="300">
        <v>297</v>
      </c>
      <c r="C352" s="300">
        <v>225</v>
      </c>
      <c r="D352" s="300">
        <v>225</v>
      </c>
      <c r="E352" s="440">
        <v>198</v>
      </c>
      <c r="F352" s="300"/>
    </row>
    <row r="353" spans="1:6">
      <c r="A353" s="439">
        <v>46431</v>
      </c>
      <c r="B353" s="300">
        <v>297</v>
      </c>
      <c r="C353" s="300">
        <v>225</v>
      </c>
      <c r="D353" s="300">
        <v>225</v>
      </c>
      <c r="E353" s="440">
        <v>198</v>
      </c>
      <c r="F353" s="300"/>
    </row>
    <row r="354" spans="1:6">
      <c r="A354" s="439">
        <v>46432</v>
      </c>
      <c r="B354" s="300">
        <v>297</v>
      </c>
      <c r="C354" s="300">
        <v>225</v>
      </c>
      <c r="D354" s="300">
        <v>225</v>
      </c>
      <c r="E354" s="440">
        <v>198</v>
      </c>
      <c r="F354" s="300"/>
    </row>
    <row r="355" spans="1:6">
      <c r="A355" s="439">
        <v>46433</v>
      </c>
      <c r="B355" s="300">
        <v>297</v>
      </c>
      <c r="C355" s="300">
        <v>225</v>
      </c>
      <c r="D355" s="300">
        <v>225</v>
      </c>
      <c r="E355" s="440">
        <v>198</v>
      </c>
      <c r="F355" s="300"/>
    </row>
    <row r="356" spans="1:6">
      <c r="A356" s="439">
        <v>46434</v>
      </c>
      <c r="B356" s="300">
        <v>297</v>
      </c>
      <c r="C356" s="300">
        <v>225</v>
      </c>
      <c r="D356" s="300">
        <v>225</v>
      </c>
      <c r="E356" s="440">
        <v>198</v>
      </c>
      <c r="F356" s="300"/>
    </row>
    <row r="357" spans="1:6">
      <c r="A357" s="439">
        <v>46435</v>
      </c>
      <c r="B357" s="300">
        <v>297</v>
      </c>
      <c r="C357" s="300">
        <v>225</v>
      </c>
      <c r="D357" s="300">
        <v>225</v>
      </c>
      <c r="E357" s="440">
        <v>198</v>
      </c>
      <c r="F357" s="300"/>
    </row>
    <row r="358" spans="1:6">
      <c r="A358" s="439">
        <v>46436</v>
      </c>
      <c r="B358" s="300">
        <v>297</v>
      </c>
      <c r="C358" s="300">
        <v>225</v>
      </c>
      <c r="D358" s="300">
        <v>225</v>
      </c>
      <c r="E358" s="440">
        <v>198</v>
      </c>
      <c r="F358" s="300"/>
    </row>
    <row r="359" spans="1:6">
      <c r="A359" s="439">
        <v>46437</v>
      </c>
      <c r="B359" s="300">
        <v>297</v>
      </c>
      <c r="C359" s="300">
        <v>225</v>
      </c>
      <c r="D359" s="300">
        <v>225</v>
      </c>
      <c r="E359" s="440">
        <v>198</v>
      </c>
      <c r="F359" s="300"/>
    </row>
    <row r="360" spans="1:6">
      <c r="A360" s="439">
        <v>46438</v>
      </c>
      <c r="B360" s="300">
        <v>297</v>
      </c>
      <c r="C360" s="300">
        <v>225</v>
      </c>
      <c r="D360" s="300">
        <v>225</v>
      </c>
      <c r="E360" s="440">
        <v>198</v>
      </c>
      <c r="F360" s="300"/>
    </row>
    <row r="361" spans="1:6">
      <c r="A361" s="439">
        <v>46439</v>
      </c>
      <c r="B361" s="300">
        <v>297</v>
      </c>
      <c r="C361" s="300">
        <v>225</v>
      </c>
      <c r="D361" s="300">
        <v>225</v>
      </c>
      <c r="E361" s="440">
        <v>198</v>
      </c>
      <c r="F361" s="300"/>
    </row>
    <row r="362" spans="1:6">
      <c r="A362" s="439">
        <v>46440</v>
      </c>
      <c r="B362" s="300">
        <v>297</v>
      </c>
      <c r="C362" s="300">
        <v>225</v>
      </c>
      <c r="D362" s="300">
        <v>225</v>
      </c>
      <c r="E362" s="440">
        <v>198</v>
      </c>
      <c r="F362" s="300"/>
    </row>
    <row r="363" spans="1:6">
      <c r="A363" s="439">
        <v>46441</v>
      </c>
      <c r="B363" s="300">
        <v>297</v>
      </c>
      <c r="C363" s="300">
        <v>225</v>
      </c>
      <c r="D363" s="300">
        <v>225</v>
      </c>
      <c r="E363" s="440">
        <v>198</v>
      </c>
      <c r="F363" s="300"/>
    </row>
    <row r="364" spans="1:6">
      <c r="A364" s="439">
        <v>46442</v>
      </c>
      <c r="B364" s="300">
        <v>297</v>
      </c>
      <c r="C364" s="300">
        <v>225</v>
      </c>
      <c r="D364" s="300">
        <v>225</v>
      </c>
      <c r="E364" s="440">
        <v>198</v>
      </c>
      <c r="F364" s="300"/>
    </row>
    <row r="365" spans="1:6">
      <c r="A365" s="439">
        <v>46443</v>
      </c>
      <c r="B365" s="300">
        <v>297</v>
      </c>
      <c r="C365" s="300">
        <v>225</v>
      </c>
      <c r="D365" s="300">
        <v>225</v>
      </c>
      <c r="E365" s="440">
        <v>198</v>
      </c>
      <c r="F365" s="300"/>
    </row>
    <row r="366" spans="1:6">
      <c r="A366" s="439">
        <v>46444</v>
      </c>
      <c r="B366" s="300">
        <v>297</v>
      </c>
      <c r="C366" s="300">
        <v>225</v>
      </c>
      <c r="D366" s="300">
        <v>225</v>
      </c>
      <c r="E366" s="440">
        <v>198</v>
      </c>
      <c r="F366" s="300"/>
    </row>
    <row r="367" spans="1:6">
      <c r="A367" s="444">
        <v>46445</v>
      </c>
      <c r="B367" s="305">
        <v>297</v>
      </c>
      <c r="C367" s="305">
        <v>225</v>
      </c>
      <c r="D367" s="305">
        <v>225</v>
      </c>
      <c r="E367" s="445">
        <v>198</v>
      </c>
      <c r="F367" s="305"/>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E62A2-AEF1-413B-B3AB-2D7A405A62B1}">
  <sheetPr codeName="Feuil14"/>
  <dimension ref="A1:QS6"/>
  <sheetViews>
    <sheetView showGridLines="0" workbookViewId="0">
      <selection activeCell="A7" sqref="A7"/>
    </sheetView>
  </sheetViews>
  <sheetFormatPr baseColWidth="10" defaultColWidth="11.35546875" defaultRowHeight="24"/>
  <sheetData>
    <row r="1" spans="1:461">
      <c r="A1" s="63">
        <v>5</v>
      </c>
      <c r="B1" s="63">
        <v>461</v>
      </c>
      <c r="C1" s="63">
        <v>45549</v>
      </c>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c r="FU1" s="63"/>
      <c r="FV1" s="63"/>
      <c r="FW1" s="63"/>
      <c r="FX1" s="63"/>
      <c r="FY1" s="63"/>
      <c r="FZ1" s="63"/>
      <c r="GA1" s="63"/>
      <c r="GB1" s="63"/>
      <c r="GC1" s="63"/>
      <c r="GD1" s="63"/>
      <c r="GE1" s="63"/>
      <c r="GF1" s="63"/>
      <c r="GG1" s="63"/>
      <c r="GH1" s="63"/>
      <c r="GI1" s="63"/>
      <c r="GJ1" s="63"/>
      <c r="GK1" s="63"/>
      <c r="GL1" s="63"/>
      <c r="GM1" s="63"/>
      <c r="GN1" s="63"/>
      <c r="GO1" s="63"/>
      <c r="GP1" s="63"/>
      <c r="GQ1" s="63"/>
      <c r="GR1" s="63"/>
      <c r="GS1" s="63"/>
      <c r="GT1" s="63"/>
      <c r="GU1" s="63"/>
      <c r="GV1" s="63"/>
      <c r="GW1" s="63"/>
      <c r="GX1" s="63"/>
      <c r="GY1" s="63"/>
      <c r="GZ1" s="63"/>
      <c r="HA1" s="63"/>
      <c r="HB1" s="63"/>
      <c r="HC1" s="63"/>
      <c r="HD1" s="63"/>
      <c r="HE1" s="63"/>
      <c r="HF1" s="63"/>
      <c r="HG1" s="63"/>
      <c r="HH1" s="63"/>
      <c r="HI1" s="63"/>
      <c r="HJ1" s="63"/>
      <c r="HK1" s="63"/>
      <c r="HL1" s="63"/>
      <c r="HM1" s="63"/>
      <c r="HN1" s="63"/>
      <c r="HO1" s="63"/>
      <c r="HP1" s="63"/>
      <c r="HQ1" s="63"/>
      <c r="HR1" s="63"/>
      <c r="HS1" s="63"/>
      <c r="HT1" s="63"/>
      <c r="HU1" s="63"/>
      <c r="HV1" s="63"/>
      <c r="HW1" s="63"/>
      <c r="HX1" s="63"/>
      <c r="HY1" s="63"/>
      <c r="HZ1" s="63"/>
      <c r="IA1" s="63"/>
      <c r="IB1" s="63"/>
      <c r="IC1" s="63"/>
      <c r="ID1" s="63"/>
      <c r="IE1" s="63"/>
      <c r="IF1" s="63"/>
      <c r="IG1" s="63"/>
      <c r="IH1" s="63"/>
      <c r="II1" s="63"/>
      <c r="IJ1" s="63"/>
      <c r="IK1" s="63"/>
      <c r="IL1" s="63"/>
      <c r="IM1" s="63"/>
      <c r="IN1" s="63"/>
      <c r="IO1" s="63"/>
      <c r="IP1" s="63"/>
      <c r="IQ1" s="63"/>
      <c r="IR1" s="63"/>
      <c r="IS1" s="63"/>
      <c r="IT1" s="63"/>
      <c r="IU1" s="63"/>
      <c r="IV1" s="63"/>
      <c r="IW1" s="63"/>
      <c r="IX1" s="63"/>
      <c r="IY1" s="63"/>
      <c r="IZ1" s="63"/>
      <c r="JA1" s="63"/>
      <c r="JB1" s="63"/>
      <c r="JC1" s="63"/>
      <c r="JD1" s="63"/>
      <c r="JE1" s="63"/>
      <c r="JF1" s="63"/>
      <c r="JG1" s="63"/>
      <c r="JH1" s="63"/>
      <c r="JI1" s="63"/>
      <c r="JJ1" s="63"/>
      <c r="JK1" s="63"/>
      <c r="JL1" s="63"/>
      <c r="JM1" s="63"/>
      <c r="JN1" s="63"/>
      <c r="JO1" s="63"/>
      <c r="JP1" s="63"/>
      <c r="JQ1" s="63"/>
      <c r="JR1" s="63"/>
      <c r="JS1" s="63"/>
      <c r="JT1" s="63"/>
      <c r="JU1" s="63"/>
      <c r="JV1" s="63"/>
      <c r="JW1" s="63"/>
      <c r="JX1" s="63"/>
      <c r="JY1" s="63"/>
      <c r="JZ1" s="63"/>
      <c r="KA1" s="63"/>
      <c r="KB1" s="63"/>
      <c r="KC1" s="63"/>
      <c r="KD1" s="63"/>
      <c r="KE1" s="63"/>
      <c r="KF1" s="63"/>
      <c r="KG1" s="63"/>
      <c r="KH1" s="63"/>
      <c r="KI1" s="63"/>
      <c r="KJ1" s="63"/>
      <c r="KK1" s="63"/>
      <c r="KL1" s="63"/>
      <c r="KM1" s="63"/>
      <c r="KN1" s="63"/>
      <c r="KO1" s="63"/>
      <c r="KP1" s="63"/>
      <c r="KQ1" s="63"/>
      <c r="KR1" s="63"/>
      <c r="KS1" s="63"/>
      <c r="KT1" s="63"/>
      <c r="KU1" s="63"/>
      <c r="KV1" s="63"/>
      <c r="KW1" s="63"/>
      <c r="KX1" s="63"/>
      <c r="KY1" s="63"/>
      <c r="KZ1" s="63"/>
      <c r="LA1" s="63"/>
      <c r="LB1" s="63"/>
      <c r="LC1" s="63"/>
      <c r="LD1" s="63"/>
      <c r="LE1" s="63"/>
      <c r="LF1" s="63"/>
      <c r="LG1" s="63"/>
      <c r="LH1" s="63"/>
      <c r="LI1" s="63"/>
      <c r="LJ1" s="63"/>
      <c r="LK1" s="63"/>
      <c r="LL1" s="63"/>
      <c r="LM1" s="63"/>
      <c r="LN1" s="63"/>
      <c r="LO1" s="63"/>
      <c r="LP1" s="63"/>
      <c r="LQ1" s="63"/>
      <c r="LR1" s="63"/>
      <c r="LS1" s="63"/>
      <c r="LT1" s="63"/>
      <c r="LU1" s="63"/>
      <c r="LV1" s="63"/>
      <c r="LW1" s="63"/>
      <c r="LX1" s="63"/>
      <c r="LY1" s="63"/>
      <c r="LZ1" s="63"/>
      <c r="MA1" s="63"/>
      <c r="MB1" s="63"/>
      <c r="MC1" s="63"/>
      <c r="MD1" s="63"/>
      <c r="ME1" s="63"/>
      <c r="MF1" s="63"/>
      <c r="MG1" s="63"/>
      <c r="MH1" s="63"/>
      <c r="MI1" s="63"/>
      <c r="MJ1" s="63"/>
      <c r="MK1" s="63"/>
      <c r="ML1" s="63"/>
      <c r="MM1" s="63"/>
      <c r="MN1" s="63"/>
      <c r="MO1" s="63"/>
      <c r="MP1" s="63"/>
      <c r="MQ1" s="63"/>
      <c r="MR1" s="63"/>
      <c r="MS1" s="63"/>
      <c r="MT1" s="63"/>
      <c r="MU1" s="63"/>
      <c r="MV1" s="63"/>
      <c r="MW1" s="63"/>
      <c r="MX1" s="63"/>
      <c r="MY1" s="63"/>
      <c r="MZ1" s="63"/>
      <c r="NA1" s="63"/>
      <c r="NB1" s="63"/>
      <c r="NC1" s="63"/>
      <c r="ND1" s="63"/>
      <c r="NE1" s="63"/>
      <c r="NF1" s="63"/>
      <c r="NG1" s="63"/>
      <c r="NH1" s="63"/>
      <c r="NI1" s="63"/>
      <c r="NJ1" s="63"/>
      <c r="NK1" s="63"/>
      <c r="NL1" s="63"/>
      <c r="NM1" s="63"/>
      <c r="NN1" s="63"/>
      <c r="NO1" s="63"/>
      <c r="NP1" s="63"/>
      <c r="NQ1" s="63"/>
      <c r="NR1" s="63"/>
      <c r="NS1" s="63"/>
      <c r="NT1" s="63"/>
      <c r="NU1" s="63"/>
      <c r="NV1" s="63"/>
      <c r="NW1" s="63"/>
      <c r="NX1" s="63"/>
      <c r="NY1" s="63"/>
      <c r="NZ1" s="63"/>
      <c r="OA1" s="63"/>
      <c r="OB1" s="63"/>
      <c r="OC1" s="63"/>
      <c r="OD1" s="63"/>
      <c r="OE1" s="63"/>
      <c r="OF1" s="63"/>
      <c r="OG1" s="63"/>
      <c r="OH1" s="63"/>
      <c r="OI1" s="63"/>
      <c r="OJ1" s="63"/>
      <c r="OK1" s="63"/>
      <c r="OL1" s="63"/>
      <c r="OM1" s="63"/>
      <c r="ON1" s="63"/>
      <c r="OO1" s="63"/>
      <c r="OP1" s="63"/>
      <c r="OQ1" s="63"/>
      <c r="OR1" s="63"/>
      <c r="OS1" s="63"/>
      <c r="OT1" s="63"/>
      <c r="OU1" s="63"/>
      <c r="OV1" s="63"/>
      <c r="OW1" s="63"/>
      <c r="OX1" s="63"/>
      <c r="OY1" s="63"/>
      <c r="OZ1" s="63"/>
      <c r="PA1" s="63"/>
      <c r="PB1" s="63"/>
      <c r="PC1" s="63"/>
      <c r="PD1" s="63"/>
      <c r="PE1" s="63"/>
      <c r="PF1" s="63"/>
      <c r="PG1" s="63"/>
      <c r="PH1" s="63"/>
      <c r="PI1" s="63"/>
      <c r="PJ1" s="63"/>
      <c r="PK1" s="63"/>
      <c r="PL1" s="63"/>
      <c r="PM1" s="63"/>
      <c r="PN1" s="63"/>
      <c r="PO1" s="63"/>
    </row>
    <row r="2" spans="1:461">
      <c r="A2" s="63"/>
      <c r="B2" s="63"/>
      <c r="C2" s="63"/>
      <c r="D2" s="63"/>
      <c r="E2" s="63"/>
      <c r="F2" s="63"/>
      <c r="G2" s="63"/>
      <c r="H2" s="63"/>
      <c r="I2" s="63"/>
      <c r="J2" s="63"/>
      <c r="K2" s="63"/>
      <c r="L2" s="63"/>
      <c r="M2" s="63"/>
      <c r="N2" s="63"/>
      <c r="O2" s="63"/>
      <c r="P2" s="63"/>
      <c r="Q2" s="63"/>
      <c r="R2" s="63"/>
      <c r="S2" s="63"/>
      <c r="T2" s="63"/>
      <c r="U2" s="63"/>
      <c r="V2" s="63"/>
      <c r="W2" s="63"/>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63"/>
      <c r="BU2" s="63"/>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63"/>
      <c r="CV2" s="63"/>
      <c r="CW2" s="63"/>
      <c r="CX2" s="63"/>
      <c r="CY2" s="63"/>
      <c r="CZ2" s="63"/>
      <c r="DA2" s="63"/>
      <c r="DB2" s="63"/>
      <c r="DC2" s="63"/>
      <c r="DD2" s="63"/>
      <c r="DE2" s="63"/>
      <c r="DF2" s="63"/>
      <c r="DG2" s="63"/>
      <c r="DH2" s="63"/>
      <c r="DI2" s="63"/>
      <c r="DJ2" s="63"/>
      <c r="DK2" s="63"/>
      <c r="DL2" s="63"/>
      <c r="DM2" s="63"/>
      <c r="DN2" s="63"/>
      <c r="DO2" s="63"/>
      <c r="DP2" s="63"/>
      <c r="DQ2" s="63"/>
      <c r="DR2" s="63"/>
      <c r="DS2" s="63"/>
      <c r="DT2" s="63"/>
      <c r="DU2" s="63"/>
      <c r="DV2" s="63"/>
      <c r="DW2" s="63"/>
      <c r="DX2" s="63"/>
      <c r="DY2" s="63"/>
      <c r="DZ2" s="63"/>
      <c r="EA2" s="63"/>
      <c r="EB2" s="63"/>
      <c r="EC2" s="63"/>
      <c r="ED2" s="63"/>
      <c r="EE2" s="63"/>
      <c r="EF2" s="63"/>
      <c r="EG2" s="63"/>
      <c r="EH2" s="63"/>
      <c r="EI2" s="63"/>
      <c r="EJ2" s="63"/>
      <c r="EK2" s="63"/>
      <c r="EL2" s="63"/>
      <c r="EM2" s="63"/>
      <c r="EN2" s="63"/>
      <c r="EO2" s="63"/>
      <c r="EP2" s="63"/>
      <c r="EQ2" s="63"/>
      <c r="ER2" s="63"/>
      <c r="ES2" s="63"/>
      <c r="ET2" s="63"/>
      <c r="EU2" s="63"/>
      <c r="EV2" s="63"/>
      <c r="EW2" s="63"/>
      <c r="EX2" s="63"/>
      <c r="EY2" s="63"/>
      <c r="EZ2" s="63"/>
      <c r="FA2" s="63"/>
      <c r="FB2" s="63"/>
      <c r="FC2" s="63"/>
      <c r="FD2" s="63"/>
      <c r="FE2" s="63"/>
      <c r="FF2" s="63"/>
      <c r="FG2" s="63"/>
      <c r="FH2" s="63"/>
      <c r="FI2" s="63"/>
      <c r="FJ2" s="63"/>
      <c r="FK2" s="63"/>
      <c r="FL2" s="63"/>
      <c r="FM2" s="63"/>
      <c r="FN2" s="63"/>
      <c r="FO2" s="63"/>
      <c r="FP2" s="63"/>
      <c r="FQ2" s="63"/>
      <c r="FR2" s="63"/>
      <c r="FS2" s="63"/>
      <c r="FT2" s="63"/>
      <c r="FU2" s="63"/>
      <c r="FV2" s="63"/>
      <c r="FW2" s="63"/>
      <c r="FX2" s="63"/>
      <c r="FY2" s="63"/>
      <c r="FZ2" s="63"/>
      <c r="GA2" s="63"/>
      <c r="GB2" s="63"/>
      <c r="GC2" s="63"/>
      <c r="GD2" s="63"/>
      <c r="GE2" s="63"/>
      <c r="GF2" s="63"/>
      <c r="GG2" s="63"/>
      <c r="GH2" s="63"/>
      <c r="GI2" s="63"/>
      <c r="GJ2" s="63"/>
      <c r="GK2" s="63"/>
      <c r="GL2" s="63"/>
      <c r="GM2" s="63"/>
      <c r="GN2" s="63"/>
      <c r="GO2" s="63"/>
      <c r="GP2" s="63"/>
      <c r="GQ2" s="63"/>
      <c r="GR2" s="63"/>
      <c r="GS2" s="63"/>
      <c r="GT2" s="63"/>
      <c r="GU2" s="63"/>
      <c r="GV2" s="63"/>
      <c r="GW2" s="63"/>
      <c r="GX2" s="63"/>
      <c r="GY2" s="63"/>
      <c r="GZ2" s="63"/>
      <c r="HA2" s="63"/>
      <c r="HB2" s="63"/>
      <c r="HC2" s="63"/>
      <c r="HD2" s="63"/>
      <c r="HE2" s="63"/>
      <c r="HF2" s="63"/>
      <c r="HG2" s="63"/>
      <c r="HH2" s="63"/>
      <c r="HI2" s="63"/>
      <c r="HJ2" s="63"/>
      <c r="HK2" s="63"/>
      <c r="HL2" s="63"/>
      <c r="HM2" s="63"/>
      <c r="HN2" s="63"/>
      <c r="HO2" s="63"/>
      <c r="HP2" s="63"/>
      <c r="HQ2" s="63"/>
      <c r="HR2" s="63"/>
      <c r="HS2" s="63"/>
      <c r="HT2" s="63"/>
      <c r="HU2" s="63"/>
      <c r="HV2" s="63"/>
      <c r="HW2" s="63"/>
      <c r="HX2" s="63"/>
      <c r="HY2" s="63"/>
      <c r="HZ2" s="63"/>
      <c r="IA2" s="63"/>
      <c r="IB2" s="63"/>
      <c r="IC2" s="63"/>
      <c r="ID2" s="63"/>
      <c r="IE2" s="63"/>
      <c r="IF2" s="63"/>
      <c r="IG2" s="63"/>
      <c r="IH2" s="63"/>
      <c r="II2" s="63"/>
      <c r="IJ2" s="63"/>
      <c r="IK2" s="63"/>
      <c r="IL2" s="63"/>
      <c r="IM2" s="63"/>
      <c r="IN2" s="63"/>
      <c r="IO2" s="63"/>
      <c r="IP2" s="63"/>
      <c r="IQ2" s="63"/>
      <c r="IR2" s="63"/>
      <c r="IS2" s="63"/>
      <c r="IT2" s="63"/>
      <c r="IU2" s="63"/>
      <c r="IV2" s="63"/>
      <c r="IW2" s="63"/>
      <c r="IX2" s="63"/>
      <c r="IY2" s="63"/>
      <c r="IZ2" s="63"/>
      <c r="JA2" s="63"/>
      <c r="JB2" s="63"/>
      <c r="JC2" s="63"/>
      <c r="JD2" s="63"/>
      <c r="JE2" s="63"/>
      <c r="JF2" s="63"/>
      <c r="JG2" s="63"/>
      <c r="JH2" s="63"/>
      <c r="JI2" s="63"/>
      <c r="JJ2" s="63"/>
      <c r="JK2" s="63"/>
      <c r="JL2" s="63"/>
      <c r="JM2" s="63"/>
      <c r="JN2" s="63"/>
      <c r="JO2" s="63"/>
      <c r="JP2" s="63"/>
      <c r="JQ2" s="63"/>
      <c r="JR2" s="63"/>
      <c r="JS2" s="63"/>
      <c r="JT2" s="63"/>
      <c r="JU2" s="63"/>
      <c r="JV2" s="63"/>
      <c r="JW2" s="63"/>
      <c r="JX2" s="63"/>
      <c r="JY2" s="63"/>
      <c r="JZ2" s="63"/>
      <c r="KA2" s="63"/>
      <c r="KB2" s="63"/>
      <c r="KC2" s="63"/>
      <c r="KD2" s="63"/>
      <c r="KE2" s="63"/>
      <c r="KF2" s="63"/>
      <c r="KG2" s="63"/>
      <c r="KH2" s="63"/>
      <c r="KI2" s="63"/>
      <c r="KJ2" s="63"/>
      <c r="KK2" s="63"/>
      <c r="KL2" s="63"/>
      <c r="KM2" s="63"/>
      <c r="KN2" s="63"/>
      <c r="KO2" s="63"/>
      <c r="KP2" s="63"/>
      <c r="KQ2" s="63"/>
      <c r="KR2" s="63"/>
      <c r="KS2" s="63"/>
      <c r="KT2" s="63"/>
      <c r="KU2" s="63"/>
      <c r="KV2" s="63"/>
      <c r="KW2" s="63"/>
      <c r="KX2" s="63"/>
      <c r="KY2" s="63"/>
      <c r="KZ2" s="63"/>
      <c r="LA2" s="63"/>
      <c r="LB2" s="63"/>
      <c r="LC2" s="63"/>
      <c r="LD2" s="63"/>
      <c r="LE2" s="63"/>
      <c r="LF2" s="63"/>
      <c r="LG2" s="63"/>
      <c r="LH2" s="63"/>
      <c r="LI2" s="63"/>
      <c r="LJ2" s="63"/>
      <c r="LK2" s="63"/>
      <c r="LL2" s="63"/>
      <c r="LM2" s="63"/>
      <c r="LN2" s="63"/>
      <c r="LO2" s="63"/>
      <c r="LP2" s="63"/>
      <c r="LQ2" s="63"/>
      <c r="LR2" s="63"/>
      <c r="LS2" s="63"/>
      <c r="LT2" s="63"/>
      <c r="LU2" s="63"/>
      <c r="LV2" s="63"/>
      <c r="LW2" s="63"/>
      <c r="LX2" s="63"/>
      <c r="LY2" s="63"/>
      <c r="LZ2" s="63"/>
      <c r="MA2" s="63"/>
      <c r="MB2" s="63"/>
      <c r="MC2" s="63"/>
      <c r="MD2" s="63"/>
      <c r="ME2" s="63"/>
      <c r="MF2" s="63"/>
      <c r="MG2" s="63"/>
      <c r="MH2" s="63"/>
      <c r="MI2" s="63"/>
      <c r="MJ2" s="63"/>
      <c r="MK2" s="63"/>
      <c r="ML2" s="63"/>
      <c r="MM2" s="63"/>
      <c r="MN2" s="63"/>
      <c r="MO2" s="63"/>
      <c r="MP2" s="63"/>
      <c r="MQ2" s="63"/>
      <c r="MR2" s="63"/>
      <c r="MS2" s="63"/>
      <c r="MT2" s="63"/>
      <c r="MU2" s="63"/>
      <c r="MV2" s="63"/>
      <c r="MW2" s="63"/>
      <c r="MX2" s="63"/>
      <c r="MY2" s="63"/>
      <c r="MZ2" s="63"/>
      <c r="NA2" s="63"/>
      <c r="NB2" s="63"/>
      <c r="NC2" s="63"/>
      <c r="ND2" s="63"/>
      <c r="NE2" s="63"/>
      <c r="NF2" s="63"/>
      <c r="NG2" s="63"/>
      <c r="NH2" s="63"/>
      <c r="NI2" s="63"/>
      <c r="NJ2" s="63"/>
      <c r="NK2" s="63"/>
      <c r="NL2" s="63"/>
      <c r="NM2" s="63"/>
      <c r="NN2" s="63"/>
      <c r="NO2" s="63"/>
      <c r="NP2" s="63"/>
      <c r="NQ2" s="63"/>
      <c r="NR2" s="63"/>
      <c r="NS2" s="63"/>
      <c r="NT2" s="63"/>
      <c r="NU2" s="63"/>
      <c r="NV2" s="63"/>
      <c r="NW2" s="63"/>
      <c r="NX2" s="63"/>
      <c r="NY2" s="63"/>
      <c r="NZ2" s="63"/>
      <c r="OA2" s="63"/>
      <c r="OB2" s="63"/>
      <c r="OC2" s="63"/>
      <c r="OD2" s="63"/>
      <c r="OE2" s="63"/>
      <c r="OF2" s="63"/>
      <c r="OG2" s="63"/>
      <c r="OH2" s="63"/>
      <c r="OI2" s="63"/>
      <c r="OJ2" s="63"/>
      <c r="OK2" s="63"/>
      <c r="OL2" s="63"/>
      <c r="OM2" s="63"/>
      <c r="ON2" s="63"/>
      <c r="OO2" s="63"/>
      <c r="OP2" s="63"/>
      <c r="OQ2" s="63"/>
      <c r="OR2" s="63"/>
      <c r="OS2" s="63"/>
      <c r="OT2" s="63"/>
      <c r="OU2" s="63"/>
      <c r="OV2" s="63"/>
      <c r="OW2" s="63"/>
      <c r="OX2" s="63"/>
      <c r="OY2" s="63"/>
      <c r="OZ2" s="63"/>
      <c r="PA2" s="63"/>
      <c r="PB2" s="63"/>
      <c r="PC2" s="63"/>
      <c r="PD2" s="63"/>
      <c r="PE2" s="63"/>
      <c r="PF2" s="63"/>
      <c r="PG2" s="63"/>
      <c r="PH2" s="63"/>
      <c r="PI2" s="63"/>
      <c r="PJ2" s="63"/>
      <c r="PK2" s="63"/>
      <c r="PL2" s="63"/>
      <c r="PM2" s="63"/>
      <c r="PN2" s="63"/>
      <c r="PO2" s="63"/>
    </row>
    <row r="3" spans="1:461">
      <c r="A3" s="63"/>
      <c r="B3" s="63"/>
      <c r="C3" s="63"/>
      <c r="D3" s="63"/>
      <c r="E3" s="63"/>
      <c r="F3" s="63"/>
      <c r="G3" s="63"/>
      <c r="H3" s="63"/>
      <c r="I3" s="63"/>
      <c r="J3" s="63"/>
      <c r="K3" s="63"/>
      <c r="L3" s="63"/>
      <c r="M3" s="63"/>
      <c r="N3" s="63"/>
      <c r="O3" s="63"/>
      <c r="P3" s="63"/>
      <c r="Q3" s="63"/>
      <c r="R3" s="63"/>
      <c r="S3" s="63"/>
      <c r="T3" s="63"/>
      <c r="U3" s="63"/>
      <c r="V3" s="63"/>
      <c r="W3" s="63"/>
      <c r="X3" s="63"/>
      <c r="Y3" s="63"/>
      <c r="Z3" s="63"/>
      <c r="AA3" s="63"/>
      <c r="AB3" s="63"/>
      <c r="AC3" s="63"/>
      <c r="AD3" s="63"/>
      <c r="AE3" s="63"/>
      <c r="AF3" s="63"/>
      <c r="AG3" s="63"/>
      <c r="AH3" s="63"/>
      <c r="AI3" s="63"/>
      <c r="AJ3" s="63"/>
      <c r="AK3" s="63"/>
      <c r="AL3" s="63"/>
      <c r="AM3" s="63"/>
      <c r="AN3" s="63"/>
      <c r="AO3" s="63"/>
      <c r="AP3" s="63"/>
      <c r="AQ3" s="63"/>
      <c r="AR3" s="63"/>
      <c r="AS3" s="63"/>
      <c r="AT3" s="63"/>
      <c r="AU3" s="63"/>
      <c r="AV3" s="63"/>
      <c r="AW3" s="63"/>
      <c r="AX3" s="1134"/>
      <c r="AY3" s="1134"/>
      <c r="AZ3" s="1134"/>
      <c r="BA3" s="1134"/>
      <c r="BB3" s="1134"/>
      <c r="BC3" s="1134"/>
      <c r="BD3" s="1134"/>
      <c r="BE3" s="1134"/>
      <c r="BF3" s="1134"/>
      <c r="BG3" s="1134"/>
      <c r="BH3" s="1134"/>
      <c r="BI3" s="1134"/>
      <c r="BJ3" s="1134"/>
      <c r="BK3" s="1134"/>
      <c r="BL3" s="1134"/>
      <c r="BM3" s="1134"/>
      <c r="BN3" s="1134"/>
      <c r="BO3" s="1134"/>
      <c r="BP3" s="1134"/>
      <c r="BQ3" s="1134"/>
      <c r="BR3" s="1134"/>
      <c r="BS3" s="1134"/>
      <c r="BT3" s="1134"/>
      <c r="BU3" s="1134"/>
      <c r="BV3" s="1134"/>
      <c r="BW3" s="1134"/>
      <c r="BX3" s="1134"/>
      <c r="BY3" s="1134"/>
      <c r="BZ3" s="1134"/>
      <c r="CA3" s="1134"/>
      <c r="CB3" s="1134"/>
      <c r="CC3" s="1134"/>
      <c r="CD3" s="1134"/>
      <c r="CE3" s="1134"/>
      <c r="CF3" s="1134"/>
      <c r="CG3" s="1134"/>
      <c r="CH3" s="1134"/>
      <c r="CI3" s="1134"/>
      <c r="CJ3" s="1134"/>
      <c r="CK3" s="1134"/>
      <c r="CL3" s="1134"/>
      <c r="CM3" s="1134"/>
      <c r="CN3" s="1134"/>
      <c r="CO3" s="1134"/>
      <c r="CP3" s="1134">
        <v>280</v>
      </c>
      <c r="CQ3" s="1134">
        <v>280</v>
      </c>
      <c r="CR3" s="1134">
        <v>280</v>
      </c>
      <c r="CS3" s="1134">
        <v>280</v>
      </c>
      <c r="CT3" s="1134">
        <v>280</v>
      </c>
      <c r="CU3" s="1134">
        <v>280</v>
      </c>
      <c r="CV3" s="1134"/>
      <c r="CW3" s="1134"/>
      <c r="CX3" s="1134"/>
      <c r="CY3" s="1134"/>
      <c r="CZ3" s="1134"/>
      <c r="DA3" s="1134"/>
      <c r="DB3" s="1134"/>
      <c r="DC3" s="1134"/>
      <c r="DD3" s="1134"/>
      <c r="DE3" s="1134"/>
      <c r="DF3" s="1134"/>
      <c r="DG3" s="1134"/>
      <c r="DH3" s="1134">
        <v>298</v>
      </c>
      <c r="DI3" s="1134">
        <v>298</v>
      </c>
      <c r="DJ3" s="1134"/>
      <c r="DK3" s="1134"/>
      <c r="DL3" s="1134"/>
      <c r="DM3" s="1134">
        <v>350</v>
      </c>
      <c r="DN3" s="1134">
        <v>350</v>
      </c>
      <c r="DO3" s="1134">
        <v>350</v>
      </c>
      <c r="DP3" s="1134">
        <v>350</v>
      </c>
      <c r="DQ3" s="1134">
        <v>350</v>
      </c>
      <c r="DR3" s="1134">
        <v>350</v>
      </c>
      <c r="DS3" s="1134">
        <v>350</v>
      </c>
      <c r="DT3" s="1134">
        <v>350</v>
      </c>
      <c r="DU3" s="1134">
        <v>350</v>
      </c>
      <c r="DV3" s="1134">
        <v>350</v>
      </c>
      <c r="DW3" s="1134">
        <v>350</v>
      </c>
      <c r="DX3" s="1134">
        <v>350</v>
      </c>
      <c r="DY3" s="1134">
        <v>350</v>
      </c>
      <c r="DZ3" s="1134">
        <v>350</v>
      </c>
      <c r="EA3" s="1134">
        <v>350</v>
      </c>
      <c r="EB3" s="1134">
        <v>350</v>
      </c>
      <c r="EC3" s="1134">
        <v>350</v>
      </c>
      <c r="ED3" s="1134">
        <v>350</v>
      </c>
      <c r="EE3" s="1134">
        <v>350</v>
      </c>
      <c r="EF3" s="1134">
        <v>350</v>
      </c>
      <c r="EG3" s="1134">
        <v>350</v>
      </c>
      <c r="EH3" s="1134">
        <v>350</v>
      </c>
      <c r="EI3" s="1134">
        <v>350</v>
      </c>
      <c r="EJ3" s="1134">
        <v>350</v>
      </c>
      <c r="EK3" s="1134">
        <v>350</v>
      </c>
      <c r="EL3" s="1134">
        <v>310</v>
      </c>
      <c r="EM3" s="1134">
        <v>310</v>
      </c>
      <c r="EN3" s="1134">
        <v>310</v>
      </c>
      <c r="EO3" s="1134">
        <v>310</v>
      </c>
      <c r="EP3" s="1134">
        <v>310</v>
      </c>
      <c r="EQ3" s="1134"/>
      <c r="ER3" s="1134"/>
      <c r="ES3" s="1134"/>
      <c r="ET3" s="1134"/>
      <c r="EU3" s="1134"/>
      <c r="EV3" s="1134"/>
      <c r="EW3" s="1134"/>
      <c r="EX3" s="1134"/>
      <c r="EY3" s="1134"/>
      <c r="EZ3" s="1134"/>
      <c r="FA3" s="1134">
        <v>310</v>
      </c>
      <c r="FB3" s="1134">
        <v>310</v>
      </c>
      <c r="FC3" s="1134">
        <v>310</v>
      </c>
      <c r="FD3" s="1134">
        <v>310</v>
      </c>
      <c r="FE3" s="1134">
        <v>310</v>
      </c>
      <c r="FF3" s="1134">
        <v>310</v>
      </c>
      <c r="FG3" s="1134">
        <v>310</v>
      </c>
      <c r="FH3" s="1134">
        <v>310</v>
      </c>
      <c r="FI3" s="1134">
        <v>310</v>
      </c>
      <c r="FJ3" s="1134">
        <v>310</v>
      </c>
      <c r="FK3" s="1134">
        <v>310</v>
      </c>
      <c r="FL3" s="1134">
        <v>310</v>
      </c>
      <c r="FM3" s="1134">
        <v>310</v>
      </c>
      <c r="FN3" s="1134">
        <v>380</v>
      </c>
      <c r="FO3" s="1134">
        <v>380</v>
      </c>
      <c r="FP3" s="1134">
        <v>380</v>
      </c>
      <c r="FQ3" s="1134">
        <v>380</v>
      </c>
      <c r="FR3" s="1134">
        <v>380</v>
      </c>
      <c r="FS3" s="1134">
        <v>380</v>
      </c>
      <c r="FT3" s="1134">
        <v>380</v>
      </c>
      <c r="FU3" s="1134">
        <v>380</v>
      </c>
      <c r="FV3" s="1134">
        <v>380</v>
      </c>
      <c r="FW3" s="1134">
        <v>380</v>
      </c>
      <c r="FX3" s="1134">
        <v>380</v>
      </c>
      <c r="FY3" s="1134">
        <v>380</v>
      </c>
      <c r="FZ3" s="1134">
        <v>380</v>
      </c>
      <c r="GA3" s="1134">
        <v>380</v>
      </c>
      <c r="GB3" s="1134">
        <v>380</v>
      </c>
      <c r="GC3" s="1134">
        <v>380</v>
      </c>
      <c r="GD3" s="1134">
        <v>380</v>
      </c>
      <c r="GE3" s="1134">
        <v>380</v>
      </c>
      <c r="GF3" s="1134">
        <v>380</v>
      </c>
      <c r="GG3" s="1134">
        <v>380</v>
      </c>
      <c r="GH3" s="1134">
        <v>380</v>
      </c>
      <c r="GI3" s="1134">
        <v>380</v>
      </c>
      <c r="GJ3" s="1134">
        <v>380</v>
      </c>
      <c r="GK3" s="1134">
        <v>380</v>
      </c>
      <c r="GL3" s="1134">
        <v>380</v>
      </c>
      <c r="GM3" s="1134">
        <v>380</v>
      </c>
      <c r="GN3" s="1134">
        <v>380</v>
      </c>
      <c r="GO3" s="1134">
        <v>380</v>
      </c>
      <c r="GP3" s="1134">
        <v>380</v>
      </c>
      <c r="GQ3" s="1134">
        <v>380</v>
      </c>
      <c r="GR3" s="1134">
        <v>380</v>
      </c>
      <c r="GS3" s="1134">
        <v>380</v>
      </c>
      <c r="GT3" s="1134">
        <v>380</v>
      </c>
      <c r="GU3" s="1134">
        <v>380</v>
      </c>
      <c r="GV3" s="1134">
        <v>380</v>
      </c>
      <c r="GW3" s="1134">
        <v>380</v>
      </c>
      <c r="GX3" s="1134">
        <v>380</v>
      </c>
      <c r="GY3" s="1134">
        <v>380</v>
      </c>
      <c r="GZ3" s="1134">
        <v>380</v>
      </c>
      <c r="HA3" s="1134"/>
      <c r="HB3" s="1134"/>
      <c r="HC3" s="1134"/>
      <c r="HD3" s="1134"/>
      <c r="HE3" s="1134"/>
      <c r="HF3" s="1134"/>
      <c r="HG3" s="1134"/>
      <c r="HH3" s="1134">
        <v>380</v>
      </c>
      <c r="HI3" s="1134">
        <v>380</v>
      </c>
      <c r="HJ3" s="1134"/>
      <c r="HK3" s="1134"/>
      <c r="HL3" s="1134"/>
      <c r="HM3" s="1134"/>
      <c r="HN3" s="1134"/>
      <c r="HO3" s="1134">
        <v>380</v>
      </c>
      <c r="HP3" s="1134">
        <v>380</v>
      </c>
      <c r="HQ3" s="1134">
        <v>380</v>
      </c>
      <c r="HR3" s="1134">
        <v>380</v>
      </c>
      <c r="HS3" s="1134">
        <v>380</v>
      </c>
      <c r="HT3" s="1134">
        <v>380</v>
      </c>
      <c r="HU3" s="1134">
        <v>380</v>
      </c>
      <c r="HV3" s="1134">
        <v>380</v>
      </c>
      <c r="HW3" s="1134">
        <v>380</v>
      </c>
      <c r="HX3" s="1134">
        <v>380</v>
      </c>
      <c r="HY3" s="1134">
        <v>380</v>
      </c>
      <c r="HZ3" s="1134">
        <v>380</v>
      </c>
      <c r="IA3" s="1134">
        <v>380</v>
      </c>
      <c r="IB3" s="1134">
        <v>380</v>
      </c>
      <c r="IC3" s="1134">
        <v>380</v>
      </c>
      <c r="ID3" s="1134">
        <v>380</v>
      </c>
      <c r="IE3" s="1134">
        <v>380</v>
      </c>
      <c r="IF3" s="1134">
        <v>380</v>
      </c>
      <c r="IG3" s="1134">
        <v>380</v>
      </c>
      <c r="IH3" s="1134">
        <v>380</v>
      </c>
      <c r="II3" s="1134">
        <v>380</v>
      </c>
      <c r="IJ3" s="1134">
        <v>380</v>
      </c>
      <c r="IK3" s="1134"/>
      <c r="IL3" s="1134"/>
      <c r="IM3" s="1134"/>
      <c r="IN3" s="1134"/>
      <c r="IO3" s="1134">
        <v>380</v>
      </c>
      <c r="IP3" s="1134">
        <v>380</v>
      </c>
      <c r="IQ3" s="1134">
        <v>380</v>
      </c>
      <c r="IR3" s="1134">
        <v>380</v>
      </c>
      <c r="IS3" s="1134">
        <v>380</v>
      </c>
      <c r="IT3" s="1134">
        <v>380</v>
      </c>
      <c r="IU3" s="1134">
        <v>380</v>
      </c>
      <c r="IV3" s="1134">
        <v>380</v>
      </c>
      <c r="IW3" s="1134">
        <v>380</v>
      </c>
      <c r="IX3" s="1134">
        <v>380</v>
      </c>
      <c r="IY3" s="1134">
        <v>380</v>
      </c>
      <c r="IZ3" s="1134">
        <v>380</v>
      </c>
      <c r="JA3" s="1134"/>
      <c r="JB3" s="1134"/>
      <c r="JC3" s="1134"/>
      <c r="JD3" s="1134"/>
      <c r="JE3" s="1134"/>
      <c r="JF3" s="1134"/>
      <c r="JG3" s="1134"/>
      <c r="JH3" s="1134"/>
      <c r="JI3" s="1134"/>
      <c r="JJ3" s="1134"/>
      <c r="JK3" s="1134">
        <v>390</v>
      </c>
      <c r="JL3" s="1134">
        <v>390</v>
      </c>
      <c r="JM3" s="1134">
        <v>390</v>
      </c>
      <c r="JN3" s="1134">
        <v>390</v>
      </c>
      <c r="JO3" s="1134"/>
      <c r="JP3" s="1134"/>
      <c r="JQ3" s="1134"/>
      <c r="JR3" s="1134"/>
      <c r="JS3" s="1134"/>
      <c r="JT3" s="1134"/>
      <c r="JU3" s="1134"/>
      <c r="JV3" s="1134"/>
      <c r="JW3" s="1134"/>
      <c r="JX3" s="1134"/>
      <c r="JY3" s="1134"/>
      <c r="JZ3" s="1134"/>
      <c r="KA3" s="1134"/>
      <c r="KB3" s="1134"/>
      <c r="KC3" s="1134"/>
      <c r="KD3" s="1134">
        <v>390</v>
      </c>
      <c r="KE3" s="1134">
        <v>390</v>
      </c>
      <c r="KF3" s="1134">
        <v>360</v>
      </c>
      <c r="KG3" s="1134">
        <v>360</v>
      </c>
      <c r="KH3" s="1134">
        <v>360</v>
      </c>
      <c r="KI3" s="1134">
        <v>360</v>
      </c>
      <c r="KJ3" s="1134">
        <v>360</v>
      </c>
      <c r="KK3" s="1134">
        <v>360</v>
      </c>
      <c r="KL3" s="1134">
        <v>360</v>
      </c>
      <c r="KM3" s="1134">
        <v>360</v>
      </c>
      <c r="KN3" s="1134">
        <v>360</v>
      </c>
      <c r="KO3" s="1134">
        <v>360</v>
      </c>
      <c r="KP3" s="1134">
        <v>360</v>
      </c>
      <c r="KQ3" s="1134">
        <v>360</v>
      </c>
      <c r="KR3" s="1134">
        <v>360</v>
      </c>
      <c r="KS3" s="1134">
        <v>360</v>
      </c>
      <c r="KT3" s="1134">
        <v>360</v>
      </c>
      <c r="KU3" s="1134">
        <v>360</v>
      </c>
      <c r="KV3" s="1134">
        <v>360</v>
      </c>
      <c r="KW3" s="1134">
        <v>360</v>
      </c>
      <c r="KX3" s="1134">
        <v>360</v>
      </c>
      <c r="KY3" s="1134">
        <v>360</v>
      </c>
      <c r="KZ3" s="1134">
        <v>360</v>
      </c>
      <c r="LA3" s="1134">
        <v>360</v>
      </c>
      <c r="LB3" s="1134">
        <v>360</v>
      </c>
      <c r="LC3" s="1134">
        <v>360</v>
      </c>
      <c r="LD3" s="1134">
        <v>360</v>
      </c>
      <c r="LE3" s="1134">
        <v>360</v>
      </c>
      <c r="LF3" s="1134">
        <v>360</v>
      </c>
      <c r="LG3" s="1134">
        <v>360</v>
      </c>
      <c r="LH3" s="1134">
        <v>360</v>
      </c>
      <c r="LI3" s="1134">
        <v>360</v>
      </c>
      <c r="LJ3" s="1134">
        <v>360</v>
      </c>
      <c r="LK3" s="1134"/>
      <c r="LL3" s="1134"/>
      <c r="LM3" s="1134"/>
      <c r="LN3" s="1134"/>
      <c r="LO3" s="1134"/>
      <c r="LP3" s="1134">
        <v>360</v>
      </c>
      <c r="LQ3" s="1134">
        <v>360</v>
      </c>
      <c r="LR3" s="1134">
        <v>360</v>
      </c>
      <c r="LS3" s="1134">
        <v>360</v>
      </c>
      <c r="LT3" s="1134">
        <v>360</v>
      </c>
      <c r="LU3" s="1134">
        <v>360</v>
      </c>
      <c r="LV3" s="1134">
        <v>360</v>
      </c>
      <c r="LW3" s="1134">
        <v>360</v>
      </c>
      <c r="LX3" s="1134">
        <v>360</v>
      </c>
      <c r="LY3" s="1134">
        <v>360</v>
      </c>
      <c r="LZ3" s="1134">
        <v>360</v>
      </c>
      <c r="MA3" s="1134">
        <v>360</v>
      </c>
      <c r="MB3" s="1134">
        <v>360</v>
      </c>
      <c r="MC3" s="1134">
        <v>360</v>
      </c>
      <c r="MD3" s="1134">
        <v>360</v>
      </c>
      <c r="ME3" s="1134">
        <v>360</v>
      </c>
      <c r="MF3" s="1134">
        <v>360</v>
      </c>
      <c r="MG3" s="1134">
        <v>360</v>
      </c>
      <c r="MH3" s="1134">
        <v>360</v>
      </c>
      <c r="MI3" s="1134">
        <v>360</v>
      </c>
      <c r="MJ3" s="1134">
        <v>360</v>
      </c>
      <c r="MK3" s="1134">
        <v>360</v>
      </c>
      <c r="ML3" s="1134">
        <v>360</v>
      </c>
      <c r="MM3" s="1134">
        <v>360</v>
      </c>
      <c r="MN3" s="1134">
        <v>360</v>
      </c>
      <c r="MO3" s="1134">
        <v>360</v>
      </c>
      <c r="MP3" s="1134">
        <v>390</v>
      </c>
      <c r="MQ3" s="1134">
        <v>390</v>
      </c>
      <c r="MR3" s="1134">
        <v>390</v>
      </c>
      <c r="MS3" s="1134">
        <v>390</v>
      </c>
      <c r="MT3" s="1134">
        <v>390</v>
      </c>
      <c r="MU3" s="1134">
        <v>390</v>
      </c>
      <c r="MV3" s="1134">
        <v>390</v>
      </c>
      <c r="MW3" s="1134">
        <v>390</v>
      </c>
      <c r="MX3" s="1134">
        <v>390</v>
      </c>
      <c r="MY3" s="1134">
        <v>390</v>
      </c>
      <c r="MZ3" s="1134">
        <v>390</v>
      </c>
      <c r="NA3" s="1134">
        <v>390</v>
      </c>
      <c r="NB3" s="1134">
        <v>390</v>
      </c>
      <c r="NC3" s="1134">
        <v>390</v>
      </c>
      <c r="ND3" s="1134">
        <v>390</v>
      </c>
      <c r="NE3" s="1134">
        <v>390</v>
      </c>
      <c r="NF3" s="1134">
        <v>390</v>
      </c>
      <c r="NG3" s="1134">
        <v>390</v>
      </c>
      <c r="NH3" s="1134">
        <v>390</v>
      </c>
      <c r="NI3" s="1134">
        <v>390</v>
      </c>
      <c r="NJ3" s="1134">
        <v>390</v>
      </c>
      <c r="NK3" s="1134">
        <v>390</v>
      </c>
      <c r="NL3" s="1134">
        <v>390</v>
      </c>
      <c r="NM3" s="1134">
        <v>390</v>
      </c>
      <c r="NN3" s="1134">
        <v>390</v>
      </c>
      <c r="NO3" s="1134">
        <v>390</v>
      </c>
      <c r="NP3" s="1134">
        <v>390</v>
      </c>
      <c r="NQ3" s="1134">
        <v>390</v>
      </c>
      <c r="NR3" s="1134">
        <v>390</v>
      </c>
      <c r="NS3" s="1134">
        <v>390</v>
      </c>
      <c r="NT3" s="1134">
        <v>390</v>
      </c>
      <c r="NU3" s="1134">
        <v>390</v>
      </c>
      <c r="NV3" s="1134">
        <v>390</v>
      </c>
      <c r="NW3" s="1134">
        <v>390</v>
      </c>
      <c r="NX3" s="1134">
        <v>390</v>
      </c>
      <c r="NY3" s="1134">
        <v>390</v>
      </c>
      <c r="NZ3" s="1134">
        <v>390</v>
      </c>
      <c r="OA3" s="1134">
        <v>390</v>
      </c>
      <c r="OB3" s="1134">
        <v>390</v>
      </c>
      <c r="OC3" s="1134">
        <v>390</v>
      </c>
      <c r="OD3" s="1134">
        <v>390</v>
      </c>
      <c r="OE3" s="1134">
        <v>390</v>
      </c>
      <c r="OF3" s="1134">
        <v>390</v>
      </c>
      <c r="OG3" s="1134">
        <v>390</v>
      </c>
      <c r="OH3" s="1134">
        <v>390</v>
      </c>
      <c r="OI3" s="1134">
        <v>390</v>
      </c>
      <c r="OJ3" s="1134">
        <v>390</v>
      </c>
      <c r="OK3" s="1134">
        <v>390</v>
      </c>
      <c r="OL3" s="1134">
        <v>390</v>
      </c>
      <c r="OM3" s="1134">
        <v>390</v>
      </c>
      <c r="ON3" s="1134">
        <v>390</v>
      </c>
      <c r="OO3" s="1134">
        <v>390</v>
      </c>
      <c r="OP3" s="1134">
        <v>390</v>
      </c>
      <c r="OQ3" s="1134">
        <v>390</v>
      </c>
      <c r="OR3" s="1134">
        <v>390</v>
      </c>
      <c r="OS3" s="1134">
        <v>390</v>
      </c>
      <c r="OT3" s="1134">
        <v>390</v>
      </c>
      <c r="OU3" s="1134">
        <v>390</v>
      </c>
      <c r="OV3" s="1134">
        <v>390</v>
      </c>
      <c r="OW3" s="1134">
        <v>390</v>
      </c>
      <c r="OX3" s="1134">
        <v>390</v>
      </c>
      <c r="OY3" s="1134">
        <v>310</v>
      </c>
      <c r="OZ3" s="1134">
        <v>310</v>
      </c>
      <c r="PA3" s="1134">
        <v>310</v>
      </c>
      <c r="PB3" s="1134">
        <v>310</v>
      </c>
      <c r="PC3" s="1134">
        <v>310</v>
      </c>
      <c r="PD3" s="1134">
        <v>310</v>
      </c>
      <c r="PE3" s="1134">
        <v>310</v>
      </c>
      <c r="PF3" s="1134">
        <v>310</v>
      </c>
      <c r="PG3" s="1134">
        <v>310</v>
      </c>
      <c r="PH3" s="1134">
        <v>310</v>
      </c>
      <c r="PI3" s="1134">
        <v>310</v>
      </c>
      <c r="PJ3" s="1134">
        <v>310</v>
      </c>
      <c r="PK3" s="1134">
        <v>310</v>
      </c>
      <c r="PL3" s="1134">
        <v>310</v>
      </c>
      <c r="PM3" s="1134">
        <v>310</v>
      </c>
      <c r="PN3" s="1134">
        <v>310</v>
      </c>
      <c r="PO3" s="1134">
        <v>310</v>
      </c>
      <c r="PP3" s="1135"/>
      <c r="PQ3" s="1135"/>
      <c r="PR3" s="1135"/>
      <c r="PS3" s="1135"/>
      <c r="PT3" s="1135"/>
      <c r="PU3" s="1135"/>
      <c r="PV3" s="1135"/>
      <c r="PW3" s="1135"/>
      <c r="PX3" s="1135"/>
      <c r="PY3" s="1135"/>
      <c r="PZ3" s="1135"/>
      <c r="QA3" s="1135"/>
      <c r="QB3" s="1135"/>
      <c r="QC3" s="1135"/>
      <c r="QD3" s="1135"/>
      <c r="QE3" s="1135"/>
      <c r="QF3" s="1135"/>
      <c r="QG3" s="1135"/>
      <c r="QH3" s="1135"/>
      <c r="QI3" s="1135"/>
      <c r="QJ3" s="1135"/>
      <c r="QK3" s="1135"/>
      <c r="QL3" s="1135"/>
      <c r="QM3" s="1135"/>
      <c r="QN3" s="1135"/>
      <c r="QO3" s="1135"/>
      <c r="QP3" s="1135"/>
      <c r="QQ3" s="1135"/>
      <c r="QR3" s="1135"/>
      <c r="QS3" s="1135"/>
    </row>
    <row r="4" spans="1:461">
      <c r="A4" s="63"/>
      <c r="B4" s="63"/>
      <c r="C4" s="63"/>
      <c r="D4" s="63"/>
      <c r="E4" s="63"/>
      <c r="F4" s="63"/>
      <c r="G4" s="63"/>
      <c r="H4" s="63"/>
      <c r="I4" s="63"/>
      <c r="J4" s="63"/>
      <c r="K4" s="63"/>
      <c r="L4" s="63"/>
      <c r="M4" s="63"/>
      <c r="N4" s="63"/>
      <c r="O4" s="63"/>
      <c r="P4" s="63"/>
      <c r="Q4" s="63"/>
      <c r="R4" s="63"/>
      <c r="S4" s="63"/>
      <c r="T4" s="63"/>
      <c r="U4" s="63"/>
      <c r="V4" s="63"/>
      <c r="W4" s="63"/>
      <c r="X4" s="63"/>
      <c r="Y4" s="63"/>
      <c r="Z4" s="63"/>
      <c r="AA4" s="63"/>
      <c r="AB4" s="63"/>
      <c r="AC4" s="63"/>
      <c r="AD4" s="63"/>
      <c r="AE4" s="63"/>
      <c r="AF4" s="63"/>
      <c r="AG4" s="63"/>
      <c r="AH4" s="63"/>
      <c r="AI4" s="63"/>
      <c r="AJ4" s="63"/>
      <c r="AK4" s="63"/>
      <c r="AL4" s="1134"/>
      <c r="AM4" s="1134"/>
      <c r="AN4" s="1134"/>
      <c r="AO4" s="1134"/>
      <c r="AP4" s="1134"/>
      <c r="AQ4" s="1134"/>
      <c r="AR4" s="1134"/>
      <c r="AS4" s="1134"/>
      <c r="AT4" s="1134"/>
      <c r="AU4" s="63"/>
      <c r="AV4" s="63"/>
      <c r="AW4" s="63"/>
      <c r="AX4" s="63"/>
      <c r="AY4" s="63"/>
      <c r="AZ4" s="63"/>
      <c r="BA4" s="63"/>
      <c r="BB4" s="1134"/>
      <c r="BC4" s="1134"/>
      <c r="BD4" s="1134"/>
      <c r="BE4" s="1134"/>
      <c r="BF4" s="1134"/>
      <c r="BG4" s="1134"/>
      <c r="BH4" s="1134"/>
      <c r="BI4" s="1134"/>
      <c r="BJ4" s="1134"/>
      <c r="BK4" s="1134"/>
      <c r="BL4" s="1134"/>
      <c r="BM4" s="1134"/>
      <c r="BN4" s="1134"/>
      <c r="BO4" s="1134"/>
      <c r="BP4" s="1134"/>
      <c r="BQ4" s="1134"/>
      <c r="BR4" s="1134"/>
      <c r="BS4" s="1134"/>
      <c r="BT4" s="1134"/>
      <c r="BU4" s="1134"/>
      <c r="BV4" s="1134"/>
      <c r="BW4" s="1134"/>
      <c r="BX4" s="1134"/>
      <c r="BY4" s="1134"/>
      <c r="BZ4" s="1134"/>
      <c r="CA4" s="1134">
        <v>145</v>
      </c>
      <c r="CB4" s="1134">
        <v>145</v>
      </c>
      <c r="CC4" s="1134">
        <v>145</v>
      </c>
      <c r="CD4" s="1134"/>
      <c r="CE4" s="1134"/>
      <c r="CF4" s="1134"/>
      <c r="CG4" s="1134"/>
      <c r="CH4" s="1134"/>
      <c r="CI4" s="1134"/>
      <c r="CJ4" s="1134"/>
      <c r="CK4" s="1134"/>
      <c r="CL4" s="1134"/>
      <c r="CM4" s="1134"/>
      <c r="CN4" s="1134"/>
      <c r="CO4" s="1134"/>
      <c r="CP4" s="1134"/>
      <c r="CQ4" s="1134">
        <v>179</v>
      </c>
      <c r="CR4" s="1134">
        <v>179</v>
      </c>
      <c r="CS4" s="1134">
        <v>179</v>
      </c>
      <c r="CT4" s="1134">
        <v>179</v>
      </c>
      <c r="CU4" s="1134"/>
      <c r="CV4" s="1134"/>
      <c r="CW4" s="1134"/>
      <c r="CX4" s="1134"/>
      <c r="CY4" s="1134"/>
      <c r="CZ4" s="1134"/>
      <c r="DA4" s="1134"/>
      <c r="DB4" s="1134"/>
      <c r="DC4" s="1134"/>
      <c r="DD4" s="1134"/>
      <c r="DE4" s="1134"/>
      <c r="DF4" s="1134"/>
      <c r="DG4" s="1134"/>
      <c r="DH4" s="1134"/>
      <c r="DI4" s="1134"/>
      <c r="DJ4" s="1134"/>
      <c r="DK4" s="1134">
        <v>220</v>
      </c>
      <c r="DL4" s="1134">
        <v>220</v>
      </c>
      <c r="DM4" s="1134">
        <v>220</v>
      </c>
      <c r="DN4" s="1134">
        <v>220</v>
      </c>
      <c r="DO4" s="1134"/>
      <c r="DP4" s="1134"/>
      <c r="DQ4" s="1134"/>
      <c r="DR4" s="1134"/>
      <c r="DS4" s="1134"/>
      <c r="DT4" s="1134"/>
      <c r="DU4" s="1134">
        <v>220</v>
      </c>
      <c r="DV4" s="1134">
        <v>220</v>
      </c>
      <c r="DW4" s="1134">
        <v>220</v>
      </c>
      <c r="DX4" s="1134">
        <v>220</v>
      </c>
      <c r="DY4" s="1134">
        <v>220</v>
      </c>
      <c r="DZ4" s="1134">
        <v>220</v>
      </c>
      <c r="EA4" s="1134">
        <v>220</v>
      </c>
      <c r="EB4" s="1134">
        <v>220</v>
      </c>
      <c r="EC4" s="1134">
        <v>220</v>
      </c>
      <c r="ED4" s="1134">
        <v>220</v>
      </c>
      <c r="EE4" s="1134">
        <v>220</v>
      </c>
      <c r="EF4" s="1134">
        <v>220</v>
      </c>
      <c r="EG4" s="1134">
        <v>220</v>
      </c>
      <c r="EH4" s="1134">
        <v>220</v>
      </c>
      <c r="EI4" s="1134"/>
      <c r="EJ4" s="1134"/>
      <c r="EK4" s="1134"/>
      <c r="EL4" s="1134"/>
      <c r="EM4" s="1134"/>
      <c r="EN4" s="1134"/>
      <c r="EO4" s="1134">
        <v>205</v>
      </c>
      <c r="EP4" s="1134">
        <v>205</v>
      </c>
      <c r="EQ4" s="1134">
        <v>205</v>
      </c>
      <c r="ER4" s="1134">
        <v>205</v>
      </c>
      <c r="ES4" s="1134">
        <v>205</v>
      </c>
      <c r="ET4" s="1134">
        <v>205</v>
      </c>
      <c r="EU4" s="1134">
        <v>205</v>
      </c>
      <c r="EV4" s="1134">
        <v>205</v>
      </c>
      <c r="EW4" s="1134">
        <v>205</v>
      </c>
      <c r="EX4" s="1134">
        <v>205</v>
      </c>
      <c r="EY4" s="1134">
        <v>205</v>
      </c>
      <c r="EZ4" s="1134">
        <v>205</v>
      </c>
      <c r="FA4" s="1134"/>
      <c r="FB4" s="1134"/>
      <c r="FC4" s="1134"/>
      <c r="FD4" s="1134"/>
      <c r="FE4" s="1134"/>
      <c r="FF4" s="1134"/>
      <c r="FG4" s="1134"/>
      <c r="FH4" s="1134"/>
      <c r="FI4" s="1134"/>
      <c r="FJ4" s="1134"/>
      <c r="FK4" s="1134"/>
      <c r="FL4" s="1134"/>
      <c r="FM4" s="1134">
        <v>205</v>
      </c>
      <c r="FN4" s="1134">
        <v>265</v>
      </c>
      <c r="FO4" s="1134">
        <v>265</v>
      </c>
      <c r="FP4" s="1134">
        <v>265</v>
      </c>
      <c r="FQ4" s="1134">
        <v>265</v>
      </c>
      <c r="FR4" s="1134">
        <v>265</v>
      </c>
      <c r="FS4" s="1134">
        <v>265</v>
      </c>
      <c r="FT4" s="1134">
        <v>265</v>
      </c>
      <c r="FU4" s="1134">
        <v>265</v>
      </c>
      <c r="FV4" s="1134">
        <v>265</v>
      </c>
      <c r="FW4" s="1134">
        <v>265</v>
      </c>
      <c r="FX4" s="1134">
        <v>265</v>
      </c>
      <c r="FY4" s="1134">
        <v>265</v>
      </c>
      <c r="FZ4" s="1134">
        <v>265</v>
      </c>
      <c r="GA4" s="1134">
        <v>265</v>
      </c>
      <c r="GB4" s="1134">
        <v>265</v>
      </c>
      <c r="GC4" s="1134">
        <v>265</v>
      </c>
      <c r="GD4" s="1134">
        <v>265</v>
      </c>
      <c r="GE4" s="1134">
        <v>265</v>
      </c>
      <c r="GF4" s="1134">
        <v>265</v>
      </c>
      <c r="GG4" s="1134">
        <v>265</v>
      </c>
      <c r="GH4" s="1134">
        <v>265</v>
      </c>
      <c r="GI4" s="1134">
        <v>265</v>
      </c>
      <c r="GJ4" s="1134">
        <v>265</v>
      </c>
      <c r="GK4" s="1134">
        <v>265</v>
      </c>
      <c r="GL4" s="1134">
        <v>265</v>
      </c>
      <c r="GM4" s="1134">
        <v>265</v>
      </c>
      <c r="GN4" s="1134">
        <v>265</v>
      </c>
      <c r="GO4" s="1134">
        <v>265</v>
      </c>
      <c r="GP4" s="1134">
        <v>265</v>
      </c>
      <c r="GQ4" s="1134">
        <v>265</v>
      </c>
      <c r="GR4" s="1134">
        <v>265</v>
      </c>
      <c r="GS4" s="1134">
        <v>265</v>
      </c>
      <c r="GT4" s="1134">
        <v>265</v>
      </c>
      <c r="GU4" s="1134">
        <v>265</v>
      </c>
      <c r="GV4" s="1134">
        <v>265</v>
      </c>
      <c r="GW4" s="1134">
        <v>265</v>
      </c>
      <c r="GX4" s="1134">
        <v>265</v>
      </c>
      <c r="GY4" s="1134">
        <v>265</v>
      </c>
      <c r="GZ4" s="1134">
        <v>265</v>
      </c>
      <c r="HA4" s="1134">
        <v>265</v>
      </c>
      <c r="HB4" s="1134">
        <v>265</v>
      </c>
      <c r="HC4" s="1134">
        <v>265</v>
      </c>
      <c r="HD4" s="1134">
        <v>265</v>
      </c>
      <c r="HE4" s="1134">
        <v>265</v>
      </c>
      <c r="HF4" s="1134">
        <v>265</v>
      </c>
      <c r="HG4" s="1134">
        <v>265</v>
      </c>
      <c r="HH4" s="1134">
        <v>265</v>
      </c>
      <c r="HI4" s="1134">
        <v>265</v>
      </c>
      <c r="HJ4" s="1134">
        <v>265</v>
      </c>
      <c r="HK4" s="1134">
        <v>265</v>
      </c>
      <c r="HL4" s="1134">
        <v>265</v>
      </c>
      <c r="HM4" s="1134">
        <v>265</v>
      </c>
      <c r="HN4" s="1134">
        <v>265</v>
      </c>
      <c r="HO4" s="1134">
        <v>265</v>
      </c>
      <c r="HP4" s="1134">
        <v>265</v>
      </c>
      <c r="HQ4" s="1134">
        <v>265</v>
      </c>
      <c r="HR4" s="1134">
        <v>265</v>
      </c>
      <c r="HS4" s="1134">
        <v>265</v>
      </c>
      <c r="HT4" s="1134">
        <v>265</v>
      </c>
      <c r="HU4" s="1134">
        <v>265</v>
      </c>
      <c r="HV4" s="1134">
        <v>265</v>
      </c>
      <c r="HW4" s="1134">
        <v>265</v>
      </c>
      <c r="HX4" s="1134">
        <v>265</v>
      </c>
      <c r="HY4" s="1134">
        <v>265</v>
      </c>
      <c r="HZ4" s="1134">
        <v>265</v>
      </c>
      <c r="IA4" s="1134">
        <v>265</v>
      </c>
      <c r="IB4" s="1134">
        <v>265</v>
      </c>
      <c r="IC4" s="1134">
        <v>265</v>
      </c>
      <c r="ID4" s="1134">
        <v>265</v>
      </c>
      <c r="IE4" s="1134">
        <v>265</v>
      </c>
      <c r="IF4" s="1134">
        <v>265</v>
      </c>
      <c r="IG4" s="1134">
        <v>265</v>
      </c>
      <c r="IH4" s="1134">
        <v>265</v>
      </c>
      <c r="II4" s="1134">
        <v>265</v>
      </c>
      <c r="IJ4" s="1134">
        <v>265</v>
      </c>
      <c r="IK4" s="1134">
        <v>265</v>
      </c>
      <c r="IL4" s="1134">
        <v>265</v>
      </c>
      <c r="IM4" s="1134">
        <v>265</v>
      </c>
      <c r="IN4" s="1134">
        <v>265</v>
      </c>
      <c r="IO4" s="1134">
        <v>265</v>
      </c>
      <c r="IP4" s="1134">
        <v>265</v>
      </c>
      <c r="IQ4" s="1134">
        <v>265</v>
      </c>
      <c r="IR4" s="1134">
        <v>265</v>
      </c>
      <c r="IS4" s="1134">
        <v>265</v>
      </c>
      <c r="IT4" s="1134">
        <v>265</v>
      </c>
      <c r="IU4" s="1134">
        <v>265</v>
      </c>
      <c r="IV4" s="1134">
        <v>265</v>
      </c>
      <c r="IW4" s="1134">
        <v>265</v>
      </c>
      <c r="IX4" s="1134">
        <v>265</v>
      </c>
      <c r="IY4" s="1134">
        <v>265</v>
      </c>
      <c r="IZ4" s="1134">
        <v>265</v>
      </c>
      <c r="JA4" s="1134">
        <v>265</v>
      </c>
      <c r="JB4" s="1134">
        <v>265</v>
      </c>
      <c r="JC4" s="1134">
        <v>265</v>
      </c>
      <c r="JD4" s="1134">
        <v>265</v>
      </c>
      <c r="JE4" s="1134">
        <v>265</v>
      </c>
      <c r="JF4" s="1134">
        <v>265</v>
      </c>
      <c r="JG4" s="1134">
        <v>265</v>
      </c>
      <c r="JH4" s="1134">
        <v>265</v>
      </c>
      <c r="JI4" s="1134">
        <v>265</v>
      </c>
      <c r="JJ4" s="1134"/>
      <c r="JK4" s="1134"/>
      <c r="JL4" s="1134"/>
      <c r="JM4" s="1134"/>
      <c r="JN4" s="1134"/>
      <c r="JO4" s="1134">
        <v>265</v>
      </c>
      <c r="JP4" s="1134">
        <v>265</v>
      </c>
      <c r="JQ4" s="1134">
        <v>265</v>
      </c>
      <c r="JR4" s="1134">
        <v>265</v>
      </c>
      <c r="JS4" s="1134">
        <v>265</v>
      </c>
      <c r="JT4" s="1134">
        <v>265</v>
      </c>
      <c r="JU4" s="1134">
        <v>265</v>
      </c>
      <c r="JV4" s="1134">
        <v>265</v>
      </c>
      <c r="JW4" s="1134">
        <v>265</v>
      </c>
      <c r="JX4" s="1134">
        <v>265</v>
      </c>
      <c r="JY4" s="1134">
        <v>265</v>
      </c>
      <c r="JZ4" s="1134">
        <v>265</v>
      </c>
      <c r="KA4" s="1134">
        <v>265</v>
      </c>
      <c r="KB4" s="1134">
        <v>265</v>
      </c>
      <c r="KC4" s="1134">
        <v>265</v>
      </c>
      <c r="KD4" s="1134">
        <v>265</v>
      </c>
      <c r="KE4" s="1134">
        <v>265</v>
      </c>
      <c r="KF4" s="1134">
        <v>245</v>
      </c>
      <c r="KG4" s="1134">
        <v>245</v>
      </c>
      <c r="KH4" s="1134">
        <v>245</v>
      </c>
      <c r="KI4" s="1134">
        <v>245</v>
      </c>
      <c r="KJ4" s="1134">
        <v>245</v>
      </c>
      <c r="KK4" s="1134">
        <v>245</v>
      </c>
      <c r="KL4" s="1134">
        <v>245</v>
      </c>
      <c r="KM4" s="1134">
        <v>245</v>
      </c>
      <c r="KN4" s="1134">
        <v>245</v>
      </c>
      <c r="KO4" s="1134">
        <v>245</v>
      </c>
      <c r="KP4" s="1134">
        <v>245</v>
      </c>
      <c r="KQ4" s="1134">
        <v>245</v>
      </c>
      <c r="KR4" s="1134">
        <v>245</v>
      </c>
      <c r="KS4" s="1134">
        <v>245</v>
      </c>
      <c r="KT4" s="1134">
        <v>245</v>
      </c>
      <c r="KU4" s="1134">
        <v>245</v>
      </c>
      <c r="KV4" s="1134">
        <v>245</v>
      </c>
      <c r="KW4" s="1134">
        <v>245</v>
      </c>
      <c r="KX4" s="1134"/>
      <c r="KY4" s="1134"/>
      <c r="KZ4" s="1134"/>
      <c r="LA4" s="1134"/>
      <c r="LB4" s="1134"/>
      <c r="LC4" s="1134"/>
      <c r="LD4" s="1134"/>
      <c r="LE4" s="1134">
        <v>245</v>
      </c>
      <c r="LF4" s="1134">
        <v>245</v>
      </c>
      <c r="LG4" s="1134">
        <v>245</v>
      </c>
      <c r="LH4" s="1134">
        <v>245</v>
      </c>
      <c r="LI4" s="1134">
        <v>245</v>
      </c>
      <c r="LJ4" s="1134">
        <v>245</v>
      </c>
      <c r="LK4" s="1134">
        <v>245</v>
      </c>
      <c r="LL4" s="1134">
        <v>245</v>
      </c>
      <c r="LM4" s="1134">
        <v>245</v>
      </c>
      <c r="LN4" s="1134">
        <v>245</v>
      </c>
      <c r="LO4" s="1134">
        <v>245</v>
      </c>
      <c r="LP4" s="1134">
        <v>245</v>
      </c>
      <c r="LQ4" s="1134">
        <v>245</v>
      </c>
      <c r="LR4" s="1134">
        <v>245</v>
      </c>
      <c r="LS4" s="1134">
        <v>245</v>
      </c>
      <c r="LT4" s="1134">
        <v>245</v>
      </c>
      <c r="LU4" s="1134">
        <v>245</v>
      </c>
      <c r="LV4" s="1134">
        <v>245</v>
      </c>
      <c r="LW4" s="1134">
        <v>245</v>
      </c>
      <c r="LX4" s="1134">
        <v>245</v>
      </c>
      <c r="LY4" s="1134">
        <v>245</v>
      </c>
      <c r="LZ4" s="1134">
        <v>245</v>
      </c>
      <c r="MA4" s="1134">
        <v>245</v>
      </c>
      <c r="MB4" s="1134">
        <v>245</v>
      </c>
      <c r="MC4" s="1134">
        <v>245</v>
      </c>
      <c r="MD4" s="1134">
        <v>245</v>
      </c>
      <c r="ME4" s="1134">
        <v>245</v>
      </c>
      <c r="MF4" s="1134">
        <v>245</v>
      </c>
      <c r="MG4" s="1134">
        <v>245</v>
      </c>
      <c r="MH4" s="1134">
        <v>245</v>
      </c>
      <c r="MI4" s="1134">
        <v>245</v>
      </c>
      <c r="MJ4" s="1134">
        <v>245</v>
      </c>
      <c r="MK4" s="1134">
        <v>245</v>
      </c>
      <c r="ML4" s="1134">
        <v>245</v>
      </c>
      <c r="MM4" s="1134">
        <v>245</v>
      </c>
      <c r="MN4" s="1134">
        <v>245</v>
      </c>
      <c r="MO4" s="1134">
        <v>245</v>
      </c>
      <c r="MP4" s="1134">
        <v>270</v>
      </c>
      <c r="MQ4" s="1134">
        <v>270</v>
      </c>
      <c r="MR4" s="1134">
        <v>270</v>
      </c>
      <c r="MS4" s="1134">
        <v>270</v>
      </c>
      <c r="MT4" s="1134">
        <v>270</v>
      </c>
      <c r="MU4" s="1134">
        <v>270</v>
      </c>
      <c r="MV4" s="1134">
        <v>270</v>
      </c>
      <c r="MW4" s="1134">
        <v>270</v>
      </c>
      <c r="MX4" s="1134">
        <v>270</v>
      </c>
      <c r="MY4" s="1134">
        <v>270</v>
      </c>
      <c r="MZ4" s="1134">
        <v>270</v>
      </c>
      <c r="NA4" s="1134">
        <v>270</v>
      </c>
      <c r="NB4" s="1134">
        <v>270</v>
      </c>
      <c r="NC4" s="1134">
        <v>270</v>
      </c>
      <c r="ND4" s="1134">
        <v>270</v>
      </c>
      <c r="NE4" s="1134">
        <v>270</v>
      </c>
      <c r="NF4" s="1134">
        <v>270</v>
      </c>
      <c r="NG4" s="1134">
        <v>270</v>
      </c>
      <c r="NH4" s="1134">
        <v>270</v>
      </c>
      <c r="NI4" s="1134">
        <v>270</v>
      </c>
      <c r="NJ4" s="1134">
        <v>270</v>
      </c>
      <c r="NK4" s="1134">
        <v>270</v>
      </c>
      <c r="NL4" s="1134">
        <v>270</v>
      </c>
      <c r="NM4" s="1134">
        <v>270</v>
      </c>
      <c r="NN4" s="1134">
        <v>270</v>
      </c>
      <c r="NO4" s="1134">
        <v>270</v>
      </c>
      <c r="NP4" s="1134">
        <v>270</v>
      </c>
      <c r="NQ4" s="1134">
        <v>270</v>
      </c>
      <c r="NR4" s="1134">
        <v>270</v>
      </c>
      <c r="NS4" s="1134">
        <v>270</v>
      </c>
      <c r="NT4" s="1134">
        <v>270</v>
      </c>
      <c r="NU4" s="1134">
        <v>270</v>
      </c>
      <c r="NV4" s="1134">
        <v>270</v>
      </c>
      <c r="NW4" s="1134">
        <v>270</v>
      </c>
      <c r="NX4" s="1134">
        <v>270</v>
      </c>
      <c r="NY4" s="1134">
        <v>270</v>
      </c>
      <c r="NZ4" s="1134">
        <v>270</v>
      </c>
      <c r="OA4" s="1134">
        <v>270</v>
      </c>
      <c r="OB4" s="1134">
        <v>270</v>
      </c>
      <c r="OC4" s="1134">
        <v>270</v>
      </c>
      <c r="OD4" s="1134">
        <v>270</v>
      </c>
      <c r="OE4" s="1134">
        <v>270</v>
      </c>
      <c r="OF4" s="1134">
        <v>270</v>
      </c>
      <c r="OG4" s="1134">
        <v>270</v>
      </c>
      <c r="OH4" s="1134">
        <v>270</v>
      </c>
      <c r="OI4" s="1134">
        <v>270</v>
      </c>
      <c r="OJ4" s="1134">
        <v>270</v>
      </c>
      <c r="OK4" s="1134">
        <v>270</v>
      </c>
      <c r="OL4" s="1134">
        <v>270</v>
      </c>
      <c r="OM4" s="1134">
        <v>270</v>
      </c>
      <c r="ON4" s="1134">
        <v>270</v>
      </c>
      <c r="OO4" s="1134">
        <v>270</v>
      </c>
      <c r="OP4" s="1134">
        <v>270</v>
      </c>
      <c r="OQ4" s="1134">
        <v>270</v>
      </c>
      <c r="OR4" s="1134">
        <v>270</v>
      </c>
      <c r="OS4" s="1134">
        <v>270</v>
      </c>
      <c r="OT4" s="1134">
        <v>270</v>
      </c>
      <c r="OU4" s="1134">
        <v>270</v>
      </c>
      <c r="OV4" s="1134">
        <v>270</v>
      </c>
      <c r="OW4" s="1134">
        <v>270</v>
      </c>
      <c r="OX4" s="1134">
        <v>270</v>
      </c>
      <c r="OY4" s="1134">
        <v>215</v>
      </c>
      <c r="OZ4" s="1134">
        <v>215</v>
      </c>
      <c r="PA4" s="1134">
        <v>215</v>
      </c>
      <c r="PB4" s="1134">
        <v>215</v>
      </c>
      <c r="PC4" s="1134">
        <v>215</v>
      </c>
      <c r="PD4" s="1134">
        <v>215</v>
      </c>
      <c r="PE4" s="1134">
        <v>215</v>
      </c>
      <c r="PF4" s="1134">
        <v>215</v>
      </c>
      <c r="PG4" s="1134">
        <v>215</v>
      </c>
      <c r="PH4" s="1134">
        <v>215</v>
      </c>
      <c r="PI4" s="1134">
        <v>215</v>
      </c>
      <c r="PJ4" s="1134">
        <v>215</v>
      </c>
      <c r="PK4" s="1134">
        <v>215</v>
      </c>
      <c r="PL4" s="1134">
        <v>215</v>
      </c>
      <c r="PM4" s="1134">
        <v>215</v>
      </c>
      <c r="PN4" s="1134">
        <v>215</v>
      </c>
      <c r="PO4" s="1134">
        <v>215</v>
      </c>
      <c r="PP4" s="1135"/>
      <c r="PQ4" s="1135"/>
      <c r="PR4" s="1135"/>
      <c r="PS4" s="1135"/>
      <c r="PT4" s="1135"/>
      <c r="PU4" s="1135"/>
      <c r="PV4" s="1135"/>
      <c r="PW4" s="1135"/>
      <c r="PX4" s="1135"/>
      <c r="PY4" s="1135"/>
      <c r="PZ4" s="1135"/>
      <c r="QA4" s="1135"/>
      <c r="QB4" s="1135"/>
      <c r="QC4" s="1135"/>
      <c r="QD4" s="1135"/>
      <c r="QE4" s="1135"/>
      <c r="QF4" s="1135"/>
      <c r="QG4" s="1135"/>
      <c r="QH4" s="1135"/>
      <c r="QI4" s="1135"/>
      <c r="QJ4" s="1135"/>
      <c r="QK4" s="1135"/>
      <c r="QL4" s="1135"/>
      <c r="QM4" s="1135"/>
      <c r="QN4" s="1135"/>
      <c r="QO4" s="1135"/>
      <c r="QP4" s="1135"/>
      <c r="QQ4" s="1135"/>
      <c r="QR4" s="1135"/>
      <c r="QS4" s="1135"/>
    </row>
    <row r="5" spans="1:461">
      <c r="A5" s="63"/>
      <c r="B5" s="63"/>
      <c r="C5" s="63"/>
      <c r="D5" s="63"/>
      <c r="E5" s="63"/>
      <c r="F5" s="63"/>
      <c r="G5" s="63"/>
      <c r="H5" s="63"/>
      <c r="I5" s="63"/>
      <c r="J5" s="63"/>
      <c r="K5" s="63"/>
      <c r="L5" s="63"/>
      <c r="M5" s="63"/>
      <c r="N5" s="63"/>
      <c r="O5" s="63"/>
      <c r="P5" s="63"/>
      <c r="Q5" s="63"/>
      <c r="R5" s="63"/>
      <c r="S5" s="63"/>
      <c r="T5" s="63"/>
      <c r="U5" s="63"/>
      <c r="V5" s="63"/>
      <c r="W5" s="63"/>
      <c r="X5" s="63"/>
      <c r="Y5" s="63"/>
      <c r="Z5" s="63"/>
      <c r="AA5" s="63"/>
      <c r="AB5" s="63"/>
      <c r="AC5" s="63"/>
      <c r="AD5" s="63"/>
      <c r="AE5" s="63"/>
      <c r="AF5" s="63"/>
      <c r="AG5" s="63"/>
      <c r="AH5" s="63"/>
      <c r="AI5" s="63"/>
      <c r="AJ5" s="63"/>
      <c r="AK5" s="63"/>
      <c r="AL5" s="63"/>
      <c r="AM5" s="63"/>
      <c r="AN5" s="63"/>
      <c r="AO5" s="63"/>
      <c r="AP5" s="63"/>
      <c r="AQ5" s="63"/>
      <c r="AR5" s="63"/>
      <c r="AS5" s="1134"/>
      <c r="AT5" s="1134"/>
      <c r="AU5" s="1134"/>
      <c r="AV5" s="1134"/>
      <c r="AW5" s="1134">
        <v>880</v>
      </c>
      <c r="AX5" s="1134">
        <v>1280</v>
      </c>
      <c r="AY5" s="1134">
        <v>1280</v>
      </c>
      <c r="AZ5" s="1134">
        <v>1280</v>
      </c>
      <c r="BA5" s="1134">
        <v>1280</v>
      </c>
      <c r="BB5" s="1134">
        <v>1280</v>
      </c>
      <c r="BC5" s="1134">
        <v>1280</v>
      </c>
      <c r="BD5" s="1136"/>
      <c r="BE5" s="1134"/>
      <c r="BF5" s="1134"/>
      <c r="BG5" s="1134"/>
      <c r="BH5" s="1134"/>
      <c r="BI5" s="1134"/>
      <c r="BJ5" s="63"/>
      <c r="BK5" s="63"/>
      <c r="BL5" s="63"/>
      <c r="BM5" s="1136"/>
      <c r="BN5" s="1136"/>
      <c r="BO5" s="1136"/>
      <c r="BP5" s="1136"/>
      <c r="BQ5" s="1136"/>
      <c r="BR5" s="1136"/>
      <c r="BS5" s="1134"/>
      <c r="BT5" s="1134"/>
      <c r="BU5" s="1134"/>
      <c r="BV5" s="1134"/>
      <c r="BW5" s="1134"/>
      <c r="BX5" s="1134"/>
      <c r="BY5" s="1134"/>
      <c r="BZ5" s="1134"/>
      <c r="CA5" s="1134"/>
      <c r="CB5" s="1134"/>
      <c r="CC5" s="1134"/>
      <c r="CD5" s="1134"/>
      <c r="CE5" s="1134"/>
      <c r="CF5" s="1134"/>
      <c r="CG5" s="1134"/>
      <c r="CH5" s="1134"/>
      <c r="CI5" s="1134"/>
      <c r="CJ5" s="1134"/>
      <c r="CK5" s="1134"/>
      <c r="CL5" s="1134"/>
      <c r="CM5" s="1134"/>
      <c r="CN5" s="1134"/>
      <c r="CO5" s="1134"/>
      <c r="CP5" s="1134"/>
      <c r="CQ5" s="1134"/>
      <c r="CR5" s="1134"/>
      <c r="CS5" s="1134"/>
      <c r="CT5" s="1134"/>
      <c r="CU5" s="1134"/>
      <c r="CV5" s="1134"/>
      <c r="CW5" s="1134"/>
      <c r="CX5" s="1134"/>
      <c r="CY5" s="1134"/>
      <c r="CZ5" s="1134"/>
      <c r="DA5" s="1134"/>
      <c r="DB5" s="1134"/>
      <c r="DC5" s="1134"/>
      <c r="DD5" s="1134"/>
      <c r="DE5" s="1134"/>
      <c r="DF5" s="1134"/>
      <c r="DG5" s="1134"/>
      <c r="DH5" s="1134"/>
      <c r="DI5" s="1134"/>
      <c r="DJ5" s="1134"/>
      <c r="DK5" s="1134"/>
      <c r="DL5" s="1134"/>
      <c r="DM5" s="1134"/>
      <c r="DN5" s="1134"/>
      <c r="DO5" s="1134"/>
      <c r="DP5" s="1134"/>
      <c r="DQ5" s="1134"/>
      <c r="DR5" s="1134"/>
      <c r="DS5" s="1134"/>
      <c r="DT5" s="1134"/>
      <c r="DU5" s="1134"/>
      <c r="DV5" s="1134"/>
      <c r="DW5" s="1134"/>
      <c r="DX5" s="1134"/>
      <c r="DY5" s="1134"/>
      <c r="DZ5" s="1134"/>
      <c r="EA5" s="1134"/>
      <c r="EB5" s="1134"/>
      <c r="EC5" s="1134"/>
      <c r="ED5" s="1136"/>
      <c r="EE5" s="1134"/>
      <c r="EF5" s="1134"/>
      <c r="EG5" s="1134"/>
      <c r="EH5" s="1134"/>
      <c r="EI5" s="1134"/>
      <c r="EJ5" s="1134"/>
      <c r="EK5" s="1134"/>
      <c r="EL5" s="1134"/>
      <c r="EM5" s="1134"/>
      <c r="EN5" s="1134"/>
      <c r="EO5" s="1134"/>
      <c r="EP5" s="1134"/>
      <c r="EQ5" s="1134"/>
      <c r="ER5" s="1134"/>
      <c r="ES5" s="1134"/>
      <c r="ET5" s="1134"/>
      <c r="EU5" s="1134"/>
      <c r="EV5" s="1134"/>
      <c r="EW5" s="1134"/>
      <c r="EX5" s="1134"/>
      <c r="EY5" s="1134"/>
      <c r="EZ5" s="1134"/>
      <c r="FA5" s="1134"/>
      <c r="FB5" s="1134"/>
      <c r="FC5" s="1134"/>
      <c r="FD5" s="1134"/>
      <c r="FE5" s="1134"/>
      <c r="FF5" s="1134"/>
      <c r="FG5" s="1134"/>
      <c r="FH5" s="1134"/>
      <c r="FI5" s="1134"/>
      <c r="FJ5" s="1134"/>
      <c r="FK5" s="1134"/>
      <c r="FL5" s="1134"/>
      <c r="FM5" s="1134"/>
      <c r="FN5" s="1134"/>
      <c r="FO5" s="1134"/>
      <c r="FP5" s="1134"/>
      <c r="FQ5" s="1134"/>
      <c r="FR5" s="1134"/>
      <c r="FS5" s="1134"/>
      <c r="FT5" s="1134"/>
      <c r="FU5" s="1134"/>
      <c r="FV5" s="1134"/>
      <c r="FW5" s="1134"/>
      <c r="FX5" s="1134"/>
      <c r="FY5" s="1134"/>
      <c r="FZ5" s="1134"/>
      <c r="GA5" s="1134"/>
      <c r="GB5" s="1134"/>
      <c r="GC5" s="1134"/>
      <c r="GD5" s="1134"/>
      <c r="GE5" s="1134"/>
      <c r="GF5" s="1134"/>
      <c r="GG5" s="1134"/>
      <c r="GH5" s="1134"/>
      <c r="GI5" s="1134"/>
      <c r="GJ5" s="1134"/>
      <c r="GK5" s="1134"/>
      <c r="GL5" s="1134"/>
      <c r="GM5" s="1134"/>
      <c r="GN5" s="1134"/>
      <c r="GO5" s="1134"/>
      <c r="GP5" s="1134"/>
      <c r="GQ5" s="1134"/>
      <c r="GR5" s="1134"/>
      <c r="GS5" s="1134"/>
      <c r="GT5" s="1134"/>
      <c r="GU5" s="1134"/>
      <c r="GV5" s="1134"/>
      <c r="GW5" s="1134"/>
      <c r="GX5" s="1134"/>
      <c r="GY5" s="1134"/>
      <c r="GZ5" s="1134"/>
      <c r="HA5" s="1134"/>
      <c r="HB5" s="1134"/>
      <c r="HC5" s="1134"/>
      <c r="HD5" s="1134"/>
      <c r="HE5" s="1134"/>
      <c r="HF5" s="1134"/>
      <c r="HG5" s="1134"/>
      <c r="HH5" s="1134"/>
      <c r="HI5" s="1134"/>
      <c r="HJ5" s="1134"/>
      <c r="HK5" s="1136"/>
      <c r="HL5" s="1136"/>
      <c r="HM5" s="1136"/>
      <c r="HN5" s="1136"/>
      <c r="HO5" s="1136"/>
      <c r="HP5" s="1136"/>
      <c r="HQ5" s="1136"/>
      <c r="HR5" s="1136"/>
      <c r="HS5" s="1136"/>
      <c r="HT5" s="1136"/>
      <c r="HU5" s="1136"/>
      <c r="HV5" s="1136"/>
      <c r="HW5" s="1136"/>
      <c r="HX5" s="1136"/>
      <c r="HY5" s="1136"/>
      <c r="HZ5" s="1136"/>
      <c r="IA5" s="1136"/>
      <c r="IB5" s="1136"/>
      <c r="IC5" s="1136"/>
      <c r="ID5" s="1136"/>
      <c r="IE5" s="1136"/>
      <c r="IF5" s="1136"/>
      <c r="IG5" s="1136"/>
      <c r="IH5" s="1136"/>
      <c r="II5" s="1136"/>
      <c r="IJ5" s="1136"/>
      <c r="IK5" s="1136"/>
      <c r="IL5" s="1136"/>
      <c r="IM5" s="1136"/>
      <c r="IN5" s="1136"/>
      <c r="IO5" s="1136"/>
      <c r="IP5" s="1134"/>
      <c r="IQ5" s="1134"/>
      <c r="IR5" s="1134"/>
      <c r="IS5" s="1134"/>
      <c r="IT5" s="1134"/>
      <c r="IU5" s="1134"/>
      <c r="IV5" s="1134"/>
      <c r="IW5" s="1134"/>
      <c r="IX5" s="1134"/>
      <c r="IY5" s="1134"/>
      <c r="IZ5" s="1134"/>
      <c r="JA5" s="1134"/>
      <c r="JB5" s="1134"/>
      <c r="JC5" s="1134"/>
      <c r="JD5" s="1134"/>
      <c r="JE5" s="1134"/>
      <c r="JF5" s="1134"/>
      <c r="JG5" s="1134"/>
      <c r="JH5" s="1134"/>
      <c r="JI5" s="1134"/>
      <c r="JJ5" s="1134"/>
      <c r="JK5" s="1134"/>
      <c r="JL5" s="1134"/>
      <c r="JM5" s="1134"/>
      <c r="JN5" s="1134"/>
      <c r="JO5" s="1134"/>
      <c r="JP5" s="1134"/>
      <c r="JQ5" s="1134"/>
      <c r="JR5" s="1134"/>
      <c r="JS5" s="1134"/>
      <c r="JT5" s="1134"/>
      <c r="JU5" s="1134"/>
      <c r="JV5" s="1136"/>
      <c r="JW5" s="1136"/>
      <c r="JX5" s="1136"/>
      <c r="JY5" s="1136"/>
      <c r="JZ5" s="1136"/>
      <c r="KA5" s="1136"/>
      <c r="KB5" s="1136"/>
      <c r="KC5" s="1136"/>
      <c r="KD5" s="1136"/>
      <c r="KE5" s="1136"/>
      <c r="KF5" s="1136"/>
      <c r="KG5" s="1136"/>
      <c r="KH5" s="1136"/>
      <c r="KI5" s="1136"/>
      <c r="KJ5" s="1134"/>
      <c r="KK5" s="1134"/>
      <c r="KL5" s="1134"/>
      <c r="KM5" s="1134"/>
      <c r="KN5" s="1134"/>
      <c r="KO5" s="1134"/>
      <c r="KP5" s="1134"/>
      <c r="KQ5" s="1134"/>
      <c r="KR5" s="1134"/>
      <c r="KS5" s="1134"/>
      <c r="KT5" s="1134"/>
      <c r="KU5" s="1134"/>
      <c r="KV5" s="1134"/>
      <c r="KW5" s="1134"/>
      <c r="KX5" s="1134"/>
      <c r="KY5" s="1134"/>
      <c r="KZ5" s="1134"/>
      <c r="LA5" s="1134"/>
      <c r="LB5" s="1134"/>
      <c r="LC5" s="1134"/>
      <c r="LD5" s="1134"/>
      <c r="LE5" s="1134"/>
      <c r="LF5" s="1134"/>
      <c r="LG5" s="1134"/>
      <c r="LH5" s="1134">
        <v>720</v>
      </c>
      <c r="LI5" s="1134">
        <v>720</v>
      </c>
      <c r="LJ5" s="1134">
        <v>720</v>
      </c>
      <c r="LK5" s="1134">
        <v>720</v>
      </c>
      <c r="LL5" s="1134">
        <v>720</v>
      </c>
      <c r="LM5" s="1134">
        <v>720</v>
      </c>
      <c r="LN5" s="1134">
        <v>720</v>
      </c>
      <c r="LO5" s="1134">
        <v>720</v>
      </c>
      <c r="LP5" s="1134">
        <v>720</v>
      </c>
      <c r="LQ5" s="1134">
        <v>720</v>
      </c>
      <c r="LR5" s="1134">
        <v>720</v>
      </c>
      <c r="LS5" s="1134">
        <v>720</v>
      </c>
      <c r="LT5" s="1134">
        <v>720</v>
      </c>
      <c r="LU5" s="1134">
        <v>720</v>
      </c>
      <c r="LV5" s="1134">
        <v>720</v>
      </c>
      <c r="LW5" s="1134">
        <v>720</v>
      </c>
      <c r="LX5" s="1134">
        <v>720</v>
      </c>
      <c r="LY5" s="1134">
        <v>720</v>
      </c>
      <c r="LZ5" s="1134">
        <v>720</v>
      </c>
      <c r="MA5" s="1134">
        <v>720</v>
      </c>
      <c r="MB5" s="1134">
        <v>720</v>
      </c>
      <c r="MC5" s="1134">
        <v>720</v>
      </c>
      <c r="MD5" s="1134">
        <v>720</v>
      </c>
      <c r="ME5" s="1134">
        <v>720</v>
      </c>
      <c r="MF5" s="1134">
        <v>720</v>
      </c>
      <c r="MG5" s="1134">
        <v>720</v>
      </c>
      <c r="MH5" s="1134">
        <v>720</v>
      </c>
      <c r="MI5" s="1134">
        <v>720</v>
      </c>
      <c r="MJ5" s="1134">
        <v>720</v>
      </c>
      <c r="MK5" s="1134">
        <v>720</v>
      </c>
      <c r="ML5" s="1134">
        <v>720</v>
      </c>
      <c r="MM5" s="1134">
        <v>720</v>
      </c>
      <c r="MN5" s="1134"/>
      <c r="MO5" s="1134"/>
      <c r="MP5" s="1134"/>
      <c r="MQ5" s="1134"/>
      <c r="MR5" s="1134"/>
      <c r="MS5" s="1134"/>
      <c r="MT5" s="1134"/>
      <c r="MU5" s="1134"/>
      <c r="MV5" s="1134"/>
      <c r="MW5" s="1134"/>
      <c r="MX5" s="1134"/>
      <c r="MY5" s="1134"/>
      <c r="MZ5" s="1134"/>
      <c r="NA5" s="1134"/>
      <c r="NB5" s="1134"/>
      <c r="NC5" s="1134"/>
      <c r="ND5" s="1134"/>
      <c r="NE5" s="1134"/>
      <c r="NF5" s="1134"/>
      <c r="NG5" s="1134"/>
      <c r="NH5" s="1134"/>
      <c r="NI5" s="1134"/>
      <c r="NJ5" s="1134"/>
      <c r="NK5" s="1134"/>
      <c r="NL5" s="1134"/>
      <c r="NM5" s="1134"/>
      <c r="NN5" s="1134"/>
      <c r="NO5" s="1134"/>
      <c r="NP5" s="1134"/>
      <c r="NQ5" s="1134"/>
      <c r="NR5" s="1134"/>
      <c r="NS5" s="1134"/>
      <c r="NT5" s="1134"/>
      <c r="NU5" s="1134"/>
      <c r="NV5" s="1134"/>
      <c r="NW5" s="1134"/>
      <c r="NX5" s="1134"/>
      <c r="NY5" s="1134"/>
      <c r="NZ5" s="1134"/>
      <c r="OA5" s="1134"/>
      <c r="OB5" s="1134"/>
      <c r="OC5" s="1134"/>
      <c r="OD5" s="1134"/>
      <c r="OE5" s="1134"/>
      <c r="OF5" s="1134"/>
      <c r="OG5" s="1134"/>
      <c r="OH5" s="1134"/>
      <c r="OI5" s="1134"/>
      <c r="OJ5" s="1134"/>
      <c r="OK5" s="1134"/>
      <c r="OL5" s="1134"/>
      <c r="OM5" s="1134"/>
      <c r="ON5" s="1134"/>
      <c r="OO5" s="1134"/>
      <c r="OP5" s="1134"/>
      <c r="OQ5" s="1134"/>
      <c r="OR5" s="1134"/>
      <c r="OS5" s="1134"/>
      <c r="OT5" s="1134"/>
      <c r="OU5" s="1134"/>
      <c r="OV5" s="1134"/>
      <c r="OW5" s="1134"/>
      <c r="OX5" s="1134"/>
      <c r="OY5" s="1134"/>
      <c r="OZ5" s="1134"/>
      <c r="PA5" s="1134"/>
      <c r="PB5" s="1134"/>
      <c r="PC5" s="1134"/>
      <c r="PD5" s="1134"/>
      <c r="PE5" s="1134"/>
      <c r="PF5" s="1134"/>
      <c r="PG5" s="1134"/>
      <c r="PH5" s="1134"/>
      <c r="PI5" s="1134"/>
      <c r="PJ5" s="1134"/>
      <c r="PK5" s="1134"/>
      <c r="PL5" s="1134"/>
      <c r="PM5" s="1134"/>
      <c r="PN5" s="1134"/>
      <c r="PO5" s="1134"/>
      <c r="PP5" s="1135"/>
      <c r="PQ5" s="1135"/>
      <c r="PR5" s="1135"/>
      <c r="PS5" s="1135"/>
      <c r="PT5" s="1135"/>
      <c r="PU5" s="1135"/>
      <c r="PV5" s="1135"/>
      <c r="PW5" s="1135"/>
      <c r="PX5" s="1135"/>
      <c r="PY5" s="1135"/>
      <c r="PZ5" s="1135"/>
      <c r="QA5" s="1135"/>
      <c r="QB5" s="1135"/>
    </row>
    <row r="6" spans="1:461">
      <c r="A6" s="63"/>
      <c r="B6" s="63"/>
      <c r="C6" s="63"/>
      <c r="D6" s="63"/>
      <c r="E6" s="63"/>
      <c r="F6" s="63"/>
      <c r="G6" s="63"/>
      <c r="H6" s="63"/>
      <c r="I6" s="63"/>
      <c r="J6" s="63"/>
      <c r="K6" s="63"/>
      <c r="L6" s="63"/>
      <c r="M6" s="63"/>
      <c r="N6" s="63"/>
      <c r="O6" s="63"/>
      <c r="P6" s="63"/>
      <c r="Q6" s="63"/>
      <c r="R6" s="63"/>
      <c r="S6" s="63"/>
      <c r="T6" s="63"/>
      <c r="U6" s="63"/>
      <c r="V6" s="63"/>
      <c r="W6" s="63"/>
      <c r="X6" s="63"/>
      <c r="Y6" s="63"/>
      <c r="Z6" s="63"/>
      <c r="AA6" s="63"/>
      <c r="AB6" s="63"/>
      <c r="AC6" s="63"/>
      <c r="AD6" s="63"/>
      <c r="AE6" s="63"/>
      <c r="AF6" s="63"/>
      <c r="AG6" s="63"/>
      <c r="AH6" s="63"/>
      <c r="AI6" s="63"/>
      <c r="AJ6" s="63"/>
      <c r="AK6" s="63"/>
      <c r="AL6" s="63"/>
      <c r="AM6" s="63"/>
      <c r="AN6" s="63"/>
      <c r="AO6" s="63"/>
      <c r="AP6" s="63"/>
      <c r="AQ6" s="63"/>
      <c r="AR6" s="63"/>
      <c r="AS6" s="63"/>
      <c r="AT6" s="63"/>
      <c r="AU6" s="1134"/>
      <c r="AV6" s="1134"/>
      <c r="AW6" s="1134"/>
      <c r="AX6" s="1134"/>
      <c r="AY6" s="1134"/>
      <c r="AZ6" s="1134"/>
      <c r="BA6" s="1134"/>
      <c r="BB6" s="1134"/>
      <c r="BC6" s="1134"/>
      <c r="BD6" s="1134"/>
      <c r="BE6" s="1134"/>
      <c r="BF6" s="1134"/>
      <c r="BG6" s="1134"/>
      <c r="BH6" s="1134"/>
      <c r="BI6" s="1134"/>
      <c r="BJ6" s="1134"/>
      <c r="BK6" s="1134"/>
      <c r="BL6" s="1134"/>
      <c r="BM6" s="1134"/>
      <c r="BN6" s="1134"/>
      <c r="BO6" s="1134"/>
      <c r="BP6" s="1134">
        <v>130</v>
      </c>
      <c r="BQ6" s="1134">
        <v>130</v>
      </c>
      <c r="BR6" s="1134">
        <v>130</v>
      </c>
      <c r="BS6" s="1134">
        <v>130</v>
      </c>
      <c r="BT6" s="1134"/>
      <c r="BU6" s="1134"/>
      <c r="BV6" s="1134"/>
      <c r="BW6" s="1134"/>
      <c r="BX6" s="1134"/>
      <c r="BY6" s="1134"/>
      <c r="BZ6" s="1134"/>
      <c r="CA6" s="1134"/>
      <c r="CB6" s="1134"/>
      <c r="CC6" s="1134"/>
      <c r="CD6" s="1134"/>
      <c r="CE6" s="1134"/>
      <c r="CF6" s="1134"/>
      <c r="CG6" s="1134"/>
      <c r="CH6" s="1134"/>
      <c r="CI6" s="1134"/>
      <c r="CJ6" s="1134"/>
      <c r="CK6" s="1134"/>
      <c r="CL6" s="1134"/>
      <c r="CM6" s="1134"/>
      <c r="CN6" s="1134"/>
      <c r="CO6" s="1134"/>
      <c r="CP6" s="1134"/>
      <c r="CQ6" s="1134"/>
      <c r="CR6" s="1134"/>
      <c r="CS6" s="1134"/>
      <c r="CT6" s="1134"/>
      <c r="CU6" s="1134"/>
      <c r="CV6" s="1134"/>
      <c r="CW6" s="1134"/>
      <c r="CX6" s="1134"/>
      <c r="CY6" s="1134"/>
      <c r="CZ6" s="1134"/>
      <c r="DA6" s="1134"/>
      <c r="DB6" s="1134"/>
      <c r="DC6" s="1134"/>
      <c r="DD6" s="1134"/>
      <c r="DE6" s="1134"/>
      <c r="DF6" s="1134"/>
      <c r="DG6" s="1134"/>
      <c r="DH6" s="1134">
        <v>140</v>
      </c>
      <c r="DI6" s="1134"/>
      <c r="DJ6" s="1134"/>
      <c r="DK6" s="1134"/>
      <c r="DL6" s="1134"/>
      <c r="DM6" s="1134"/>
      <c r="DN6" s="1134"/>
      <c r="DO6" s="1134"/>
      <c r="DP6" s="1134"/>
      <c r="DQ6" s="1134"/>
      <c r="DR6" s="1134"/>
      <c r="DS6" s="1134"/>
      <c r="DT6" s="1134"/>
      <c r="DU6" s="1134"/>
      <c r="DV6" s="1134"/>
      <c r="DW6" s="1134"/>
      <c r="DX6" s="1134"/>
      <c r="DY6" s="1134"/>
      <c r="DZ6" s="1134"/>
      <c r="EA6" s="1134"/>
      <c r="EB6" s="1134"/>
      <c r="EC6" s="1134"/>
      <c r="ED6" s="1134"/>
      <c r="EE6" s="1134"/>
      <c r="EF6" s="1134"/>
      <c r="EG6" s="1134"/>
      <c r="EH6" s="1134"/>
      <c r="EI6" s="1134"/>
      <c r="EJ6" s="1134"/>
      <c r="EK6" s="1134"/>
      <c r="EL6" s="1134"/>
      <c r="EM6" s="1134">
        <v>160</v>
      </c>
      <c r="EN6" s="1134">
        <v>160</v>
      </c>
      <c r="EO6" s="1134">
        <v>160</v>
      </c>
      <c r="EP6" s="1134">
        <v>160</v>
      </c>
      <c r="EQ6" s="1134">
        <v>160</v>
      </c>
      <c r="ER6" s="1134">
        <v>160</v>
      </c>
      <c r="ES6" s="1134">
        <v>160</v>
      </c>
      <c r="ET6" s="1134">
        <v>160</v>
      </c>
      <c r="EU6" s="1134">
        <v>160</v>
      </c>
      <c r="EV6" s="1134">
        <v>160</v>
      </c>
      <c r="EW6" s="1134">
        <v>160</v>
      </c>
      <c r="EX6" s="1134">
        <v>160</v>
      </c>
      <c r="EY6" s="1134">
        <v>160</v>
      </c>
      <c r="EZ6" s="1134">
        <v>160</v>
      </c>
      <c r="FA6" s="1134">
        <v>160</v>
      </c>
      <c r="FB6" s="1134">
        <v>160</v>
      </c>
      <c r="FC6" s="1134">
        <v>160</v>
      </c>
      <c r="FD6" s="1134">
        <v>160</v>
      </c>
      <c r="FE6" s="1134">
        <v>160</v>
      </c>
      <c r="FF6" s="1134">
        <v>160</v>
      </c>
      <c r="FG6" s="1134">
        <v>160</v>
      </c>
      <c r="FH6" s="1134">
        <v>160</v>
      </c>
      <c r="FI6" s="1134">
        <v>160</v>
      </c>
      <c r="FJ6" s="1134">
        <v>160</v>
      </c>
      <c r="FK6" s="1134">
        <v>160</v>
      </c>
      <c r="FL6" s="1134">
        <v>160</v>
      </c>
      <c r="FM6" s="1134"/>
      <c r="FN6" s="1134"/>
      <c r="FO6" s="1134"/>
      <c r="FP6" s="1134"/>
      <c r="FQ6" s="1134"/>
      <c r="FR6" s="1134"/>
      <c r="FS6" s="1134"/>
      <c r="FT6" s="1134"/>
      <c r="FU6" s="1134"/>
      <c r="FV6" s="1134"/>
      <c r="FW6" s="1134"/>
      <c r="FX6" s="1134"/>
      <c r="FY6" s="1134"/>
      <c r="FZ6" s="1134"/>
      <c r="GA6" s="1134"/>
      <c r="GB6" s="1134"/>
      <c r="GC6" s="1134"/>
      <c r="GD6" s="1134"/>
      <c r="GE6" s="1134"/>
      <c r="GF6" s="1134"/>
      <c r="GG6" s="1134"/>
      <c r="GH6" s="1134"/>
      <c r="GI6" s="1134"/>
      <c r="GJ6" s="1134"/>
      <c r="GK6" s="1134"/>
      <c r="GL6" s="1134"/>
      <c r="GM6" s="1134"/>
      <c r="GN6" s="1134"/>
      <c r="GO6" s="1134"/>
      <c r="GP6" s="1134"/>
      <c r="GQ6" s="1134"/>
      <c r="GR6" s="1134"/>
      <c r="GS6" s="1134"/>
      <c r="GT6" s="1134"/>
      <c r="GU6" s="1134"/>
      <c r="GV6" s="1134"/>
      <c r="GW6" s="1134"/>
      <c r="GX6" s="1134"/>
      <c r="GY6" s="1134"/>
      <c r="GZ6" s="1134"/>
      <c r="HA6" s="1134"/>
      <c r="HB6" s="1134"/>
      <c r="HC6" s="1134"/>
      <c r="HD6" s="1134"/>
      <c r="HE6" s="1134"/>
      <c r="HF6" s="1134"/>
      <c r="HG6" s="1134"/>
      <c r="HH6" s="1134"/>
      <c r="HI6" s="1134"/>
      <c r="HJ6" s="1134"/>
      <c r="HK6" s="1134"/>
      <c r="HL6" s="1134"/>
      <c r="HM6" s="1134"/>
      <c r="HN6" s="1134"/>
      <c r="HO6" s="1134"/>
      <c r="HP6" s="1134"/>
      <c r="HQ6" s="1134"/>
      <c r="HR6" s="1134"/>
      <c r="HS6" s="1134"/>
      <c r="HT6" s="1134"/>
      <c r="HU6" s="1134"/>
      <c r="HV6" s="1134"/>
      <c r="HW6" s="1134"/>
      <c r="HX6" s="1134"/>
      <c r="HY6" s="1134"/>
      <c r="HZ6" s="1134"/>
      <c r="IA6" s="1134"/>
      <c r="IB6" s="1134"/>
      <c r="IC6" s="1134"/>
      <c r="ID6" s="1134"/>
      <c r="IE6" s="1134"/>
      <c r="IF6" s="1134"/>
      <c r="IG6" s="1134"/>
      <c r="IH6" s="1134"/>
      <c r="II6" s="1134"/>
      <c r="IJ6" s="1134"/>
      <c r="IK6" s="1134"/>
      <c r="IL6" s="1134"/>
      <c r="IM6" s="1134"/>
      <c r="IN6" s="1134"/>
      <c r="IO6" s="1134"/>
      <c r="IP6" s="1134"/>
      <c r="IQ6" s="1134"/>
      <c r="IR6" s="1134"/>
      <c r="IS6" s="1134"/>
      <c r="IT6" s="1134"/>
      <c r="IU6" s="1134"/>
      <c r="IV6" s="1134"/>
      <c r="IW6" s="1134"/>
      <c r="IX6" s="1134"/>
      <c r="IY6" s="1134"/>
      <c r="IZ6" s="1134"/>
      <c r="JA6" s="1134">
        <v>176</v>
      </c>
      <c r="JB6" s="1134"/>
      <c r="JC6" s="1134"/>
      <c r="JD6" s="1134"/>
      <c r="JE6" s="1134"/>
      <c r="JF6" s="1134"/>
      <c r="JG6" s="1134"/>
      <c r="JH6" s="1134"/>
      <c r="JI6" s="1134"/>
      <c r="JJ6" s="1134"/>
      <c r="JK6" s="1134"/>
      <c r="JL6" s="1134"/>
      <c r="JM6" s="1134"/>
      <c r="JN6" s="1134"/>
      <c r="JO6" s="1134"/>
      <c r="JP6" s="1134"/>
      <c r="JQ6" s="1134"/>
      <c r="JR6" s="1134"/>
      <c r="JS6" s="1134"/>
      <c r="JT6" s="1134"/>
      <c r="JU6" s="1134"/>
      <c r="JV6" s="1134"/>
      <c r="JW6" s="1134"/>
      <c r="JX6" s="1134"/>
      <c r="JY6" s="1134"/>
      <c r="JZ6" s="1134"/>
      <c r="KA6" s="1134"/>
      <c r="KB6" s="1134"/>
      <c r="KC6" s="1134"/>
      <c r="KD6" s="1134"/>
      <c r="KE6" s="1134"/>
      <c r="KF6" s="1134">
        <v>160</v>
      </c>
      <c r="KG6" s="1134">
        <v>160</v>
      </c>
      <c r="KH6" s="1134">
        <v>160</v>
      </c>
      <c r="KI6" s="1134">
        <v>160</v>
      </c>
      <c r="KJ6" s="1134">
        <v>160</v>
      </c>
      <c r="KK6" s="1134">
        <v>160</v>
      </c>
      <c r="KL6" s="1134">
        <v>160</v>
      </c>
      <c r="KM6" s="1134">
        <v>160</v>
      </c>
      <c r="KN6" s="1134">
        <v>160</v>
      </c>
      <c r="KO6" s="1134">
        <v>160</v>
      </c>
      <c r="KP6" s="1134">
        <v>160</v>
      </c>
      <c r="KQ6" s="1134"/>
      <c r="KR6" s="1134"/>
      <c r="KS6" s="1134"/>
      <c r="KT6" s="1134"/>
      <c r="KU6" s="1134"/>
      <c r="KV6" s="1134"/>
      <c r="KW6" s="1134"/>
      <c r="KX6" s="1134"/>
      <c r="KY6" s="1134"/>
      <c r="KZ6" s="1134"/>
      <c r="LA6" s="1134"/>
      <c r="LB6" s="1134"/>
      <c r="LC6" s="1134"/>
      <c r="LD6" s="1134"/>
      <c r="LE6" s="1134"/>
      <c r="LF6" s="1134"/>
      <c r="LG6" s="1134"/>
      <c r="LH6" s="1134"/>
      <c r="LI6" s="1134"/>
      <c r="LJ6" s="1134"/>
      <c r="LK6" s="1134"/>
      <c r="LL6" s="1134"/>
      <c r="LM6" s="1134"/>
      <c r="LN6" s="1134"/>
      <c r="LO6" s="1134"/>
      <c r="LP6" s="1134"/>
      <c r="LQ6" s="1134"/>
      <c r="LR6" s="1134"/>
      <c r="LS6" s="1134"/>
      <c r="LT6" s="1134"/>
      <c r="LU6" s="1134"/>
      <c r="LV6" s="1134"/>
      <c r="LW6" s="1134">
        <v>160</v>
      </c>
      <c r="LX6" s="1134">
        <v>160</v>
      </c>
      <c r="LY6" s="1134">
        <v>160</v>
      </c>
      <c r="LZ6" s="1134">
        <v>160</v>
      </c>
      <c r="MA6" s="1134">
        <v>160</v>
      </c>
      <c r="MB6" s="1134">
        <v>160</v>
      </c>
      <c r="MC6" s="1134">
        <v>160</v>
      </c>
      <c r="MD6" s="1134">
        <v>160</v>
      </c>
      <c r="ME6" s="1134">
        <v>160</v>
      </c>
      <c r="MF6" s="1134">
        <v>160</v>
      </c>
      <c r="MG6" s="1134">
        <v>160</v>
      </c>
      <c r="MH6" s="1134">
        <v>160</v>
      </c>
      <c r="MI6" s="1134">
        <v>160</v>
      </c>
      <c r="MJ6" s="1134">
        <v>160</v>
      </c>
      <c r="MK6" s="1134">
        <v>160</v>
      </c>
      <c r="ML6" s="1134">
        <v>160</v>
      </c>
      <c r="MM6" s="1134">
        <v>160</v>
      </c>
      <c r="MN6" s="1134">
        <v>160</v>
      </c>
      <c r="MO6" s="1134">
        <v>160</v>
      </c>
      <c r="MP6" s="1134">
        <v>160</v>
      </c>
      <c r="MQ6" s="1134">
        <v>160</v>
      </c>
      <c r="MR6" s="1134">
        <v>160</v>
      </c>
      <c r="MS6" s="1134">
        <v>160</v>
      </c>
      <c r="MT6" s="1134">
        <v>160</v>
      </c>
      <c r="MU6" s="1134">
        <v>160</v>
      </c>
      <c r="MV6" s="1134">
        <v>160</v>
      </c>
      <c r="MW6" s="1134">
        <v>160</v>
      </c>
      <c r="MX6" s="1134">
        <v>160</v>
      </c>
      <c r="MY6" s="1134">
        <v>160</v>
      </c>
      <c r="MZ6" s="1134">
        <v>160</v>
      </c>
      <c r="NA6" s="1134">
        <v>160</v>
      </c>
      <c r="NB6" s="1134">
        <v>160</v>
      </c>
      <c r="NC6" s="1134">
        <v>160</v>
      </c>
      <c r="ND6" s="1134">
        <v>160</v>
      </c>
      <c r="NE6" s="1134">
        <v>160</v>
      </c>
      <c r="NF6" s="1134">
        <v>160</v>
      </c>
      <c r="NG6" s="1134">
        <v>160</v>
      </c>
      <c r="NH6" s="1134">
        <v>160</v>
      </c>
      <c r="NI6" s="1134">
        <v>160</v>
      </c>
      <c r="NJ6" s="1134">
        <v>160</v>
      </c>
      <c r="NK6" s="1134">
        <v>160</v>
      </c>
      <c r="NL6" s="1134">
        <v>160</v>
      </c>
      <c r="NM6" s="1134">
        <v>160</v>
      </c>
      <c r="NN6" s="1134">
        <v>160</v>
      </c>
      <c r="NO6" s="1134">
        <v>160</v>
      </c>
      <c r="NP6" s="1134">
        <v>160</v>
      </c>
      <c r="NQ6" s="1134">
        <v>160</v>
      </c>
      <c r="NR6" s="1134">
        <v>160</v>
      </c>
      <c r="NS6" s="1134">
        <v>160</v>
      </c>
      <c r="NT6" s="1134"/>
      <c r="NU6" s="1134"/>
      <c r="NV6" s="1134"/>
      <c r="NW6" s="1134"/>
      <c r="NX6" s="1134"/>
      <c r="NY6" s="1134"/>
      <c r="NZ6" s="1134"/>
      <c r="OA6" s="1134"/>
      <c r="OB6" s="1134"/>
      <c r="OC6" s="1134"/>
      <c r="OD6" s="1134"/>
      <c r="OE6" s="1134"/>
      <c r="OF6" s="1134"/>
      <c r="OG6" s="1134"/>
      <c r="OH6" s="1134"/>
      <c r="OI6" s="1134"/>
      <c r="OJ6" s="1134"/>
      <c r="OK6" s="1134"/>
      <c r="OL6" s="1134"/>
      <c r="OM6" s="1134"/>
      <c r="ON6" s="1134"/>
      <c r="OO6" s="1134"/>
      <c r="OP6" s="1134"/>
      <c r="OQ6" s="1134"/>
      <c r="OR6" s="1134"/>
      <c r="OS6" s="1134"/>
      <c r="OT6" s="1134"/>
      <c r="OU6" s="1134"/>
      <c r="OV6" s="1134"/>
      <c r="OW6" s="1134"/>
      <c r="OX6" s="1134">
        <v>150</v>
      </c>
      <c r="OY6" s="1134">
        <v>160</v>
      </c>
      <c r="OZ6" s="1134">
        <v>160</v>
      </c>
      <c r="PA6" s="1134">
        <v>160</v>
      </c>
      <c r="PB6" s="1134">
        <v>160</v>
      </c>
      <c r="PC6" s="1134">
        <v>160</v>
      </c>
      <c r="PD6" s="1134">
        <v>160</v>
      </c>
      <c r="PE6" s="1134">
        <v>160</v>
      </c>
      <c r="PF6" s="1134">
        <v>160</v>
      </c>
      <c r="PG6" s="1134">
        <v>160</v>
      </c>
      <c r="PH6" s="1134">
        <v>160</v>
      </c>
      <c r="PI6" s="1134">
        <v>160</v>
      </c>
      <c r="PJ6" s="1134">
        <v>160</v>
      </c>
      <c r="PK6" s="1134">
        <v>160</v>
      </c>
      <c r="PL6" s="1134">
        <v>160</v>
      </c>
      <c r="PM6" s="1134">
        <v>160</v>
      </c>
      <c r="PN6" s="1134">
        <v>160</v>
      </c>
      <c r="PO6" s="1134">
        <v>160</v>
      </c>
      <c r="PP6" s="1135"/>
      <c r="PQ6" s="1135"/>
      <c r="PR6" s="1135"/>
      <c r="PS6" s="1135"/>
      <c r="PT6" s="1135"/>
      <c r="PU6" s="1135"/>
      <c r="PV6" s="1135"/>
      <c r="PW6" s="1135"/>
      <c r="PX6" s="1135"/>
      <c r="PY6" s="1135"/>
      <c r="PZ6" s="1135"/>
      <c r="QA6" s="1135"/>
      <c r="QB6" s="1135"/>
      <c r="QC6" s="1135"/>
      <c r="QD6" s="1135"/>
      <c r="QE6" s="1135"/>
      <c r="QF6" s="1135"/>
      <c r="QG6" s="1135"/>
      <c r="QH6" s="1135"/>
      <c r="QI6" s="1135"/>
      <c r="QJ6" s="1135"/>
      <c r="QK6" s="1135"/>
      <c r="QL6" s="1135"/>
      <c r="QM6" s="1135"/>
      <c r="QN6" s="1135"/>
      <c r="QO6" s="1135"/>
      <c r="QP6" s="1135"/>
      <c r="QQ6" s="1135"/>
      <c r="QR6" s="1135"/>
      <c r="QS6" s="1135"/>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F3770-CF4C-435E-9F9D-CA1DDA821CC5}">
  <sheetPr codeName="Feuil17"/>
  <dimension ref="A1:D3"/>
  <sheetViews>
    <sheetView workbookViewId="0"/>
  </sheetViews>
  <sheetFormatPr baseColWidth="10" defaultRowHeight="24"/>
  <sheetData>
    <row r="1" spans="1:4">
      <c r="A1" t="s">
        <v>3333</v>
      </c>
      <c r="B1" t="s">
        <v>3334</v>
      </c>
      <c r="C1" t="s">
        <v>3335</v>
      </c>
      <c r="D1" t="s">
        <v>3336</v>
      </c>
    </row>
    <row r="2" spans="1:4">
      <c r="A2" s="447">
        <v>45887.603784722225</v>
      </c>
      <c r="B2" t="s">
        <v>3337</v>
      </c>
      <c r="C2">
        <v>5</v>
      </c>
      <c r="D2" t="s">
        <v>3338</v>
      </c>
    </row>
    <row r="3" spans="1:4">
      <c r="A3" s="447">
        <v>45887.612210648149</v>
      </c>
      <c r="B3" t="s">
        <v>3337</v>
      </c>
      <c r="C3">
        <v>5</v>
      </c>
      <c r="D3" t="s">
        <v>3339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B37B9-7621-45F8-B95A-C4F5FF6E60C0}">
  <sheetPr codeName="Feuil18"/>
  <dimension ref="A1:V485"/>
  <sheetViews>
    <sheetView showGridLines="0" zoomScale="70" zoomScaleNormal="70" workbookViewId="0">
      <pane ySplit="3" topLeftCell="A367" activePane="bottomLeft" state="frozen"/>
      <selection pane="bottomLeft" activeCell="M377" sqref="M377"/>
    </sheetView>
  </sheetViews>
  <sheetFormatPr baseColWidth="10" defaultRowHeight="24"/>
  <cols>
    <col min="1" max="1" width="10.85546875" style="601"/>
    <col min="2" max="2" width="10.85546875" style="469"/>
    <col min="3" max="3" width="11.28515625" style="465" customWidth="1"/>
    <col min="4" max="4" width="12.85546875" style="468" customWidth="1"/>
    <col min="5" max="5" width="10.85546875" style="465"/>
    <col min="6" max="6" width="7.0703125" style="469" customWidth="1"/>
    <col min="7" max="7" width="11.5" style="465" customWidth="1"/>
    <col min="8" max="8" width="6.78515625" style="469" customWidth="1"/>
    <col min="9" max="9" width="10.85546875" style="465"/>
    <col min="10" max="10" width="10.85546875" style="466"/>
    <col min="13" max="13" width="10.85546875" style="601"/>
  </cols>
  <sheetData>
    <row r="1" spans="1:22" ht="34.799999999999997">
      <c r="A1" s="1137" t="s">
        <v>3376</v>
      </c>
      <c r="B1" s="1138"/>
      <c r="C1" s="1139"/>
      <c r="D1" s="1140"/>
      <c r="E1" s="1139"/>
      <c r="F1" s="1138"/>
      <c r="G1" s="1139"/>
      <c r="H1" s="1138"/>
      <c r="I1" s="1139"/>
      <c r="J1" s="1141"/>
    </row>
    <row r="2" spans="1:22" ht="34.799999999999997">
      <c r="A2" s="1137" t="s">
        <v>8</v>
      </c>
      <c r="B2" s="1138"/>
      <c r="C2" s="1139"/>
      <c r="D2" s="1140"/>
      <c r="E2" s="1139"/>
      <c r="F2" s="1138"/>
      <c r="G2" s="1139"/>
      <c r="H2" s="1138"/>
      <c r="I2" s="1139"/>
      <c r="J2" s="1141"/>
      <c r="M2" s="1137" t="s">
        <v>10</v>
      </c>
    </row>
    <row r="3" spans="1:22">
      <c r="A3" s="1148" t="s">
        <v>880</v>
      </c>
      <c r="B3" s="1149" t="s">
        <v>3375</v>
      </c>
      <c r="C3" s="1150" t="s">
        <v>3367</v>
      </c>
      <c r="D3" s="1151" t="s">
        <v>3370</v>
      </c>
      <c r="E3" s="1150" t="s">
        <v>3368</v>
      </c>
      <c r="F3" s="1152" t="s">
        <v>3372</v>
      </c>
      <c r="G3" s="1150" t="s">
        <v>3369</v>
      </c>
      <c r="H3" s="1152" t="s">
        <v>3373</v>
      </c>
      <c r="I3" s="1150" t="s">
        <v>3371</v>
      </c>
      <c r="J3" s="1153" t="s">
        <v>3374</v>
      </c>
      <c r="M3" s="1148" t="s">
        <v>880</v>
      </c>
      <c r="N3" s="1154" t="s">
        <v>3375</v>
      </c>
      <c r="O3" s="1150" t="s">
        <v>3367</v>
      </c>
      <c r="P3" s="1155" t="s">
        <v>3370</v>
      </c>
      <c r="Q3" s="1150" t="s">
        <v>3368</v>
      </c>
      <c r="R3" s="1156" t="s">
        <v>3372</v>
      </c>
      <c r="S3" s="1150" t="s">
        <v>3369</v>
      </c>
      <c r="T3" s="1156" t="s">
        <v>3373</v>
      </c>
      <c r="U3" s="1150" t="s">
        <v>3371</v>
      </c>
      <c r="V3" s="1153" t="s">
        <v>3374</v>
      </c>
    </row>
    <row r="4" spans="1:22">
      <c r="A4" s="1157">
        <v>45569</v>
      </c>
      <c r="B4" s="1158">
        <v>2.7000000000000001E-3</v>
      </c>
      <c r="C4" s="1159">
        <v>10697</v>
      </c>
      <c r="D4" s="1160">
        <v>0.46400000000000002</v>
      </c>
      <c r="E4" s="1159">
        <v>918</v>
      </c>
      <c r="F4" s="1161">
        <v>8.5800000000000001E-2</v>
      </c>
      <c r="G4" s="1159">
        <v>0</v>
      </c>
      <c r="H4" s="1161">
        <v>3.1600000000000003E-2</v>
      </c>
      <c r="I4" s="1159">
        <v>67</v>
      </c>
      <c r="J4" s="1162">
        <v>91</v>
      </c>
      <c r="M4" s="1157">
        <v>45569</v>
      </c>
      <c r="N4" s="1158">
        <v>4.5999999999999999E-3</v>
      </c>
      <c r="O4" s="1159">
        <v>5382</v>
      </c>
      <c r="P4" s="1160">
        <v>0.46800000000000003</v>
      </c>
      <c r="Q4" s="1159">
        <v>467</v>
      </c>
      <c r="R4" s="1161">
        <v>8.6800000000000002E-2</v>
      </c>
      <c r="S4" s="1159">
        <v>0</v>
      </c>
      <c r="T4" s="1161">
        <v>5.3499999999999999E-2</v>
      </c>
      <c r="U4" s="1159">
        <v>96</v>
      </c>
      <c r="V4" s="1162">
        <v>104</v>
      </c>
    </row>
    <row r="5" spans="1:22">
      <c r="A5" s="1157">
        <v>45570</v>
      </c>
      <c r="B5" s="1158">
        <v>2.8E-3</v>
      </c>
      <c r="C5" s="1159">
        <v>9954</v>
      </c>
      <c r="D5" s="1160">
        <v>0.46600000000000003</v>
      </c>
      <c r="E5" s="1159">
        <v>859</v>
      </c>
      <c r="F5" s="1161">
        <v>8.6300000000000002E-2</v>
      </c>
      <c r="G5" s="1159">
        <v>0</v>
      </c>
      <c r="H5" s="1161">
        <v>3.2599999999999997E-2</v>
      </c>
      <c r="I5" s="1159">
        <v>68</v>
      </c>
      <c r="J5" s="1162">
        <v>91</v>
      </c>
      <c r="M5" s="1157">
        <v>45570</v>
      </c>
      <c r="N5" s="1158">
        <v>4.5999999999999999E-3</v>
      </c>
      <c r="O5" s="1159">
        <v>5380</v>
      </c>
      <c r="P5" s="1160">
        <v>0.48</v>
      </c>
      <c r="Q5" s="1159">
        <v>468</v>
      </c>
      <c r="R5" s="1161">
        <v>8.6999999999999994E-2</v>
      </c>
      <c r="S5" s="1159">
        <v>0</v>
      </c>
      <c r="T5" s="1161">
        <v>5.3400000000000003E-2</v>
      </c>
      <c r="U5" s="1159">
        <v>97</v>
      </c>
      <c r="V5" s="1162">
        <v>58</v>
      </c>
    </row>
    <row r="6" spans="1:22">
      <c r="A6" s="1157">
        <v>45571</v>
      </c>
      <c r="B6" s="1158">
        <v>3.0000000000000001E-3</v>
      </c>
      <c r="C6" s="1159">
        <v>9131</v>
      </c>
      <c r="D6" s="1160">
        <v>0.47099999999999997</v>
      </c>
      <c r="E6" s="1159">
        <v>790</v>
      </c>
      <c r="F6" s="1161">
        <v>8.6499999999999994E-2</v>
      </c>
      <c r="G6" s="1159">
        <v>0</v>
      </c>
      <c r="H6" s="1161">
        <v>3.4200000000000001E-2</v>
      </c>
      <c r="I6" s="1159">
        <v>71</v>
      </c>
      <c r="J6" s="1162">
        <v>91</v>
      </c>
      <c r="M6" s="1157">
        <v>45571</v>
      </c>
      <c r="N6" s="1158">
        <v>4.5999999999999999E-3</v>
      </c>
      <c r="O6" s="1159">
        <v>5379</v>
      </c>
      <c r="P6" s="1160">
        <v>0.499</v>
      </c>
      <c r="Q6" s="1159">
        <v>468</v>
      </c>
      <c r="R6" s="1161">
        <v>8.6999999999999994E-2</v>
      </c>
      <c r="S6" s="1159">
        <v>0</v>
      </c>
      <c r="T6" s="1161">
        <v>5.3400000000000003E-2</v>
      </c>
      <c r="U6" s="1159">
        <v>100</v>
      </c>
      <c r="V6" s="1162">
        <v>58</v>
      </c>
    </row>
    <row r="7" spans="1:22">
      <c r="A7" s="1157">
        <v>45572</v>
      </c>
      <c r="B7" s="1158">
        <v>3.2000000000000002E-3</v>
      </c>
      <c r="C7" s="1159">
        <v>8172</v>
      </c>
      <c r="D7" s="1160">
        <v>0.47599999999999998</v>
      </c>
      <c r="E7" s="1159">
        <v>708</v>
      </c>
      <c r="F7" s="1161">
        <v>8.6599999999999996E-2</v>
      </c>
      <c r="G7" s="1159">
        <v>0</v>
      </c>
      <c r="H7" s="1161">
        <v>3.6700000000000003E-2</v>
      </c>
      <c r="I7" s="1159">
        <v>72</v>
      </c>
      <c r="J7" s="1162">
        <v>91</v>
      </c>
      <c r="M7" s="1157">
        <v>45572</v>
      </c>
      <c r="N7" s="1158">
        <v>4.7000000000000002E-3</v>
      </c>
      <c r="O7" s="1159">
        <v>5375</v>
      </c>
      <c r="P7" s="1160">
        <v>0.51400000000000001</v>
      </c>
      <c r="Q7" s="1159">
        <v>468</v>
      </c>
      <c r="R7" s="1161">
        <v>8.7099999999999997E-2</v>
      </c>
      <c r="S7" s="1159">
        <v>0</v>
      </c>
      <c r="T7" s="1161">
        <v>5.3400000000000003E-2</v>
      </c>
      <c r="U7" s="1159">
        <v>103</v>
      </c>
      <c r="V7" s="1162">
        <v>58</v>
      </c>
    </row>
    <row r="8" spans="1:22">
      <c r="A8" s="1157">
        <v>45573</v>
      </c>
      <c r="B8" s="1158">
        <v>3.7000000000000002E-3</v>
      </c>
      <c r="C8" s="1159">
        <v>6958</v>
      </c>
      <c r="D8" s="1160">
        <v>0.47799999999999998</v>
      </c>
      <c r="E8" s="1159">
        <v>603</v>
      </c>
      <c r="F8" s="1161">
        <v>8.6699999999999999E-2</v>
      </c>
      <c r="G8" s="1159">
        <v>0</v>
      </c>
      <c r="H8" s="1161">
        <v>4.3099999999999999E-2</v>
      </c>
      <c r="I8" s="1159">
        <v>70</v>
      </c>
      <c r="J8" s="1162">
        <v>91</v>
      </c>
      <c r="M8" s="1157">
        <v>45573</v>
      </c>
      <c r="N8" s="1158">
        <v>4.7000000000000002E-3</v>
      </c>
      <c r="O8" s="1159">
        <v>5371</v>
      </c>
      <c r="P8" s="1160">
        <v>0.52400000000000002</v>
      </c>
      <c r="Q8" s="1159">
        <v>467</v>
      </c>
      <c r="R8" s="1161">
        <v>8.6900000000000005E-2</v>
      </c>
      <c r="S8" s="1159">
        <v>0</v>
      </c>
      <c r="T8" s="1161">
        <v>5.3499999999999999E-2</v>
      </c>
      <c r="U8" s="1159">
        <v>110</v>
      </c>
      <c r="V8" s="1162">
        <v>58</v>
      </c>
    </row>
    <row r="9" spans="1:22">
      <c r="A9" s="1157">
        <v>45574</v>
      </c>
      <c r="B9" s="1158">
        <v>4.4000000000000003E-3</v>
      </c>
      <c r="C9" s="1159">
        <v>5701</v>
      </c>
      <c r="D9" s="1160">
        <v>0.48099999999999998</v>
      </c>
      <c r="E9" s="1159">
        <v>487</v>
      </c>
      <c r="F9" s="1161">
        <v>8.5400000000000004E-2</v>
      </c>
      <c r="G9" s="1159">
        <v>0</v>
      </c>
      <c r="H9" s="1161">
        <v>5.1299999999999998E-2</v>
      </c>
      <c r="I9" s="1159">
        <v>68</v>
      </c>
      <c r="J9" s="1162">
        <v>110</v>
      </c>
      <c r="M9" s="1157">
        <v>45574</v>
      </c>
      <c r="N9" s="1158">
        <v>4.7999999999999996E-3</v>
      </c>
      <c r="O9" s="1159">
        <v>5259</v>
      </c>
      <c r="P9" s="1160">
        <v>0.53</v>
      </c>
      <c r="Q9" s="1159">
        <v>462</v>
      </c>
      <c r="R9" s="1161">
        <v>8.7800000000000003E-2</v>
      </c>
      <c r="S9" s="1159">
        <v>0</v>
      </c>
      <c r="T9" s="1161">
        <v>5.4100000000000002E-2</v>
      </c>
      <c r="U9" s="1159">
        <v>106</v>
      </c>
      <c r="V9" s="1162">
        <v>71</v>
      </c>
    </row>
    <row r="10" spans="1:22">
      <c r="A10" s="1157">
        <v>45575</v>
      </c>
      <c r="B10" s="1158">
        <v>5.1000000000000004E-3</v>
      </c>
      <c r="C10" s="1159">
        <v>4691</v>
      </c>
      <c r="D10" s="1160">
        <v>0.48499999999999999</v>
      </c>
      <c r="E10" s="1159">
        <v>392</v>
      </c>
      <c r="F10" s="1161">
        <v>8.3599999999999994E-2</v>
      </c>
      <c r="G10" s="1159">
        <v>0</v>
      </c>
      <c r="H10" s="1161">
        <v>6.1199999999999997E-2</v>
      </c>
      <c r="I10" s="1159">
        <v>68</v>
      </c>
      <c r="J10" s="1162">
        <v>110</v>
      </c>
      <c r="M10" s="1157">
        <v>45575</v>
      </c>
      <c r="N10" s="1158">
        <v>4.8999999999999998E-3</v>
      </c>
      <c r="O10" s="1159">
        <v>5125</v>
      </c>
      <c r="P10" s="1160">
        <v>0.53400000000000003</v>
      </c>
      <c r="Q10" s="1159">
        <v>452</v>
      </c>
      <c r="R10" s="1161">
        <v>8.8200000000000001E-2</v>
      </c>
      <c r="S10" s="1159">
        <v>0</v>
      </c>
      <c r="T10" s="1161">
        <v>5.5300000000000002E-2</v>
      </c>
      <c r="U10" s="1159">
        <v>101</v>
      </c>
      <c r="V10" s="1162">
        <v>71</v>
      </c>
    </row>
    <row r="11" spans="1:22">
      <c r="A11" s="1142">
        <v>45576</v>
      </c>
      <c r="B11" s="1143">
        <v>5.7000000000000002E-3</v>
      </c>
      <c r="C11" s="1144">
        <v>4018</v>
      </c>
      <c r="D11" s="1145">
        <v>0.49</v>
      </c>
      <c r="E11" s="1144">
        <v>316</v>
      </c>
      <c r="F11" s="1146">
        <v>7.8600000000000003E-2</v>
      </c>
      <c r="G11" s="1144">
        <v>0</v>
      </c>
      <c r="H11" s="1146">
        <v>7.2800000000000004E-2</v>
      </c>
      <c r="I11" s="1144">
        <v>67</v>
      </c>
      <c r="J11" s="1147">
        <v>110</v>
      </c>
      <c r="M11" s="1142">
        <v>45576</v>
      </c>
      <c r="N11" s="1143">
        <v>5.0000000000000001E-3</v>
      </c>
      <c r="O11" s="1144">
        <v>5032</v>
      </c>
      <c r="P11" s="1145">
        <v>0.54</v>
      </c>
      <c r="Q11" s="1144">
        <v>441</v>
      </c>
      <c r="R11" s="1146">
        <v>8.7599999999999997E-2</v>
      </c>
      <c r="S11" s="1144">
        <v>0</v>
      </c>
      <c r="T11" s="1146">
        <v>5.67E-2</v>
      </c>
      <c r="U11" s="1144">
        <v>95</v>
      </c>
      <c r="V11" s="1147">
        <v>71</v>
      </c>
    </row>
    <row r="12" spans="1:22">
      <c r="A12" s="600">
        <v>45577</v>
      </c>
      <c r="B12" s="470">
        <v>6.3E-3</v>
      </c>
      <c r="C12" s="467">
        <v>3666</v>
      </c>
      <c r="D12" s="471">
        <v>0.496</v>
      </c>
      <c r="E12" s="467">
        <v>276</v>
      </c>
      <c r="F12" s="472">
        <v>7.5300000000000006E-2</v>
      </c>
      <c r="G12" s="467">
        <v>0</v>
      </c>
      <c r="H12" s="472">
        <v>8.3299999999999999E-2</v>
      </c>
      <c r="I12" s="467">
        <v>63</v>
      </c>
      <c r="J12" s="486">
        <v>110</v>
      </c>
      <c r="M12" s="600">
        <v>45577</v>
      </c>
      <c r="N12" s="470">
        <v>4.7000000000000002E-3</v>
      </c>
      <c r="O12" s="467">
        <v>5494</v>
      </c>
      <c r="P12" s="471">
        <v>0.54400000000000004</v>
      </c>
      <c r="Q12" s="467">
        <v>487</v>
      </c>
      <c r="R12" s="472">
        <v>8.8599999999999998E-2</v>
      </c>
      <c r="S12" s="467">
        <v>0</v>
      </c>
      <c r="T12" s="472">
        <v>5.3400000000000003E-2</v>
      </c>
      <c r="U12" s="467">
        <v>90</v>
      </c>
      <c r="V12" s="486">
        <v>61</v>
      </c>
    </row>
    <row r="13" spans="1:22">
      <c r="A13" s="600">
        <v>45578</v>
      </c>
      <c r="B13" s="470">
        <v>5.7000000000000002E-3</v>
      </c>
      <c r="C13" s="467">
        <v>3893</v>
      </c>
      <c r="D13" s="471">
        <v>0.502</v>
      </c>
      <c r="E13" s="467">
        <v>293</v>
      </c>
      <c r="F13" s="472">
        <v>7.5300000000000006E-2</v>
      </c>
      <c r="G13" s="467">
        <v>0</v>
      </c>
      <c r="H13" s="472">
        <v>7.51E-2</v>
      </c>
      <c r="I13" s="467">
        <v>62</v>
      </c>
      <c r="J13" s="486">
        <v>72</v>
      </c>
      <c r="M13" s="600">
        <v>45578</v>
      </c>
      <c r="N13" s="470">
        <v>4.3E-3</v>
      </c>
      <c r="O13" s="467">
        <v>6218</v>
      </c>
      <c r="P13" s="471">
        <v>0.54900000000000004</v>
      </c>
      <c r="Q13" s="467">
        <v>546</v>
      </c>
      <c r="R13" s="472">
        <v>8.7800000000000003E-2</v>
      </c>
      <c r="S13" s="467">
        <v>0</v>
      </c>
      <c r="T13" s="472">
        <v>4.9500000000000002E-2</v>
      </c>
      <c r="U13" s="467">
        <v>88</v>
      </c>
      <c r="V13" s="486">
        <v>61</v>
      </c>
    </row>
    <row r="14" spans="1:22">
      <c r="A14" s="600">
        <v>45579</v>
      </c>
      <c r="B14" s="470">
        <v>5.1999999999999998E-3</v>
      </c>
      <c r="C14" s="467">
        <v>4227</v>
      </c>
      <c r="D14" s="471">
        <v>0.50800000000000001</v>
      </c>
      <c r="E14" s="467">
        <v>324</v>
      </c>
      <c r="F14" s="472">
        <v>7.6700000000000004E-2</v>
      </c>
      <c r="G14" s="467">
        <v>0</v>
      </c>
      <c r="H14" s="472">
        <v>6.7900000000000002E-2</v>
      </c>
      <c r="I14" s="467">
        <v>62</v>
      </c>
      <c r="J14" s="486">
        <v>59</v>
      </c>
      <c r="M14" s="600">
        <v>45579</v>
      </c>
      <c r="N14" s="470">
        <v>3.8E-3</v>
      </c>
      <c r="O14" s="467">
        <v>7425</v>
      </c>
      <c r="P14" s="471">
        <v>0.55000000000000004</v>
      </c>
      <c r="Q14" s="467">
        <v>610</v>
      </c>
      <c r="R14" s="472">
        <v>8.2199999999999995E-2</v>
      </c>
      <c r="S14" s="467">
        <v>0</v>
      </c>
      <c r="T14" s="472">
        <v>4.5900000000000003E-2</v>
      </c>
      <c r="U14" s="467">
        <v>90</v>
      </c>
      <c r="V14" s="486">
        <v>61</v>
      </c>
    </row>
    <row r="15" spans="1:22">
      <c r="A15" s="600">
        <v>45580</v>
      </c>
      <c r="B15" s="470">
        <v>4.7000000000000002E-3</v>
      </c>
      <c r="C15" s="467">
        <v>4641</v>
      </c>
      <c r="D15" s="471">
        <v>0.51900000000000002</v>
      </c>
      <c r="E15" s="467">
        <v>360</v>
      </c>
      <c r="F15" s="472">
        <v>7.7600000000000002E-2</v>
      </c>
      <c r="G15" s="467">
        <v>0</v>
      </c>
      <c r="H15" s="472">
        <v>6.1100000000000002E-2</v>
      </c>
      <c r="I15" s="467">
        <v>63</v>
      </c>
      <c r="J15" s="486">
        <v>59</v>
      </c>
      <c r="M15" s="600">
        <v>45580</v>
      </c>
      <c r="N15" s="470">
        <v>3.0999999999999999E-3</v>
      </c>
      <c r="O15" s="467">
        <v>8775</v>
      </c>
      <c r="P15" s="471">
        <v>0.55100000000000005</v>
      </c>
      <c r="Q15" s="467">
        <v>672</v>
      </c>
      <c r="R15" s="472">
        <v>7.6600000000000001E-2</v>
      </c>
      <c r="S15" s="467">
        <v>0</v>
      </c>
      <c r="T15" s="472">
        <v>4.02E-2</v>
      </c>
      <c r="U15" s="467">
        <v>87</v>
      </c>
      <c r="V15" s="486">
        <v>61</v>
      </c>
    </row>
    <row r="16" spans="1:22">
      <c r="A16" s="600">
        <v>45581</v>
      </c>
      <c r="B16" s="470">
        <v>4.4000000000000003E-3</v>
      </c>
      <c r="C16" s="467">
        <v>4959</v>
      </c>
      <c r="D16" s="471">
        <v>0.52800000000000002</v>
      </c>
      <c r="E16" s="467">
        <v>391</v>
      </c>
      <c r="F16" s="472">
        <v>7.8799999999999995E-2</v>
      </c>
      <c r="G16" s="467">
        <v>0</v>
      </c>
      <c r="H16" s="472">
        <v>5.6300000000000003E-2</v>
      </c>
      <c r="I16" s="467">
        <v>65</v>
      </c>
      <c r="J16" s="486">
        <v>59</v>
      </c>
      <c r="M16" s="600">
        <v>45581</v>
      </c>
      <c r="N16" s="470">
        <v>2.5999999999999999E-3</v>
      </c>
      <c r="O16" s="467">
        <v>9885</v>
      </c>
      <c r="P16" s="471">
        <v>0.55200000000000005</v>
      </c>
      <c r="Q16" s="467">
        <v>715</v>
      </c>
      <c r="R16" s="472">
        <v>7.2300000000000003E-2</v>
      </c>
      <c r="S16" s="467">
        <v>0</v>
      </c>
      <c r="T16" s="472">
        <v>3.6400000000000002E-2</v>
      </c>
      <c r="U16" s="467">
        <v>82</v>
      </c>
      <c r="V16" s="486">
        <v>61</v>
      </c>
    </row>
    <row r="17" spans="1:22">
      <c r="A17" s="600">
        <v>45582</v>
      </c>
      <c r="B17" s="470">
        <v>4.3E-3</v>
      </c>
      <c r="C17" s="467">
        <v>5153</v>
      </c>
      <c r="D17" s="471">
        <v>0.53800000000000003</v>
      </c>
      <c r="E17" s="467">
        <v>412</v>
      </c>
      <c r="F17" s="472">
        <v>0.08</v>
      </c>
      <c r="G17" s="467">
        <v>0</v>
      </c>
      <c r="H17" s="472">
        <v>5.3400000000000003E-2</v>
      </c>
      <c r="I17" s="467">
        <v>67</v>
      </c>
      <c r="J17" s="486">
        <v>59</v>
      </c>
      <c r="M17" s="600">
        <v>45582</v>
      </c>
      <c r="N17" s="470">
        <v>2.3999999999999998E-3</v>
      </c>
      <c r="O17" s="467">
        <v>10341</v>
      </c>
      <c r="P17" s="471">
        <v>0.55100000000000005</v>
      </c>
      <c r="Q17" s="467">
        <v>744</v>
      </c>
      <c r="R17" s="472">
        <v>7.1900000000000006E-2</v>
      </c>
      <c r="S17" s="467">
        <v>0</v>
      </c>
      <c r="T17" s="472">
        <v>3.3599999999999998E-2</v>
      </c>
      <c r="U17" s="467">
        <v>81</v>
      </c>
      <c r="V17" s="486">
        <v>61</v>
      </c>
    </row>
    <row r="18" spans="1:22">
      <c r="A18" s="600">
        <v>45583</v>
      </c>
      <c r="B18" s="470">
        <v>4.4000000000000003E-3</v>
      </c>
      <c r="C18" s="467">
        <v>5017</v>
      </c>
      <c r="D18" s="471">
        <v>0.54800000000000004</v>
      </c>
      <c r="E18" s="467">
        <v>400</v>
      </c>
      <c r="F18" s="472">
        <v>7.9699999999999993E-2</v>
      </c>
      <c r="G18" s="467">
        <v>0</v>
      </c>
      <c r="H18" s="472">
        <v>5.5E-2</v>
      </c>
      <c r="I18" s="467">
        <v>72</v>
      </c>
      <c r="J18" s="486">
        <v>108</v>
      </c>
      <c r="M18" s="600">
        <v>45583</v>
      </c>
      <c r="N18" s="470">
        <v>2.3E-3</v>
      </c>
      <c r="O18" s="467">
        <v>10284</v>
      </c>
      <c r="P18" s="471">
        <v>0.55500000000000005</v>
      </c>
      <c r="Q18" s="467">
        <v>736</v>
      </c>
      <c r="R18" s="472">
        <v>7.1599999999999997E-2</v>
      </c>
      <c r="S18" s="467">
        <v>0</v>
      </c>
      <c r="T18" s="472">
        <v>3.2599999999999997E-2</v>
      </c>
      <c r="U18" s="467">
        <v>78</v>
      </c>
      <c r="V18" s="486">
        <v>61</v>
      </c>
    </row>
    <row r="19" spans="1:22">
      <c r="A19" s="600">
        <v>45584</v>
      </c>
      <c r="B19" s="470">
        <v>4.4000000000000003E-3</v>
      </c>
      <c r="C19" s="467">
        <v>4758</v>
      </c>
      <c r="D19" s="471">
        <v>0.55800000000000005</v>
      </c>
      <c r="E19" s="467">
        <v>383</v>
      </c>
      <c r="F19" s="472">
        <v>8.0500000000000002E-2</v>
      </c>
      <c r="G19" s="467">
        <v>0</v>
      </c>
      <c r="H19" s="472">
        <v>5.4800000000000001E-2</v>
      </c>
      <c r="I19" s="467">
        <v>75</v>
      </c>
      <c r="J19" s="486">
        <v>108</v>
      </c>
      <c r="M19" s="600">
        <v>45584</v>
      </c>
      <c r="N19" s="470">
        <v>2.3E-3</v>
      </c>
      <c r="O19" s="467">
        <v>10222</v>
      </c>
      <c r="P19" s="471">
        <v>0.56100000000000005</v>
      </c>
      <c r="Q19" s="467">
        <v>731</v>
      </c>
      <c r="R19" s="472">
        <v>7.1499999999999994E-2</v>
      </c>
      <c r="S19" s="467">
        <v>0</v>
      </c>
      <c r="T19" s="472">
        <v>3.2800000000000003E-2</v>
      </c>
      <c r="U19" s="467">
        <v>77</v>
      </c>
      <c r="V19" s="486">
        <v>61</v>
      </c>
    </row>
    <row r="20" spans="1:22">
      <c r="A20" s="600">
        <v>45585</v>
      </c>
      <c r="B20" s="470">
        <v>4.5999999999999999E-3</v>
      </c>
      <c r="C20" s="467">
        <v>4370</v>
      </c>
      <c r="D20" s="471">
        <v>0.56399999999999995</v>
      </c>
      <c r="E20" s="467">
        <v>353</v>
      </c>
      <c r="F20" s="472">
        <v>8.0799999999999997E-2</v>
      </c>
      <c r="G20" s="467">
        <v>0</v>
      </c>
      <c r="H20" s="472">
        <v>5.67E-2</v>
      </c>
      <c r="I20" s="467">
        <v>77</v>
      </c>
      <c r="J20" s="486">
        <v>108</v>
      </c>
      <c r="M20" s="600">
        <v>45585</v>
      </c>
      <c r="N20" s="470">
        <v>2.3999999999999998E-3</v>
      </c>
      <c r="O20" s="467">
        <v>10146</v>
      </c>
      <c r="P20" s="471">
        <v>0.56499999999999995</v>
      </c>
      <c r="Q20" s="467">
        <v>727</v>
      </c>
      <c r="R20" s="472">
        <v>7.17E-2</v>
      </c>
      <c r="S20" s="467">
        <v>0</v>
      </c>
      <c r="T20" s="472">
        <v>3.3000000000000002E-2</v>
      </c>
      <c r="U20" s="467">
        <v>75</v>
      </c>
      <c r="V20" s="486">
        <v>61</v>
      </c>
    </row>
    <row r="21" spans="1:22">
      <c r="A21" s="600">
        <v>45586</v>
      </c>
      <c r="B21" s="470">
        <v>5.0000000000000001E-3</v>
      </c>
      <c r="C21" s="467">
        <v>3817</v>
      </c>
      <c r="D21" s="471">
        <v>0.57599999999999996</v>
      </c>
      <c r="E21" s="467">
        <v>313</v>
      </c>
      <c r="F21" s="472">
        <v>8.2000000000000003E-2</v>
      </c>
      <c r="G21" s="467">
        <v>0</v>
      </c>
      <c r="H21" s="472">
        <v>6.0699999999999997E-2</v>
      </c>
      <c r="I21" s="467">
        <v>86</v>
      </c>
      <c r="J21" s="486">
        <v>108</v>
      </c>
      <c r="M21" s="600">
        <v>45586</v>
      </c>
      <c r="N21" s="470">
        <v>2.3999999999999998E-3</v>
      </c>
      <c r="O21" s="467">
        <v>10063</v>
      </c>
      <c r="P21" s="471">
        <v>0.56699999999999995</v>
      </c>
      <c r="Q21" s="467">
        <v>726</v>
      </c>
      <c r="R21" s="472">
        <v>7.2099999999999997E-2</v>
      </c>
      <c r="S21" s="467">
        <v>0</v>
      </c>
      <c r="T21" s="472">
        <v>3.3099999999999997E-2</v>
      </c>
      <c r="U21" s="467">
        <v>77</v>
      </c>
      <c r="V21" s="486">
        <v>61</v>
      </c>
    </row>
    <row r="22" spans="1:22">
      <c r="A22" s="600">
        <v>45587</v>
      </c>
      <c r="B22" s="470">
        <v>5.5999999999999999E-3</v>
      </c>
      <c r="C22" s="467">
        <v>3226</v>
      </c>
      <c r="D22" s="471">
        <v>0.57999999999999996</v>
      </c>
      <c r="E22" s="467">
        <v>268</v>
      </c>
      <c r="F22" s="472">
        <v>8.3099999999999993E-2</v>
      </c>
      <c r="G22" s="467">
        <v>0</v>
      </c>
      <c r="H22" s="472">
        <v>6.7199999999999996E-2</v>
      </c>
      <c r="I22" s="467">
        <v>90</v>
      </c>
      <c r="J22" s="486">
        <v>108</v>
      </c>
      <c r="M22" s="600">
        <v>45587</v>
      </c>
      <c r="N22" s="470">
        <v>2.3999999999999998E-3</v>
      </c>
      <c r="O22" s="467">
        <v>9432</v>
      </c>
      <c r="P22" s="471">
        <v>0.57499999999999996</v>
      </c>
      <c r="Q22" s="467">
        <v>682</v>
      </c>
      <c r="R22" s="472">
        <v>7.2300000000000003E-2</v>
      </c>
      <c r="S22" s="467">
        <v>0</v>
      </c>
      <c r="T22" s="472">
        <v>3.3700000000000001E-2</v>
      </c>
      <c r="U22" s="467">
        <v>73</v>
      </c>
      <c r="V22" s="486">
        <v>73</v>
      </c>
    </row>
    <row r="23" spans="1:22">
      <c r="A23" s="600">
        <v>45588</v>
      </c>
      <c r="B23" s="470">
        <v>4.7999999999999996E-3</v>
      </c>
      <c r="C23" s="467">
        <v>3772</v>
      </c>
      <c r="D23" s="471">
        <v>0.58199999999999996</v>
      </c>
      <c r="E23" s="467">
        <v>221</v>
      </c>
      <c r="F23" s="472">
        <v>5.8599999999999999E-2</v>
      </c>
      <c r="G23" s="467">
        <v>0</v>
      </c>
      <c r="H23" s="472">
        <v>8.14E-2</v>
      </c>
      <c r="I23" s="467">
        <v>92</v>
      </c>
      <c r="J23" s="486">
        <v>139</v>
      </c>
      <c r="M23" s="600">
        <v>45588</v>
      </c>
      <c r="N23" s="470">
        <v>2.5000000000000001E-3</v>
      </c>
      <c r="O23" s="467">
        <v>8711</v>
      </c>
      <c r="P23" s="471">
        <v>0.58099999999999996</v>
      </c>
      <c r="Q23" s="467">
        <v>631</v>
      </c>
      <c r="R23" s="472">
        <v>7.2400000000000006E-2</v>
      </c>
      <c r="S23" s="467">
        <v>0</v>
      </c>
      <c r="T23" s="472">
        <v>3.49E-2</v>
      </c>
      <c r="U23" s="467">
        <v>76</v>
      </c>
      <c r="V23" s="486">
        <v>73</v>
      </c>
    </row>
    <row r="24" spans="1:22">
      <c r="A24" s="600">
        <v>45589</v>
      </c>
      <c r="B24" s="470">
        <v>3.8999999999999998E-3</v>
      </c>
      <c r="C24" s="467">
        <v>4869</v>
      </c>
      <c r="D24" s="471">
        <v>0.58299999999999996</v>
      </c>
      <c r="E24" s="467">
        <v>252</v>
      </c>
      <c r="F24" s="472">
        <v>5.1799999999999999E-2</v>
      </c>
      <c r="G24" s="467">
        <v>0</v>
      </c>
      <c r="H24" s="472">
        <v>7.5399999999999995E-2</v>
      </c>
      <c r="I24" s="467">
        <v>93</v>
      </c>
      <c r="J24" s="486">
        <v>104</v>
      </c>
      <c r="M24" s="600">
        <v>45589</v>
      </c>
      <c r="N24" s="470">
        <v>2.3999999999999998E-3</v>
      </c>
      <c r="O24" s="467">
        <v>8641</v>
      </c>
      <c r="P24" s="471">
        <v>0.58599999999999997</v>
      </c>
      <c r="Q24" s="467">
        <v>577</v>
      </c>
      <c r="R24" s="472">
        <v>6.6799999999999998E-2</v>
      </c>
      <c r="S24" s="467">
        <v>0</v>
      </c>
      <c r="T24" s="472">
        <v>3.6400000000000002E-2</v>
      </c>
      <c r="U24" s="467">
        <v>71</v>
      </c>
      <c r="V24" s="486">
        <v>73</v>
      </c>
    </row>
    <row r="25" spans="1:22">
      <c r="A25" s="600">
        <v>45590</v>
      </c>
      <c r="B25" s="470">
        <v>3.8999999999999998E-3</v>
      </c>
      <c r="C25" s="467">
        <v>5086</v>
      </c>
      <c r="D25" s="471">
        <v>0.58599999999999997</v>
      </c>
      <c r="E25" s="467">
        <v>311</v>
      </c>
      <c r="F25" s="472">
        <v>6.1100000000000002E-2</v>
      </c>
      <c r="G25" s="467">
        <v>0</v>
      </c>
      <c r="H25" s="472">
        <v>6.4299999999999996E-2</v>
      </c>
      <c r="I25" s="467">
        <v>91</v>
      </c>
      <c r="J25" s="486">
        <v>104</v>
      </c>
      <c r="M25" s="600">
        <v>45590</v>
      </c>
      <c r="N25" s="470">
        <v>2.2000000000000001E-3</v>
      </c>
      <c r="O25" s="467">
        <v>9644</v>
      </c>
      <c r="P25" s="471">
        <v>0.59299999999999997</v>
      </c>
      <c r="Q25" s="467">
        <v>603</v>
      </c>
      <c r="R25" s="472">
        <v>6.25E-2</v>
      </c>
      <c r="S25" s="467">
        <v>0</v>
      </c>
      <c r="T25" s="472">
        <v>3.4799999999999998E-2</v>
      </c>
      <c r="U25" s="467">
        <v>66</v>
      </c>
      <c r="V25" s="486">
        <v>71</v>
      </c>
    </row>
    <row r="26" spans="1:22">
      <c r="A26" s="600">
        <v>45591</v>
      </c>
      <c r="B26" s="470">
        <v>3.8999999999999998E-3</v>
      </c>
      <c r="C26" s="467">
        <v>5361</v>
      </c>
      <c r="D26" s="471">
        <v>0.58899999999999997</v>
      </c>
      <c r="E26" s="467">
        <v>341</v>
      </c>
      <c r="F26" s="472">
        <v>6.3600000000000004E-2</v>
      </c>
      <c r="G26" s="467">
        <v>0</v>
      </c>
      <c r="H26" s="472">
        <v>6.1600000000000002E-2</v>
      </c>
      <c r="I26" s="467">
        <v>91</v>
      </c>
      <c r="J26" s="486">
        <v>69</v>
      </c>
      <c r="M26" s="600">
        <v>45591</v>
      </c>
      <c r="N26" s="470">
        <v>1.9E-3</v>
      </c>
      <c r="O26" s="467">
        <v>10920</v>
      </c>
      <c r="P26" s="471">
        <v>0.60399999999999998</v>
      </c>
      <c r="Q26" s="467">
        <v>652</v>
      </c>
      <c r="R26" s="472">
        <v>5.9700000000000003E-2</v>
      </c>
      <c r="S26" s="467">
        <v>0</v>
      </c>
      <c r="T26" s="472">
        <v>3.2199999999999999E-2</v>
      </c>
      <c r="U26" s="467">
        <v>66</v>
      </c>
      <c r="V26" s="486">
        <v>71</v>
      </c>
    </row>
    <row r="27" spans="1:22">
      <c r="A27" s="600">
        <v>45592</v>
      </c>
      <c r="B27" s="470">
        <v>3.8E-3</v>
      </c>
      <c r="C27" s="467">
        <v>5731</v>
      </c>
      <c r="D27" s="471">
        <v>0.59099999999999997</v>
      </c>
      <c r="E27" s="467">
        <v>376</v>
      </c>
      <c r="F27" s="472">
        <v>6.5600000000000006E-2</v>
      </c>
      <c r="G27" s="467">
        <v>0</v>
      </c>
      <c r="H27" s="472">
        <v>5.8500000000000003E-2</v>
      </c>
      <c r="I27" s="467">
        <v>94</v>
      </c>
      <c r="J27" s="486">
        <v>69</v>
      </c>
      <c r="M27" s="600">
        <v>45592</v>
      </c>
      <c r="N27" s="470">
        <v>1.8E-3</v>
      </c>
      <c r="O27" s="467">
        <v>11814</v>
      </c>
      <c r="P27" s="471">
        <v>0.61</v>
      </c>
      <c r="Q27" s="467">
        <v>714</v>
      </c>
      <c r="R27" s="472">
        <v>6.0400000000000002E-2</v>
      </c>
      <c r="S27" s="467">
        <v>0</v>
      </c>
      <c r="T27" s="472">
        <v>2.9399999999999999E-2</v>
      </c>
      <c r="U27" s="467">
        <v>68</v>
      </c>
      <c r="V27" s="486">
        <v>71</v>
      </c>
    </row>
    <row r="28" spans="1:22">
      <c r="A28" s="600">
        <v>45593</v>
      </c>
      <c r="B28" s="470">
        <v>3.8E-3</v>
      </c>
      <c r="C28" s="467">
        <v>6080</v>
      </c>
      <c r="D28" s="471">
        <v>0.59299999999999997</v>
      </c>
      <c r="E28" s="467">
        <v>403</v>
      </c>
      <c r="F28" s="472">
        <v>6.6299999999999998E-2</v>
      </c>
      <c r="G28" s="467">
        <v>0</v>
      </c>
      <c r="H28" s="472">
        <v>5.7099999999999998E-2</v>
      </c>
      <c r="I28" s="467">
        <v>98</v>
      </c>
      <c r="J28" s="486">
        <v>69</v>
      </c>
      <c r="M28" s="600">
        <v>45593</v>
      </c>
      <c r="N28" s="470">
        <v>1.6000000000000001E-3</v>
      </c>
      <c r="O28" s="467">
        <v>12134</v>
      </c>
      <c r="P28" s="471">
        <v>0.61299999999999999</v>
      </c>
      <c r="Q28" s="467">
        <v>750</v>
      </c>
      <c r="R28" s="472">
        <v>6.1800000000000001E-2</v>
      </c>
      <c r="S28" s="467">
        <v>0</v>
      </c>
      <c r="T28" s="472">
        <v>2.6700000000000002E-2</v>
      </c>
      <c r="U28" s="467">
        <v>72</v>
      </c>
      <c r="V28" s="486">
        <v>71</v>
      </c>
    </row>
    <row r="29" spans="1:22">
      <c r="A29" s="600">
        <v>45594</v>
      </c>
      <c r="B29" s="470">
        <v>3.7000000000000002E-3</v>
      </c>
      <c r="C29" s="467">
        <v>6535</v>
      </c>
      <c r="D29" s="471">
        <v>0.59199999999999997</v>
      </c>
      <c r="E29" s="467">
        <v>428</v>
      </c>
      <c r="F29" s="472">
        <v>6.5500000000000003E-2</v>
      </c>
      <c r="G29" s="467">
        <v>0</v>
      </c>
      <c r="H29" s="472">
        <v>5.6099999999999997E-2</v>
      </c>
      <c r="I29" s="467">
        <v>97</v>
      </c>
      <c r="J29" s="486">
        <v>69</v>
      </c>
      <c r="M29" s="600">
        <v>45594</v>
      </c>
      <c r="N29" s="470">
        <v>1.6000000000000001E-3</v>
      </c>
      <c r="O29" s="467">
        <v>12206</v>
      </c>
      <c r="P29" s="471">
        <v>0.61499999999999999</v>
      </c>
      <c r="Q29" s="467">
        <v>757</v>
      </c>
      <c r="R29" s="472">
        <v>6.2E-2</v>
      </c>
      <c r="S29" s="467">
        <v>0</v>
      </c>
      <c r="T29" s="472">
        <v>2.64E-2</v>
      </c>
      <c r="U29" s="467">
        <v>70</v>
      </c>
      <c r="V29" s="486">
        <v>66</v>
      </c>
    </row>
    <row r="30" spans="1:22">
      <c r="A30" s="600">
        <v>45595</v>
      </c>
      <c r="B30" s="470">
        <v>3.3E-3</v>
      </c>
      <c r="C30" s="467">
        <v>7216</v>
      </c>
      <c r="D30" s="471">
        <v>0.59399999999999997</v>
      </c>
      <c r="E30" s="467">
        <v>455</v>
      </c>
      <c r="F30" s="472">
        <v>6.3100000000000003E-2</v>
      </c>
      <c r="G30" s="467">
        <v>0</v>
      </c>
      <c r="H30" s="472">
        <v>5.2699999999999997E-2</v>
      </c>
      <c r="I30" s="467">
        <v>98</v>
      </c>
      <c r="J30" s="486">
        <v>60</v>
      </c>
      <c r="M30" s="600">
        <v>45595</v>
      </c>
      <c r="N30" s="470">
        <v>1.6999999999999999E-3</v>
      </c>
      <c r="O30" s="467">
        <v>11858</v>
      </c>
      <c r="P30" s="471">
        <v>0.61599999999999999</v>
      </c>
      <c r="Q30" s="467">
        <v>714</v>
      </c>
      <c r="R30" s="472">
        <v>6.0199999999999997E-2</v>
      </c>
      <c r="S30" s="467">
        <v>0</v>
      </c>
      <c r="T30" s="472">
        <v>2.8000000000000001E-2</v>
      </c>
      <c r="U30" s="467">
        <v>71</v>
      </c>
      <c r="V30" s="486">
        <v>80</v>
      </c>
    </row>
    <row r="31" spans="1:22">
      <c r="A31" s="600">
        <v>45596</v>
      </c>
      <c r="B31" s="470">
        <v>2.8999999999999998E-3</v>
      </c>
      <c r="C31" s="467">
        <v>8216</v>
      </c>
      <c r="D31" s="471">
        <v>0.59899999999999998</v>
      </c>
      <c r="E31" s="467">
        <v>489</v>
      </c>
      <c r="F31" s="472">
        <v>5.9499999999999997E-2</v>
      </c>
      <c r="G31" s="467">
        <v>0</v>
      </c>
      <c r="H31" s="472">
        <v>4.9099999999999998E-2</v>
      </c>
      <c r="I31" s="467">
        <v>97</v>
      </c>
      <c r="J31" s="486">
        <v>60</v>
      </c>
      <c r="M31" s="600">
        <v>45596</v>
      </c>
      <c r="N31" s="470">
        <v>1.6999999999999999E-3</v>
      </c>
      <c r="O31" s="467">
        <v>11623</v>
      </c>
      <c r="P31" s="471">
        <v>0.61799999999999999</v>
      </c>
      <c r="Q31" s="467">
        <v>672</v>
      </c>
      <c r="R31" s="472">
        <v>5.7799999999999997E-2</v>
      </c>
      <c r="S31" s="467">
        <v>0</v>
      </c>
      <c r="T31" s="472">
        <v>2.98E-2</v>
      </c>
      <c r="U31" s="467">
        <v>67</v>
      </c>
      <c r="V31" s="486">
        <v>80</v>
      </c>
    </row>
    <row r="32" spans="1:22">
      <c r="A32" s="600">
        <v>45597</v>
      </c>
      <c r="B32" s="470">
        <v>2.5999999999999999E-3</v>
      </c>
      <c r="C32" s="467">
        <v>9402</v>
      </c>
      <c r="D32" s="471">
        <v>0.60299999999999998</v>
      </c>
      <c r="E32" s="467">
        <v>534</v>
      </c>
      <c r="F32" s="472">
        <v>5.6800000000000003E-2</v>
      </c>
      <c r="G32" s="467">
        <v>0</v>
      </c>
      <c r="H32" s="472">
        <v>4.4900000000000002E-2</v>
      </c>
      <c r="I32" s="467">
        <v>97</v>
      </c>
      <c r="J32" s="486">
        <v>60</v>
      </c>
      <c r="M32" s="600">
        <v>45597</v>
      </c>
      <c r="N32" s="470">
        <v>1.6999999999999999E-3</v>
      </c>
      <c r="O32" s="467">
        <v>11901</v>
      </c>
      <c r="P32" s="471">
        <v>0.61899999999999999</v>
      </c>
      <c r="Q32" s="467">
        <v>688</v>
      </c>
      <c r="R32" s="472">
        <v>5.7799999999999997E-2</v>
      </c>
      <c r="S32" s="467">
        <v>0</v>
      </c>
      <c r="T32" s="472">
        <v>2.9100000000000001E-2</v>
      </c>
      <c r="U32" s="467">
        <v>67</v>
      </c>
      <c r="V32" s="486">
        <v>27</v>
      </c>
    </row>
    <row r="33" spans="1:22">
      <c r="A33" s="600">
        <v>45598</v>
      </c>
      <c r="B33" s="470">
        <v>2.3999999999999998E-3</v>
      </c>
      <c r="C33" s="467">
        <v>10598</v>
      </c>
      <c r="D33" s="471">
        <v>0.60399999999999998</v>
      </c>
      <c r="E33" s="467">
        <v>584</v>
      </c>
      <c r="F33" s="472">
        <v>5.5100000000000003E-2</v>
      </c>
      <c r="G33" s="467">
        <v>0</v>
      </c>
      <c r="H33" s="472">
        <v>4.2799999999999998E-2</v>
      </c>
      <c r="I33" s="467">
        <v>98</v>
      </c>
      <c r="J33" s="486">
        <v>60</v>
      </c>
      <c r="M33" s="600">
        <v>45598</v>
      </c>
      <c r="N33" s="470">
        <v>1.6000000000000001E-3</v>
      </c>
      <c r="O33" s="467">
        <v>12187</v>
      </c>
      <c r="P33" s="471">
        <v>0.62</v>
      </c>
      <c r="Q33" s="467">
        <v>703</v>
      </c>
      <c r="R33" s="472">
        <v>5.7700000000000001E-2</v>
      </c>
      <c r="S33" s="467">
        <v>0</v>
      </c>
      <c r="T33" s="472">
        <v>2.8400000000000002E-2</v>
      </c>
      <c r="U33" s="467">
        <v>64</v>
      </c>
      <c r="V33" s="486">
        <v>27</v>
      </c>
    </row>
    <row r="34" spans="1:22">
      <c r="A34" s="600">
        <v>45599</v>
      </c>
      <c r="B34" s="470">
        <v>2.3E-3</v>
      </c>
      <c r="C34" s="467">
        <v>11451</v>
      </c>
      <c r="D34" s="471">
        <v>0.60699999999999998</v>
      </c>
      <c r="E34" s="467">
        <v>628</v>
      </c>
      <c r="F34" s="472">
        <v>5.4800000000000001E-2</v>
      </c>
      <c r="G34" s="467">
        <v>0</v>
      </c>
      <c r="H34" s="472">
        <v>4.1399999999999999E-2</v>
      </c>
      <c r="I34" s="467">
        <v>100</v>
      </c>
      <c r="J34" s="486">
        <v>60</v>
      </c>
      <c r="M34" s="600">
        <v>45599</v>
      </c>
      <c r="N34" s="470">
        <v>1.6000000000000001E-3</v>
      </c>
      <c r="O34" s="467">
        <v>12405</v>
      </c>
      <c r="P34" s="471">
        <v>0.62</v>
      </c>
      <c r="Q34" s="467">
        <v>718</v>
      </c>
      <c r="R34" s="472">
        <v>5.79E-2</v>
      </c>
      <c r="S34" s="467">
        <v>0</v>
      </c>
      <c r="T34" s="472">
        <v>2.7900000000000001E-2</v>
      </c>
      <c r="U34" s="467">
        <v>64</v>
      </c>
      <c r="V34" s="486">
        <v>27</v>
      </c>
    </row>
    <row r="35" spans="1:22">
      <c r="A35" s="600">
        <v>45600</v>
      </c>
      <c r="B35" s="470">
        <v>2.3E-3</v>
      </c>
      <c r="C35" s="467">
        <v>11945</v>
      </c>
      <c r="D35" s="471">
        <v>0.60799999999999998</v>
      </c>
      <c r="E35" s="467">
        <v>659</v>
      </c>
      <c r="F35" s="472">
        <v>5.5199999999999999E-2</v>
      </c>
      <c r="G35" s="467">
        <v>0</v>
      </c>
      <c r="H35" s="472">
        <v>4.1000000000000002E-2</v>
      </c>
      <c r="I35" s="467">
        <v>101</v>
      </c>
      <c r="J35" s="486">
        <v>59</v>
      </c>
      <c r="M35" s="600">
        <v>45600</v>
      </c>
      <c r="N35" s="470">
        <v>1.6000000000000001E-3</v>
      </c>
      <c r="O35" s="467">
        <v>12548</v>
      </c>
      <c r="P35" s="471">
        <v>0.62</v>
      </c>
      <c r="Q35" s="467">
        <v>731</v>
      </c>
      <c r="R35" s="472">
        <v>5.8299999999999998E-2</v>
      </c>
      <c r="S35" s="467">
        <v>0</v>
      </c>
      <c r="T35" s="472">
        <v>2.7400000000000001E-2</v>
      </c>
      <c r="U35" s="467">
        <v>66</v>
      </c>
      <c r="V35" s="486">
        <v>27</v>
      </c>
    </row>
    <row r="36" spans="1:22">
      <c r="A36" s="600">
        <v>45601</v>
      </c>
      <c r="B36" s="470">
        <v>2.3E-3</v>
      </c>
      <c r="C36" s="467">
        <v>12373</v>
      </c>
      <c r="D36" s="471">
        <v>0.60799999999999998</v>
      </c>
      <c r="E36" s="467">
        <v>687</v>
      </c>
      <c r="F36" s="472">
        <v>5.5500000000000001E-2</v>
      </c>
      <c r="G36" s="467">
        <v>0</v>
      </c>
      <c r="H36" s="472">
        <v>4.0800000000000003E-2</v>
      </c>
      <c r="I36" s="467">
        <v>102</v>
      </c>
      <c r="J36" s="486">
        <v>59</v>
      </c>
      <c r="M36" s="600">
        <v>45601</v>
      </c>
      <c r="N36" s="470">
        <v>1.6000000000000001E-3</v>
      </c>
      <c r="O36" s="467">
        <v>12665</v>
      </c>
      <c r="P36" s="471">
        <v>0.61499999999999999</v>
      </c>
      <c r="Q36" s="467">
        <v>742</v>
      </c>
      <c r="R36" s="472">
        <v>5.8599999999999999E-2</v>
      </c>
      <c r="S36" s="467">
        <v>0</v>
      </c>
      <c r="T36" s="472">
        <v>2.7E-2</v>
      </c>
      <c r="U36" s="467">
        <v>68</v>
      </c>
      <c r="V36" s="486">
        <v>27</v>
      </c>
    </row>
    <row r="37" spans="1:22">
      <c r="A37" s="600">
        <v>45602</v>
      </c>
      <c r="B37" s="470">
        <v>2.3E-3</v>
      </c>
      <c r="C37" s="467">
        <v>12780</v>
      </c>
      <c r="D37" s="471">
        <v>0.61</v>
      </c>
      <c r="E37" s="467">
        <v>717</v>
      </c>
      <c r="F37" s="472">
        <v>5.6099999999999997E-2</v>
      </c>
      <c r="G37" s="467">
        <v>0</v>
      </c>
      <c r="H37" s="472">
        <v>4.0399999999999998E-2</v>
      </c>
      <c r="I37" s="467">
        <v>100</v>
      </c>
      <c r="J37" s="486">
        <v>59</v>
      </c>
      <c r="M37" s="600">
        <v>45602</v>
      </c>
      <c r="N37" s="470">
        <v>1.6000000000000001E-3</v>
      </c>
      <c r="O37" s="467">
        <v>12759</v>
      </c>
      <c r="P37" s="471">
        <v>0.61</v>
      </c>
      <c r="Q37" s="467">
        <v>750</v>
      </c>
      <c r="R37" s="472">
        <v>5.8799999999999998E-2</v>
      </c>
      <c r="S37" s="467">
        <v>0</v>
      </c>
      <c r="T37" s="472">
        <v>2.6700000000000002E-2</v>
      </c>
      <c r="U37" s="467">
        <v>68</v>
      </c>
      <c r="V37" s="486">
        <v>27</v>
      </c>
    </row>
    <row r="38" spans="1:22">
      <c r="A38" s="600">
        <v>45603</v>
      </c>
      <c r="B38" s="470">
        <v>2.3E-3</v>
      </c>
      <c r="C38" s="467">
        <v>13196</v>
      </c>
      <c r="D38" s="471">
        <v>0.60899999999999999</v>
      </c>
      <c r="E38" s="467">
        <v>745</v>
      </c>
      <c r="F38" s="472">
        <v>5.6500000000000002E-2</v>
      </c>
      <c r="G38" s="467">
        <v>0</v>
      </c>
      <c r="H38" s="472">
        <v>4.0300000000000002E-2</v>
      </c>
      <c r="I38" s="467">
        <v>99</v>
      </c>
      <c r="J38" s="486">
        <v>59</v>
      </c>
      <c r="M38" s="600">
        <v>45603</v>
      </c>
      <c r="N38" s="470">
        <v>1.5E-3</v>
      </c>
      <c r="O38" s="467">
        <v>12838</v>
      </c>
      <c r="P38" s="471">
        <v>0.60199999999999998</v>
      </c>
      <c r="Q38" s="467">
        <v>753</v>
      </c>
      <c r="R38" s="472">
        <v>5.8700000000000002E-2</v>
      </c>
      <c r="S38" s="467">
        <v>0</v>
      </c>
      <c r="T38" s="472">
        <v>2.52E-2</v>
      </c>
      <c r="U38" s="467">
        <v>64</v>
      </c>
      <c r="V38" s="486">
        <v>27</v>
      </c>
    </row>
    <row r="39" spans="1:22">
      <c r="A39" s="600">
        <v>45604</v>
      </c>
      <c r="B39" s="470">
        <v>2.3E-3</v>
      </c>
      <c r="C39" s="467">
        <v>13707</v>
      </c>
      <c r="D39" s="471">
        <v>0.61299999999999999</v>
      </c>
      <c r="E39" s="467">
        <v>782</v>
      </c>
      <c r="F39" s="472">
        <v>5.7099999999999998E-2</v>
      </c>
      <c r="G39" s="467">
        <v>0</v>
      </c>
      <c r="H39" s="472">
        <v>3.9600000000000003E-2</v>
      </c>
      <c r="I39" s="467">
        <v>104</v>
      </c>
      <c r="J39" s="486">
        <v>59</v>
      </c>
      <c r="M39" s="600">
        <v>45604</v>
      </c>
      <c r="N39" s="470">
        <v>1.5E-3</v>
      </c>
      <c r="O39" s="467">
        <v>12892</v>
      </c>
      <c r="P39" s="471">
        <v>0.59799999999999998</v>
      </c>
      <c r="Q39" s="467">
        <v>755</v>
      </c>
      <c r="R39" s="472">
        <v>5.8599999999999999E-2</v>
      </c>
      <c r="S39" s="467">
        <v>0</v>
      </c>
      <c r="T39" s="472">
        <v>2.52E-2</v>
      </c>
      <c r="U39" s="467">
        <v>59</v>
      </c>
      <c r="V39" s="486">
        <v>41</v>
      </c>
    </row>
    <row r="40" spans="1:22">
      <c r="A40" s="600">
        <v>45605</v>
      </c>
      <c r="B40" s="470">
        <v>2.2000000000000001E-3</v>
      </c>
      <c r="C40" s="467">
        <v>14306</v>
      </c>
      <c r="D40" s="471">
        <v>0.61699999999999999</v>
      </c>
      <c r="E40" s="467">
        <v>818</v>
      </c>
      <c r="F40" s="472">
        <v>5.7200000000000001E-2</v>
      </c>
      <c r="G40" s="467">
        <v>0</v>
      </c>
      <c r="H40" s="472">
        <v>3.9100000000000003E-2</v>
      </c>
      <c r="I40" s="467">
        <v>101</v>
      </c>
      <c r="J40" s="486">
        <v>59</v>
      </c>
      <c r="M40" s="600">
        <v>45605</v>
      </c>
      <c r="N40" s="470">
        <v>1.5E-3</v>
      </c>
      <c r="O40" s="467">
        <v>12914</v>
      </c>
      <c r="P40" s="471">
        <v>0.60599999999999998</v>
      </c>
      <c r="Q40" s="467">
        <v>755</v>
      </c>
      <c r="R40" s="472">
        <v>5.8500000000000003E-2</v>
      </c>
      <c r="S40" s="467">
        <v>0</v>
      </c>
      <c r="T40" s="472">
        <v>2.52E-2</v>
      </c>
      <c r="U40" s="467">
        <v>59</v>
      </c>
      <c r="V40" s="486">
        <v>41</v>
      </c>
    </row>
    <row r="41" spans="1:22">
      <c r="A41" s="600">
        <v>45606</v>
      </c>
      <c r="B41" s="470">
        <v>2.2000000000000001E-3</v>
      </c>
      <c r="C41" s="467">
        <v>14899</v>
      </c>
      <c r="D41" s="471">
        <v>0.61799999999999999</v>
      </c>
      <c r="E41" s="467">
        <v>849</v>
      </c>
      <c r="F41" s="472">
        <v>5.7000000000000002E-2</v>
      </c>
      <c r="G41" s="467">
        <v>0</v>
      </c>
      <c r="H41" s="472">
        <v>3.8899999999999997E-2</v>
      </c>
      <c r="I41" s="467">
        <v>100</v>
      </c>
      <c r="J41" s="486">
        <v>59</v>
      </c>
      <c r="M41" s="600">
        <v>45606</v>
      </c>
      <c r="N41" s="470">
        <v>1.5E-3</v>
      </c>
      <c r="O41" s="467">
        <v>12925</v>
      </c>
      <c r="P41" s="471">
        <v>0.61599999999999999</v>
      </c>
      <c r="Q41" s="467">
        <v>755</v>
      </c>
      <c r="R41" s="472">
        <v>5.8400000000000001E-2</v>
      </c>
      <c r="S41" s="467">
        <v>0</v>
      </c>
      <c r="T41" s="472">
        <v>2.52E-2</v>
      </c>
      <c r="U41" s="467">
        <v>60</v>
      </c>
      <c r="V41" s="486">
        <v>41</v>
      </c>
    </row>
    <row r="42" spans="1:22">
      <c r="A42" s="600">
        <v>45607</v>
      </c>
      <c r="B42" s="470">
        <v>2.2000000000000001E-3</v>
      </c>
      <c r="C42" s="467">
        <v>15358</v>
      </c>
      <c r="D42" s="471">
        <v>0.62</v>
      </c>
      <c r="E42" s="467">
        <v>870</v>
      </c>
      <c r="F42" s="472">
        <v>5.6599999999999998E-2</v>
      </c>
      <c r="G42" s="467">
        <v>0</v>
      </c>
      <c r="H42" s="472">
        <v>3.9100000000000003E-2</v>
      </c>
      <c r="I42" s="467">
        <v>100</v>
      </c>
      <c r="J42" s="486">
        <v>59</v>
      </c>
      <c r="M42" s="600">
        <v>45607</v>
      </c>
      <c r="N42" s="470">
        <v>1.4E-3</v>
      </c>
      <c r="O42" s="467">
        <v>13164</v>
      </c>
      <c r="P42" s="471">
        <v>0.625</v>
      </c>
      <c r="Q42" s="467">
        <v>755</v>
      </c>
      <c r="R42" s="472">
        <v>5.74E-2</v>
      </c>
      <c r="S42" s="467">
        <v>0</v>
      </c>
      <c r="T42" s="472">
        <v>2.52E-2</v>
      </c>
      <c r="U42" s="467">
        <v>61</v>
      </c>
      <c r="V42" s="486">
        <v>41</v>
      </c>
    </row>
    <row r="43" spans="1:22">
      <c r="A43" s="600">
        <v>45608</v>
      </c>
      <c r="B43" s="470">
        <v>2.2000000000000001E-3</v>
      </c>
      <c r="C43" s="467">
        <v>15657</v>
      </c>
      <c r="D43" s="471">
        <v>0.61899999999999999</v>
      </c>
      <c r="E43" s="467">
        <v>885</v>
      </c>
      <c r="F43" s="472">
        <v>5.6500000000000002E-2</v>
      </c>
      <c r="G43" s="467">
        <v>0</v>
      </c>
      <c r="H43" s="472">
        <v>3.95E-2</v>
      </c>
      <c r="I43" s="467">
        <v>100</v>
      </c>
      <c r="J43" s="486">
        <v>59</v>
      </c>
      <c r="M43" s="600">
        <v>45608</v>
      </c>
      <c r="N43" s="470">
        <v>1.5E-3</v>
      </c>
      <c r="O43" s="467">
        <v>13361</v>
      </c>
      <c r="P43" s="471">
        <v>0.629</v>
      </c>
      <c r="Q43" s="467">
        <v>725</v>
      </c>
      <c r="R43" s="472">
        <v>5.4300000000000001E-2</v>
      </c>
      <c r="S43" s="467">
        <v>0</v>
      </c>
      <c r="T43" s="472">
        <v>2.76E-2</v>
      </c>
      <c r="U43" s="467">
        <v>63</v>
      </c>
      <c r="V43" s="486">
        <v>40</v>
      </c>
    </row>
    <row r="44" spans="1:22">
      <c r="A44" s="600">
        <v>45609</v>
      </c>
      <c r="B44" s="470">
        <v>2.3E-3</v>
      </c>
      <c r="C44" s="467">
        <v>15904</v>
      </c>
      <c r="D44" s="471">
        <v>0.61899999999999999</v>
      </c>
      <c r="E44" s="467">
        <v>878</v>
      </c>
      <c r="F44" s="472">
        <v>5.5199999999999999E-2</v>
      </c>
      <c r="G44" s="467">
        <v>0</v>
      </c>
      <c r="H44" s="472">
        <v>4.1000000000000002E-2</v>
      </c>
      <c r="I44" s="467">
        <v>99</v>
      </c>
      <c r="J44" s="486">
        <v>59</v>
      </c>
      <c r="M44" s="600">
        <v>45609</v>
      </c>
      <c r="N44" s="470">
        <v>1.6000000000000001E-3</v>
      </c>
      <c r="O44" s="467">
        <v>13497</v>
      </c>
      <c r="P44" s="471">
        <v>0.63600000000000001</v>
      </c>
      <c r="Q44" s="467">
        <v>692</v>
      </c>
      <c r="R44" s="472">
        <v>5.1299999999999998E-2</v>
      </c>
      <c r="S44" s="467">
        <v>0</v>
      </c>
      <c r="T44" s="472">
        <v>3.0300000000000001E-2</v>
      </c>
      <c r="U44" s="467">
        <v>65</v>
      </c>
      <c r="V44" s="486">
        <v>40</v>
      </c>
    </row>
    <row r="45" spans="1:22">
      <c r="A45" s="600">
        <v>45610</v>
      </c>
      <c r="B45" s="470">
        <v>2.0999999999999999E-3</v>
      </c>
      <c r="C45" s="467">
        <v>16730</v>
      </c>
      <c r="D45" s="471">
        <v>0.61799999999999999</v>
      </c>
      <c r="E45" s="467">
        <v>873</v>
      </c>
      <c r="F45" s="472">
        <v>5.2200000000000003E-2</v>
      </c>
      <c r="G45" s="467">
        <v>0</v>
      </c>
      <c r="H45" s="472">
        <v>4.0099999999999997E-2</v>
      </c>
      <c r="I45" s="467">
        <v>97</v>
      </c>
      <c r="J45" s="486">
        <v>66</v>
      </c>
      <c r="M45" s="600">
        <v>45610</v>
      </c>
      <c r="N45" s="470">
        <v>1.6999999999999999E-3</v>
      </c>
      <c r="O45" s="467">
        <v>13108</v>
      </c>
      <c r="P45" s="471">
        <v>0.64100000000000001</v>
      </c>
      <c r="Q45" s="467">
        <v>657</v>
      </c>
      <c r="R45" s="472">
        <v>5.0099999999999999E-2</v>
      </c>
      <c r="S45" s="467">
        <v>0</v>
      </c>
      <c r="T45" s="472">
        <v>3.3500000000000002E-2</v>
      </c>
      <c r="U45" s="467">
        <v>61</v>
      </c>
      <c r="V45" s="486">
        <v>40</v>
      </c>
    </row>
    <row r="46" spans="1:22">
      <c r="A46" s="600">
        <v>45611</v>
      </c>
      <c r="B46" s="470">
        <v>2E-3</v>
      </c>
      <c r="C46" s="467">
        <v>17918</v>
      </c>
      <c r="D46" s="471">
        <v>0.61399999999999999</v>
      </c>
      <c r="E46" s="467">
        <v>893</v>
      </c>
      <c r="F46" s="472">
        <v>4.9799999999999997E-2</v>
      </c>
      <c r="G46" s="467">
        <v>0</v>
      </c>
      <c r="H46" s="472">
        <v>3.9199999999999999E-2</v>
      </c>
      <c r="I46" s="467">
        <v>97</v>
      </c>
      <c r="J46" s="486">
        <v>60</v>
      </c>
      <c r="M46" s="600">
        <v>45611</v>
      </c>
      <c r="N46" s="470">
        <v>1.9E-3</v>
      </c>
      <c r="O46" s="467">
        <v>12312</v>
      </c>
      <c r="P46" s="471">
        <v>0.64600000000000002</v>
      </c>
      <c r="Q46" s="467">
        <v>620</v>
      </c>
      <c r="R46" s="472">
        <v>5.04E-2</v>
      </c>
      <c r="S46" s="467">
        <v>0</v>
      </c>
      <c r="T46" s="472">
        <v>3.8699999999999998E-2</v>
      </c>
      <c r="U46" s="467">
        <v>61</v>
      </c>
      <c r="V46" s="486">
        <v>40</v>
      </c>
    </row>
    <row r="47" spans="1:22">
      <c r="A47" s="600">
        <v>45612</v>
      </c>
      <c r="B47" s="470">
        <v>1.8E-3</v>
      </c>
      <c r="C47" s="467">
        <v>19238</v>
      </c>
      <c r="D47" s="471">
        <v>0.61</v>
      </c>
      <c r="E47" s="467">
        <v>927</v>
      </c>
      <c r="F47" s="472">
        <v>4.82E-2</v>
      </c>
      <c r="G47" s="467">
        <v>0</v>
      </c>
      <c r="H47" s="472">
        <v>3.78E-2</v>
      </c>
      <c r="I47" s="467">
        <v>97</v>
      </c>
      <c r="J47" s="486">
        <v>60</v>
      </c>
      <c r="M47" s="600">
        <v>45612</v>
      </c>
      <c r="N47" s="470">
        <v>2.0999999999999999E-3</v>
      </c>
      <c r="O47" s="467">
        <v>11430</v>
      </c>
      <c r="P47" s="471">
        <v>0.65</v>
      </c>
      <c r="Q47" s="467">
        <v>584</v>
      </c>
      <c r="R47" s="472">
        <v>5.11E-2</v>
      </c>
      <c r="S47" s="467">
        <v>0</v>
      </c>
      <c r="T47" s="472">
        <v>4.1099999999999998E-2</v>
      </c>
      <c r="U47" s="467">
        <v>61</v>
      </c>
      <c r="V47" s="486">
        <v>40</v>
      </c>
    </row>
    <row r="48" spans="1:22">
      <c r="A48" s="600">
        <v>45613</v>
      </c>
      <c r="B48" s="470">
        <v>1.6999999999999999E-3</v>
      </c>
      <c r="C48" s="467">
        <v>20117</v>
      </c>
      <c r="D48" s="471">
        <v>0.60699999999999998</v>
      </c>
      <c r="E48" s="467">
        <v>967</v>
      </c>
      <c r="F48" s="472">
        <v>4.8099999999999997E-2</v>
      </c>
      <c r="G48" s="467">
        <v>0</v>
      </c>
      <c r="H48" s="472">
        <v>3.6200000000000003E-2</v>
      </c>
      <c r="I48" s="467">
        <v>94</v>
      </c>
      <c r="J48" s="486">
        <v>60</v>
      </c>
      <c r="M48" s="600">
        <v>45613</v>
      </c>
      <c r="N48" s="470">
        <v>2.2000000000000001E-3</v>
      </c>
      <c r="O48" s="467">
        <v>10969</v>
      </c>
      <c r="P48" s="471">
        <v>0.65400000000000003</v>
      </c>
      <c r="Q48" s="467">
        <v>557</v>
      </c>
      <c r="R48" s="472">
        <v>5.0799999999999998E-2</v>
      </c>
      <c r="S48" s="467">
        <v>0</v>
      </c>
      <c r="T48" s="472">
        <v>4.3099999999999999E-2</v>
      </c>
      <c r="U48" s="467">
        <v>60</v>
      </c>
      <c r="V48" s="486">
        <v>40</v>
      </c>
    </row>
    <row r="49" spans="1:22">
      <c r="A49" s="600">
        <v>45614</v>
      </c>
      <c r="B49" s="470">
        <v>1.6999999999999999E-3</v>
      </c>
      <c r="C49" s="467">
        <v>20561</v>
      </c>
      <c r="D49" s="471">
        <v>0.60399999999999998</v>
      </c>
      <c r="E49" s="467">
        <v>996</v>
      </c>
      <c r="F49" s="472">
        <v>4.8399999999999999E-2</v>
      </c>
      <c r="G49" s="467">
        <v>0</v>
      </c>
      <c r="H49" s="472">
        <v>3.4099999999999998E-2</v>
      </c>
      <c r="I49" s="467">
        <v>90</v>
      </c>
      <c r="J49" s="486">
        <v>29</v>
      </c>
      <c r="M49" s="600">
        <v>45614</v>
      </c>
      <c r="N49" s="470">
        <v>2.2000000000000001E-3</v>
      </c>
      <c r="O49" s="467">
        <v>11003</v>
      </c>
      <c r="P49" s="471">
        <v>0.66200000000000003</v>
      </c>
      <c r="Q49" s="467">
        <v>562</v>
      </c>
      <c r="R49" s="472">
        <v>5.11E-2</v>
      </c>
      <c r="S49" s="467">
        <v>0</v>
      </c>
      <c r="T49" s="472">
        <v>4.2700000000000002E-2</v>
      </c>
      <c r="U49" s="467">
        <v>65</v>
      </c>
      <c r="V49" s="486">
        <v>40</v>
      </c>
    </row>
    <row r="50" spans="1:22">
      <c r="A50" s="600">
        <v>45615</v>
      </c>
      <c r="B50" s="470">
        <v>1.6000000000000001E-3</v>
      </c>
      <c r="C50" s="467">
        <v>20594</v>
      </c>
      <c r="D50" s="471">
        <v>0.59899999999999998</v>
      </c>
      <c r="E50" s="467">
        <v>995</v>
      </c>
      <c r="F50" s="472">
        <v>4.8300000000000003E-2</v>
      </c>
      <c r="G50" s="467">
        <v>0</v>
      </c>
      <c r="H50" s="472">
        <v>3.32E-2</v>
      </c>
      <c r="I50" s="467">
        <v>86</v>
      </c>
      <c r="J50" s="486">
        <v>29</v>
      </c>
      <c r="M50" s="600">
        <v>45615</v>
      </c>
      <c r="N50" s="470">
        <v>2.2000000000000001E-3</v>
      </c>
      <c r="O50" s="467">
        <v>11040</v>
      </c>
      <c r="P50" s="471">
        <v>0.66800000000000004</v>
      </c>
      <c r="Q50" s="467">
        <v>564</v>
      </c>
      <c r="R50" s="472">
        <v>5.11E-2</v>
      </c>
      <c r="S50" s="467">
        <v>0</v>
      </c>
      <c r="T50" s="472">
        <v>4.2599999999999999E-2</v>
      </c>
      <c r="U50" s="467">
        <v>64</v>
      </c>
      <c r="V50" s="486">
        <v>40</v>
      </c>
    </row>
    <row r="51" spans="1:22">
      <c r="A51" s="600">
        <v>45616</v>
      </c>
      <c r="B51" s="470">
        <v>1.6000000000000001E-3</v>
      </c>
      <c r="C51" s="467">
        <v>20629</v>
      </c>
      <c r="D51" s="471">
        <v>0.59599999999999997</v>
      </c>
      <c r="E51" s="467">
        <v>994</v>
      </c>
      <c r="F51" s="472">
        <v>4.82E-2</v>
      </c>
      <c r="G51" s="467">
        <v>0</v>
      </c>
      <c r="H51" s="472">
        <v>3.2199999999999999E-2</v>
      </c>
      <c r="I51" s="467">
        <v>84</v>
      </c>
      <c r="J51" s="486">
        <v>29</v>
      </c>
      <c r="M51" s="600">
        <v>45616</v>
      </c>
      <c r="N51" s="470">
        <v>2.0999999999999999E-3</v>
      </c>
      <c r="O51" s="467">
        <v>11484</v>
      </c>
      <c r="P51" s="471">
        <v>0.67700000000000005</v>
      </c>
      <c r="Q51" s="467">
        <v>565</v>
      </c>
      <c r="R51" s="472">
        <v>4.9200000000000001E-2</v>
      </c>
      <c r="S51" s="467">
        <v>0</v>
      </c>
      <c r="T51" s="472">
        <v>4.2500000000000003E-2</v>
      </c>
      <c r="U51" s="467">
        <v>63</v>
      </c>
      <c r="V51" s="486">
        <v>40</v>
      </c>
    </row>
    <row r="52" spans="1:22">
      <c r="A52" s="600">
        <v>45617</v>
      </c>
      <c r="B52" s="470">
        <v>1.4E-3</v>
      </c>
      <c r="C52" s="467">
        <v>21569</v>
      </c>
      <c r="D52" s="471">
        <v>0.58599999999999997</v>
      </c>
      <c r="E52" s="467">
        <v>993</v>
      </c>
      <c r="F52" s="472">
        <v>4.5999999999999999E-2</v>
      </c>
      <c r="G52" s="467">
        <v>0</v>
      </c>
      <c r="H52" s="472">
        <v>3.1199999999999999E-2</v>
      </c>
      <c r="I52" s="467">
        <v>75</v>
      </c>
      <c r="J52" s="486">
        <v>29</v>
      </c>
      <c r="M52" s="600">
        <v>45617</v>
      </c>
      <c r="N52" s="470">
        <v>2E-3</v>
      </c>
      <c r="O52" s="467">
        <v>12243</v>
      </c>
      <c r="P52" s="471">
        <v>0.68300000000000005</v>
      </c>
      <c r="Q52" s="467">
        <v>603</v>
      </c>
      <c r="R52" s="472">
        <v>4.9299999999999997E-2</v>
      </c>
      <c r="S52" s="467">
        <v>0</v>
      </c>
      <c r="T52" s="472">
        <v>4.1500000000000002E-2</v>
      </c>
      <c r="U52" s="467">
        <v>61</v>
      </c>
      <c r="V52" s="486">
        <v>36</v>
      </c>
    </row>
    <row r="53" spans="1:22">
      <c r="A53" s="600">
        <v>45618</v>
      </c>
      <c r="B53" s="470">
        <v>1.2999999999999999E-3</v>
      </c>
      <c r="C53" s="467">
        <v>23610</v>
      </c>
      <c r="D53" s="471">
        <v>0.58199999999999996</v>
      </c>
      <c r="E53" s="467">
        <v>1053</v>
      </c>
      <c r="F53" s="472">
        <v>4.4600000000000001E-2</v>
      </c>
      <c r="G53" s="467">
        <v>0</v>
      </c>
      <c r="H53" s="472">
        <v>2.8500000000000001E-2</v>
      </c>
      <c r="I53" s="467">
        <v>70</v>
      </c>
      <c r="J53" s="486">
        <v>29</v>
      </c>
      <c r="M53" s="600">
        <v>45618</v>
      </c>
      <c r="N53" s="470">
        <v>2E-3</v>
      </c>
      <c r="O53" s="467">
        <v>12996</v>
      </c>
      <c r="P53" s="471">
        <v>0.68300000000000005</v>
      </c>
      <c r="Q53" s="467">
        <v>641</v>
      </c>
      <c r="R53" s="472">
        <v>4.9299999999999997E-2</v>
      </c>
      <c r="S53" s="467">
        <v>0</v>
      </c>
      <c r="T53" s="472">
        <v>4.0599999999999997E-2</v>
      </c>
      <c r="U53" s="467">
        <v>62</v>
      </c>
      <c r="V53" s="486">
        <v>36</v>
      </c>
    </row>
    <row r="54" spans="1:22">
      <c r="A54" s="600">
        <v>45619</v>
      </c>
      <c r="B54" s="470">
        <v>1.1999999999999999E-3</v>
      </c>
      <c r="C54" s="467">
        <v>25100</v>
      </c>
      <c r="D54" s="471">
        <v>0.58299999999999996</v>
      </c>
      <c r="E54" s="467">
        <v>1158</v>
      </c>
      <c r="F54" s="472">
        <v>4.6100000000000002E-2</v>
      </c>
      <c r="G54" s="467">
        <v>0</v>
      </c>
      <c r="H54" s="472">
        <v>2.5899999999999999E-2</v>
      </c>
      <c r="I54" s="467">
        <v>64</v>
      </c>
      <c r="J54" s="486">
        <v>28</v>
      </c>
      <c r="M54" s="600">
        <v>45619</v>
      </c>
      <c r="N54" s="470">
        <v>2E-3</v>
      </c>
      <c r="O54" s="467">
        <v>13331</v>
      </c>
      <c r="P54" s="471">
        <v>0.68400000000000005</v>
      </c>
      <c r="Q54" s="467">
        <v>679</v>
      </c>
      <c r="R54" s="472">
        <v>5.0900000000000001E-2</v>
      </c>
      <c r="S54" s="467">
        <v>0</v>
      </c>
      <c r="T54" s="472">
        <v>3.9800000000000002E-2</v>
      </c>
      <c r="U54" s="467">
        <v>58</v>
      </c>
      <c r="V54" s="486">
        <v>36</v>
      </c>
    </row>
    <row r="55" spans="1:22">
      <c r="A55" s="600">
        <v>45620</v>
      </c>
      <c r="B55" s="470">
        <v>1.1000000000000001E-3</v>
      </c>
      <c r="C55" s="467">
        <v>25885</v>
      </c>
      <c r="D55" s="471">
        <v>0.58499999999999996</v>
      </c>
      <c r="E55" s="467">
        <v>1213</v>
      </c>
      <c r="F55" s="472">
        <v>4.6899999999999997E-2</v>
      </c>
      <c r="G55" s="467">
        <v>0</v>
      </c>
      <c r="H55" s="472">
        <v>2.3900000000000001E-2</v>
      </c>
      <c r="I55" s="467">
        <v>61</v>
      </c>
      <c r="J55" s="486">
        <v>33</v>
      </c>
      <c r="M55" s="600">
        <v>45620</v>
      </c>
      <c r="N55" s="470">
        <v>2.2000000000000001E-3</v>
      </c>
      <c r="O55" s="467">
        <v>12664</v>
      </c>
      <c r="P55" s="471">
        <v>0.68600000000000005</v>
      </c>
      <c r="Q55" s="467">
        <v>679</v>
      </c>
      <c r="R55" s="472">
        <v>5.3600000000000002E-2</v>
      </c>
      <c r="S55" s="467">
        <v>0</v>
      </c>
      <c r="T55" s="472">
        <v>4.1200000000000001E-2</v>
      </c>
      <c r="U55" s="467">
        <v>59</v>
      </c>
      <c r="V55" s="486">
        <v>58</v>
      </c>
    </row>
    <row r="56" spans="1:22">
      <c r="A56" s="600">
        <v>45621</v>
      </c>
      <c r="B56" s="470">
        <v>1E-3</v>
      </c>
      <c r="C56" s="467">
        <v>27112</v>
      </c>
      <c r="D56" s="471">
        <v>0.58299999999999996</v>
      </c>
      <c r="E56" s="467">
        <v>1233</v>
      </c>
      <c r="F56" s="472">
        <v>4.5499999999999999E-2</v>
      </c>
      <c r="G56" s="467">
        <v>0</v>
      </c>
      <c r="H56" s="472">
        <v>2.2700000000000001E-2</v>
      </c>
      <c r="I56" s="467">
        <v>60</v>
      </c>
      <c r="J56" s="486">
        <v>33</v>
      </c>
      <c r="M56" s="600">
        <v>45621</v>
      </c>
      <c r="N56" s="470">
        <v>2.5000000000000001E-3</v>
      </c>
      <c r="O56" s="467">
        <v>11338</v>
      </c>
      <c r="P56" s="471">
        <v>0.68600000000000005</v>
      </c>
      <c r="Q56" s="467">
        <v>627</v>
      </c>
      <c r="R56" s="472">
        <v>5.5300000000000002E-2</v>
      </c>
      <c r="S56" s="467">
        <v>0</v>
      </c>
      <c r="T56" s="472">
        <v>4.4699999999999997E-2</v>
      </c>
      <c r="U56" s="467">
        <v>59</v>
      </c>
      <c r="V56" s="486">
        <v>67</v>
      </c>
    </row>
    <row r="57" spans="1:22">
      <c r="A57" s="600">
        <v>45622</v>
      </c>
      <c r="B57" s="470">
        <v>1E-3</v>
      </c>
      <c r="C57" s="467">
        <v>27839</v>
      </c>
      <c r="D57" s="471">
        <v>0.58399999999999996</v>
      </c>
      <c r="E57" s="467">
        <v>1266</v>
      </c>
      <c r="F57" s="472">
        <v>4.5499999999999999E-2</v>
      </c>
      <c r="G57" s="467">
        <v>0</v>
      </c>
      <c r="H57" s="472">
        <v>2.1299999999999999E-2</v>
      </c>
      <c r="I57" s="467">
        <v>60</v>
      </c>
      <c r="J57" s="486">
        <v>30</v>
      </c>
      <c r="M57" s="600">
        <v>45622</v>
      </c>
      <c r="N57" s="470">
        <v>2.8999999999999998E-3</v>
      </c>
      <c r="O57" s="467">
        <v>9809</v>
      </c>
      <c r="P57" s="471">
        <v>0.68300000000000005</v>
      </c>
      <c r="Q57" s="467">
        <v>553</v>
      </c>
      <c r="R57" s="472">
        <v>5.6399999999999999E-2</v>
      </c>
      <c r="S57" s="467">
        <v>0</v>
      </c>
      <c r="T57" s="472">
        <v>5.0599999999999999E-2</v>
      </c>
      <c r="U57" s="467">
        <v>58</v>
      </c>
      <c r="V57" s="486">
        <v>67</v>
      </c>
    </row>
    <row r="58" spans="1:22">
      <c r="A58" s="600">
        <v>45623</v>
      </c>
      <c r="B58" s="470">
        <v>8.9999999999999998E-4</v>
      </c>
      <c r="C58" s="467">
        <v>27861</v>
      </c>
      <c r="D58" s="471">
        <v>0.58399999999999996</v>
      </c>
      <c r="E58" s="467">
        <v>1252</v>
      </c>
      <c r="F58" s="472">
        <v>4.4900000000000002E-2</v>
      </c>
      <c r="G58" s="467">
        <v>0</v>
      </c>
      <c r="H58" s="472">
        <v>0.02</v>
      </c>
      <c r="I58" s="467">
        <v>56</v>
      </c>
      <c r="J58" s="486">
        <v>30</v>
      </c>
      <c r="M58" s="600">
        <v>45623</v>
      </c>
      <c r="N58" s="470">
        <v>3.2000000000000002E-3</v>
      </c>
      <c r="O58" s="467">
        <v>8735</v>
      </c>
      <c r="P58" s="471">
        <v>0.68400000000000005</v>
      </c>
      <c r="Q58" s="467">
        <v>474</v>
      </c>
      <c r="R58" s="472">
        <v>5.4300000000000001E-2</v>
      </c>
      <c r="S58" s="467">
        <v>0</v>
      </c>
      <c r="T58" s="472">
        <v>5.91E-2</v>
      </c>
      <c r="U58" s="467">
        <v>54</v>
      </c>
      <c r="V58" s="486">
        <v>67</v>
      </c>
    </row>
    <row r="59" spans="1:22">
      <c r="A59" s="600">
        <v>45624</v>
      </c>
      <c r="B59" s="470">
        <v>8.9999999999999998E-4</v>
      </c>
      <c r="C59" s="467">
        <v>27511</v>
      </c>
      <c r="D59" s="471">
        <v>0.58499999999999996</v>
      </c>
      <c r="E59" s="467">
        <v>1233</v>
      </c>
      <c r="F59" s="472">
        <v>4.48E-2</v>
      </c>
      <c r="G59" s="467">
        <v>0</v>
      </c>
      <c r="H59" s="472">
        <v>1.95E-2</v>
      </c>
      <c r="I59" s="467">
        <v>50</v>
      </c>
      <c r="J59" s="486">
        <v>50</v>
      </c>
      <c r="M59" s="600">
        <v>45624</v>
      </c>
      <c r="N59" s="470">
        <v>3.5000000000000001E-3</v>
      </c>
      <c r="O59" s="467">
        <v>8233</v>
      </c>
      <c r="P59" s="471">
        <v>0.68600000000000005</v>
      </c>
      <c r="Q59" s="467">
        <v>424</v>
      </c>
      <c r="R59" s="472">
        <v>5.1499999999999997E-2</v>
      </c>
      <c r="S59" s="467">
        <v>0</v>
      </c>
      <c r="T59" s="472">
        <v>6.8400000000000002E-2</v>
      </c>
      <c r="U59" s="467">
        <v>52</v>
      </c>
      <c r="V59" s="486">
        <v>67</v>
      </c>
    </row>
    <row r="60" spans="1:22">
      <c r="A60" s="600">
        <v>45625</v>
      </c>
      <c r="B60" s="470">
        <v>8.9999999999999998E-4</v>
      </c>
      <c r="C60" s="467">
        <v>27027</v>
      </c>
      <c r="D60" s="471">
        <v>0.58799999999999997</v>
      </c>
      <c r="E60" s="467">
        <v>1217</v>
      </c>
      <c r="F60" s="472">
        <v>4.4999999999999998E-2</v>
      </c>
      <c r="G60" s="467">
        <v>0</v>
      </c>
      <c r="H60" s="472">
        <v>1.9699999999999999E-2</v>
      </c>
      <c r="I60" s="467">
        <v>49</v>
      </c>
      <c r="J60" s="486">
        <v>50</v>
      </c>
      <c r="M60" s="600">
        <v>45625</v>
      </c>
      <c r="N60" s="470">
        <v>3.5999999999999999E-3</v>
      </c>
      <c r="O60" s="467">
        <v>7985</v>
      </c>
      <c r="P60" s="471">
        <v>0.68600000000000005</v>
      </c>
      <c r="Q60" s="467">
        <v>406</v>
      </c>
      <c r="R60" s="472">
        <v>5.0799999999999998E-2</v>
      </c>
      <c r="S60" s="467">
        <v>0</v>
      </c>
      <c r="T60" s="472">
        <v>7.1400000000000005E-2</v>
      </c>
      <c r="U60" s="467">
        <v>51</v>
      </c>
      <c r="V60" s="486">
        <v>72</v>
      </c>
    </row>
    <row r="61" spans="1:22">
      <c r="A61" s="600">
        <v>45626</v>
      </c>
      <c r="B61" s="470">
        <v>8.9999999999999998E-4</v>
      </c>
      <c r="C61" s="467">
        <v>26309</v>
      </c>
      <c r="D61" s="471">
        <v>0.58699999999999997</v>
      </c>
      <c r="E61" s="467">
        <v>1197</v>
      </c>
      <c r="F61" s="472">
        <v>4.5499999999999999E-2</v>
      </c>
      <c r="G61" s="467">
        <v>0</v>
      </c>
      <c r="H61" s="472">
        <v>2.01E-2</v>
      </c>
      <c r="I61" s="467">
        <v>49</v>
      </c>
      <c r="J61" s="486">
        <v>57</v>
      </c>
      <c r="M61" s="600">
        <v>45626</v>
      </c>
      <c r="N61" s="470">
        <v>3.3999999999999998E-3</v>
      </c>
      <c r="O61" s="467">
        <v>8587</v>
      </c>
      <c r="P61" s="471">
        <v>0.68600000000000005</v>
      </c>
      <c r="Q61" s="467">
        <v>390</v>
      </c>
      <c r="R61" s="472">
        <v>4.5400000000000003E-2</v>
      </c>
      <c r="S61" s="467">
        <v>0</v>
      </c>
      <c r="T61" s="472">
        <v>7.4399999999999994E-2</v>
      </c>
      <c r="U61" s="467">
        <v>49</v>
      </c>
      <c r="V61" s="486">
        <v>72</v>
      </c>
    </row>
    <row r="62" spans="1:22">
      <c r="A62" s="600">
        <v>45627</v>
      </c>
      <c r="B62" s="470">
        <v>8.9999999999999998E-4</v>
      </c>
      <c r="C62" s="467">
        <v>25274</v>
      </c>
      <c r="D62" s="471">
        <v>0.58599999999999997</v>
      </c>
      <c r="E62" s="467">
        <v>1170</v>
      </c>
      <c r="F62" s="472">
        <v>4.6300000000000001E-2</v>
      </c>
      <c r="G62" s="467">
        <v>0</v>
      </c>
      <c r="H62" s="472">
        <v>2.0500000000000001E-2</v>
      </c>
      <c r="I62" s="467">
        <v>50</v>
      </c>
      <c r="J62" s="486">
        <v>57</v>
      </c>
      <c r="M62" s="600">
        <v>45627</v>
      </c>
      <c r="N62" s="470">
        <v>3.0000000000000001E-3</v>
      </c>
      <c r="O62" s="467">
        <v>9733</v>
      </c>
      <c r="P62" s="471">
        <v>0.68500000000000005</v>
      </c>
      <c r="Q62" s="467">
        <v>414</v>
      </c>
      <c r="R62" s="472">
        <v>4.2500000000000003E-2</v>
      </c>
      <c r="S62" s="467">
        <v>0</v>
      </c>
      <c r="T62" s="472">
        <v>7.0000000000000007E-2</v>
      </c>
      <c r="U62" s="467">
        <v>50</v>
      </c>
      <c r="V62" s="486">
        <v>59</v>
      </c>
    </row>
    <row r="63" spans="1:22">
      <c r="A63" s="600">
        <v>45628</v>
      </c>
      <c r="B63" s="470">
        <v>1E-3</v>
      </c>
      <c r="C63" s="467">
        <v>24069</v>
      </c>
      <c r="D63" s="471">
        <v>0.58399999999999996</v>
      </c>
      <c r="E63" s="467">
        <v>1131</v>
      </c>
      <c r="F63" s="472">
        <v>4.7E-2</v>
      </c>
      <c r="G63" s="467">
        <v>0</v>
      </c>
      <c r="H63" s="472">
        <v>2.12E-2</v>
      </c>
      <c r="I63" s="467">
        <v>49</v>
      </c>
      <c r="J63" s="486">
        <v>57</v>
      </c>
      <c r="M63" s="600">
        <v>45628</v>
      </c>
      <c r="N63" s="470">
        <v>2.5999999999999999E-3</v>
      </c>
      <c r="O63" s="467">
        <v>11038</v>
      </c>
      <c r="P63" s="471">
        <v>0.68500000000000005</v>
      </c>
      <c r="Q63" s="467">
        <v>440</v>
      </c>
      <c r="R63" s="472">
        <v>3.9899999999999998E-2</v>
      </c>
      <c r="S63" s="467">
        <v>0</v>
      </c>
      <c r="T63" s="472">
        <v>6.59E-2</v>
      </c>
      <c r="U63" s="467">
        <v>49</v>
      </c>
      <c r="V63" s="486">
        <v>59</v>
      </c>
    </row>
    <row r="64" spans="1:22">
      <c r="A64" s="600">
        <v>45629</v>
      </c>
      <c r="B64" s="470">
        <v>1E-3</v>
      </c>
      <c r="C64" s="467">
        <v>22871</v>
      </c>
      <c r="D64" s="471">
        <v>0.58399999999999996</v>
      </c>
      <c r="E64" s="467">
        <v>1089</v>
      </c>
      <c r="F64" s="472">
        <v>4.7600000000000003E-2</v>
      </c>
      <c r="G64" s="467">
        <v>0</v>
      </c>
      <c r="H64" s="472">
        <v>2.1999999999999999E-2</v>
      </c>
      <c r="I64" s="467">
        <v>48</v>
      </c>
      <c r="J64" s="486">
        <v>57</v>
      </c>
      <c r="M64" s="600">
        <v>45629</v>
      </c>
      <c r="N64" s="470">
        <v>2.5000000000000001E-3</v>
      </c>
      <c r="O64" s="467">
        <v>11760</v>
      </c>
      <c r="P64" s="471">
        <v>0.68700000000000006</v>
      </c>
      <c r="Q64" s="467">
        <v>470</v>
      </c>
      <c r="R64" s="472">
        <v>0.04</v>
      </c>
      <c r="S64" s="467">
        <v>0</v>
      </c>
      <c r="T64" s="472">
        <v>6.1699999999999998E-2</v>
      </c>
      <c r="U64" s="467">
        <v>51</v>
      </c>
      <c r="V64" s="486">
        <v>59</v>
      </c>
    </row>
    <row r="65" spans="1:22">
      <c r="A65" s="600">
        <v>45630</v>
      </c>
      <c r="B65" s="470">
        <v>1.1000000000000001E-3</v>
      </c>
      <c r="C65" s="467">
        <v>22253</v>
      </c>
      <c r="D65" s="471">
        <v>0.58499999999999996</v>
      </c>
      <c r="E65" s="467">
        <v>1053</v>
      </c>
      <c r="F65" s="472">
        <v>4.7300000000000002E-2</v>
      </c>
      <c r="G65" s="467">
        <v>0</v>
      </c>
      <c r="H65" s="472">
        <v>2.2800000000000001E-2</v>
      </c>
      <c r="I65" s="467">
        <v>46</v>
      </c>
      <c r="J65" s="486">
        <v>57</v>
      </c>
      <c r="M65" s="600">
        <v>45630</v>
      </c>
      <c r="N65" s="470">
        <v>2.3E-3</v>
      </c>
      <c r="O65" s="467">
        <v>12357</v>
      </c>
      <c r="P65" s="471">
        <v>0.69299999999999995</v>
      </c>
      <c r="Q65" s="467">
        <v>481</v>
      </c>
      <c r="R65" s="472">
        <v>3.8899999999999997E-2</v>
      </c>
      <c r="S65" s="467">
        <v>0</v>
      </c>
      <c r="T65" s="472">
        <v>5.8200000000000002E-2</v>
      </c>
      <c r="U65" s="467">
        <v>52</v>
      </c>
      <c r="V65" s="486">
        <v>59</v>
      </c>
    </row>
    <row r="66" spans="1:22">
      <c r="A66" s="600">
        <v>45631</v>
      </c>
      <c r="B66" s="470">
        <v>1E-3</v>
      </c>
      <c r="C66" s="467">
        <v>22101</v>
      </c>
      <c r="D66" s="471">
        <v>0.58699999999999997</v>
      </c>
      <c r="E66" s="467">
        <v>1029</v>
      </c>
      <c r="F66" s="472">
        <v>4.6600000000000003E-2</v>
      </c>
      <c r="G66" s="467">
        <v>0</v>
      </c>
      <c r="H66" s="472">
        <v>2.24E-2</v>
      </c>
      <c r="I66" s="467">
        <v>45</v>
      </c>
      <c r="J66" s="486">
        <v>58</v>
      </c>
      <c r="M66" s="600">
        <v>45631</v>
      </c>
      <c r="N66" s="470">
        <v>2E-3</v>
      </c>
      <c r="O66" s="467">
        <v>13238</v>
      </c>
      <c r="P66" s="471">
        <v>0.69899999999999995</v>
      </c>
      <c r="Q66" s="467">
        <v>495</v>
      </c>
      <c r="R66" s="472">
        <v>3.7400000000000003E-2</v>
      </c>
      <c r="S66" s="467">
        <v>0</v>
      </c>
      <c r="T66" s="472">
        <v>5.45E-2</v>
      </c>
      <c r="U66" s="467">
        <v>51</v>
      </c>
      <c r="V66" s="486">
        <v>59</v>
      </c>
    </row>
    <row r="67" spans="1:22">
      <c r="A67" s="600">
        <v>45632</v>
      </c>
      <c r="B67" s="470">
        <v>1E-3</v>
      </c>
      <c r="C67" s="467">
        <v>22016</v>
      </c>
      <c r="D67" s="471">
        <v>0.58799999999999997</v>
      </c>
      <c r="E67" s="467">
        <v>1008</v>
      </c>
      <c r="F67" s="472">
        <v>4.58E-2</v>
      </c>
      <c r="G67" s="467">
        <v>0</v>
      </c>
      <c r="H67" s="472">
        <v>2.18E-2</v>
      </c>
      <c r="I67" s="467">
        <v>44</v>
      </c>
      <c r="J67" s="486">
        <v>58</v>
      </c>
      <c r="M67" s="600">
        <v>45632</v>
      </c>
      <c r="N67" s="470">
        <v>1.8E-3</v>
      </c>
      <c r="O67" s="467">
        <v>14123</v>
      </c>
      <c r="P67" s="471">
        <v>0.7</v>
      </c>
      <c r="Q67" s="467">
        <v>513</v>
      </c>
      <c r="R67" s="472">
        <v>3.6299999999999999E-2</v>
      </c>
      <c r="S67" s="467">
        <v>0</v>
      </c>
      <c r="T67" s="472">
        <v>5.0700000000000002E-2</v>
      </c>
      <c r="U67" s="467">
        <v>47</v>
      </c>
      <c r="V67" s="486">
        <v>59</v>
      </c>
    </row>
    <row r="68" spans="1:22">
      <c r="A68" s="600">
        <v>45633</v>
      </c>
      <c r="B68" s="470">
        <v>1E-3</v>
      </c>
      <c r="C68" s="467">
        <v>21714</v>
      </c>
      <c r="D68" s="471">
        <v>0.59</v>
      </c>
      <c r="E68" s="467">
        <v>985</v>
      </c>
      <c r="F68" s="472">
        <v>4.5400000000000003E-2</v>
      </c>
      <c r="G68" s="467">
        <v>0</v>
      </c>
      <c r="H68" s="472">
        <v>2.1299999999999999E-2</v>
      </c>
      <c r="I68" s="467">
        <v>43</v>
      </c>
      <c r="J68" s="486">
        <v>58</v>
      </c>
      <c r="M68" s="600">
        <v>45633</v>
      </c>
      <c r="N68" s="470">
        <v>1.6999999999999999E-3</v>
      </c>
      <c r="O68" s="467">
        <v>14655</v>
      </c>
      <c r="P68" s="471">
        <v>0.70199999999999996</v>
      </c>
      <c r="Q68" s="467">
        <v>534</v>
      </c>
      <c r="R68" s="472">
        <v>3.6400000000000002E-2</v>
      </c>
      <c r="S68" s="467">
        <v>0</v>
      </c>
      <c r="T68" s="472">
        <v>4.6800000000000001E-2</v>
      </c>
      <c r="U68" s="467">
        <v>43</v>
      </c>
      <c r="V68" s="486">
        <v>59</v>
      </c>
    </row>
    <row r="69" spans="1:22">
      <c r="A69" s="600">
        <v>45634</v>
      </c>
      <c r="B69" s="470">
        <v>1E-3</v>
      </c>
      <c r="C69" s="467">
        <v>21295</v>
      </c>
      <c r="D69" s="471">
        <v>0.59399999999999997</v>
      </c>
      <c r="E69" s="467">
        <v>957</v>
      </c>
      <c r="F69" s="472">
        <v>4.4900000000000002E-2</v>
      </c>
      <c r="G69" s="467">
        <v>0</v>
      </c>
      <c r="H69" s="472">
        <v>2.1899999999999999E-2</v>
      </c>
      <c r="I69" s="467">
        <v>42</v>
      </c>
      <c r="J69" s="486">
        <v>85</v>
      </c>
      <c r="M69" s="600">
        <v>45634</v>
      </c>
      <c r="N69" s="470">
        <v>1.6999999999999999E-3</v>
      </c>
      <c r="O69" s="467">
        <v>14888</v>
      </c>
      <c r="P69" s="471">
        <v>0.70699999999999996</v>
      </c>
      <c r="Q69" s="467">
        <v>553</v>
      </c>
      <c r="R69" s="472">
        <v>3.7100000000000001E-2</v>
      </c>
      <c r="S69" s="467">
        <v>0</v>
      </c>
      <c r="T69" s="472">
        <v>4.7E-2</v>
      </c>
      <c r="U69" s="467">
        <v>44</v>
      </c>
      <c r="V69" s="486">
        <v>56</v>
      </c>
    </row>
    <row r="70" spans="1:22">
      <c r="A70" s="600">
        <v>45635</v>
      </c>
      <c r="B70" s="470">
        <v>1E-3</v>
      </c>
      <c r="C70" s="467">
        <v>20779</v>
      </c>
      <c r="D70" s="471">
        <v>0.59299999999999997</v>
      </c>
      <c r="E70" s="467">
        <v>920</v>
      </c>
      <c r="F70" s="472">
        <v>4.4299999999999999E-2</v>
      </c>
      <c r="G70" s="467">
        <v>0</v>
      </c>
      <c r="H70" s="472">
        <v>2.2800000000000001E-2</v>
      </c>
      <c r="I70" s="467">
        <v>39</v>
      </c>
      <c r="J70" s="486">
        <v>85</v>
      </c>
      <c r="M70" s="600">
        <v>45635</v>
      </c>
      <c r="N70" s="470">
        <v>1.6999999999999999E-3</v>
      </c>
      <c r="O70" s="467">
        <v>15066</v>
      </c>
      <c r="P70" s="471">
        <v>0.70599999999999996</v>
      </c>
      <c r="Q70" s="467">
        <v>566</v>
      </c>
      <c r="R70" s="472">
        <v>3.7600000000000001E-2</v>
      </c>
      <c r="S70" s="467">
        <v>0</v>
      </c>
      <c r="T70" s="472">
        <v>4.5900000000000003E-2</v>
      </c>
      <c r="U70" s="467">
        <v>44</v>
      </c>
      <c r="V70" s="486">
        <v>51</v>
      </c>
    </row>
    <row r="71" spans="1:22">
      <c r="A71" s="600">
        <v>45636</v>
      </c>
      <c r="B71" s="470">
        <v>1E-3</v>
      </c>
      <c r="C71" s="467">
        <v>20176</v>
      </c>
      <c r="D71" s="471">
        <v>0.59599999999999997</v>
      </c>
      <c r="E71" s="467">
        <v>884</v>
      </c>
      <c r="F71" s="472">
        <v>4.3799999999999999E-2</v>
      </c>
      <c r="G71" s="467">
        <v>0</v>
      </c>
      <c r="H71" s="472">
        <v>2.3800000000000002E-2</v>
      </c>
      <c r="I71" s="467">
        <v>40</v>
      </c>
      <c r="J71" s="486">
        <v>85</v>
      </c>
      <c r="M71" s="600">
        <v>45636</v>
      </c>
      <c r="N71" s="470">
        <v>1.6999999999999999E-3</v>
      </c>
      <c r="O71" s="467">
        <v>15222</v>
      </c>
      <c r="P71" s="471">
        <v>0.70399999999999996</v>
      </c>
      <c r="Q71" s="467">
        <v>578</v>
      </c>
      <c r="R71" s="472">
        <v>3.7999999999999999E-2</v>
      </c>
      <c r="S71" s="467">
        <v>0</v>
      </c>
      <c r="T71" s="472">
        <v>4.4999999999999998E-2</v>
      </c>
      <c r="U71" s="467">
        <v>42</v>
      </c>
      <c r="V71" s="486">
        <v>51</v>
      </c>
    </row>
    <row r="72" spans="1:22">
      <c r="A72" s="600">
        <v>45637</v>
      </c>
      <c r="B72" s="470">
        <v>1.1000000000000001E-3</v>
      </c>
      <c r="C72" s="467">
        <v>19580</v>
      </c>
      <c r="D72" s="471">
        <v>0.59699999999999998</v>
      </c>
      <c r="E72" s="467">
        <v>853</v>
      </c>
      <c r="F72" s="472">
        <v>4.36E-2</v>
      </c>
      <c r="G72" s="467">
        <v>0</v>
      </c>
      <c r="H72" s="472">
        <v>2.46E-2</v>
      </c>
      <c r="I72" s="467">
        <v>38</v>
      </c>
      <c r="J72" s="486">
        <v>85</v>
      </c>
      <c r="M72" s="600">
        <v>45637</v>
      </c>
      <c r="N72" s="470">
        <v>1.6999999999999999E-3</v>
      </c>
      <c r="O72" s="467">
        <v>15399</v>
      </c>
      <c r="P72" s="471">
        <v>0.69799999999999995</v>
      </c>
      <c r="Q72" s="467">
        <v>584</v>
      </c>
      <c r="R72" s="472">
        <v>3.7900000000000003E-2</v>
      </c>
      <c r="S72" s="467">
        <v>0</v>
      </c>
      <c r="T72" s="472">
        <v>4.4499999999999998E-2</v>
      </c>
      <c r="U72" s="467">
        <v>43</v>
      </c>
      <c r="V72" s="486">
        <v>51</v>
      </c>
    </row>
    <row r="73" spans="1:22">
      <c r="A73" s="600">
        <v>45638</v>
      </c>
      <c r="B73" s="470">
        <v>1.1000000000000001E-3</v>
      </c>
      <c r="C73" s="467">
        <v>19114</v>
      </c>
      <c r="D73" s="471">
        <v>0.59699999999999998</v>
      </c>
      <c r="E73" s="467">
        <v>831</v>
      </c>
      <c r="F73" s="472">
        <v>4.3499999999999997E-2</v>
      </c>
      <c r="G73" s="467">
        <v>0</v>
      </c>
      <c r="H73" s="472">
        <v>2.53E-2</v>
      </c>
      <c r="I73" s="467">
        <v>36</v>
      </c>
      <c r="J73" s="486">
        <v>85</v>
      </c>
      <c r="M73" s="600">
        <v>45638</v>
      </c>
      <c r="N73" s="470">
        <v>1.6000000000000001E-3</v>
      </c>
      <c r="O73" s="467">
        <v>15403</v>
      </c>
      <c r="P73" s="471">
        <v>0.69199999999999995</v>
      </c>
      <c r="Q73" s="467">
        <v>589</v>
      </c>
      <c r="R73" s="472">
        <v>3.8199999999999998E-2</v>
      </c>
      <c r="S73" s="467">
        <v>0</v>
      </c>
      <c r="T73" s="472">
        <v>4.24E-2</v>
      </c>
      <c r="U73" s="467">
        <v>45</v>
      </c>
      <c r="V73" s="486">
        <v>51</v>
      </c>
    </row>
    <row r="74" spans="1:22">
      <c r="A74" s="600">
        <v>45639</v>
      </c>
      <c r="B74" s="470">
        <v>1.1000000000000001E-3</v>
      </c>
      <c r="C74" s="467">
        <v>18805</v>
      </c>
      <c r="D74" s="471">
        <v>0.60299999999999998</v>
      </c>
      <c r="E74" s="467">
        <v>815</v>
      </c>
      <c r="F74" s="472">
        <v>4.3299999999999998E-2</v>
      </c>
      <c r="G74" s="467">
        <v>0</v>
      </c>
      <c r="H74" s="472">
        <v>2.58E-2</v>
      </c>
      <c r="I74" s="467">
        <v>37</v>
      </c>
      <c r="J74" s="486">
        <v>85</v>
      </c>
      <c r="M74" s="600">
        <v>45639</v>
      </c>
      <c r="N74" s="470">
        <v>1.6000000000000001E-3</v>
      </c>
      <c r="O74" s="467">
        <v>14968</v>
      </c>
      <c r="P74" s="471">
        <v>0.69</v>
      </c>
      <c r="Q74" s="467">
        <v>575</v>
      </c>
      <c r="R74" s="472">
        <v>3.8399999999999997E-2</v>
      </c>
      <c r="S74" s="467">
        <v>0</v>
      </c>
      <c r="T74" s="472">
        <v>4.1700000000000001E-2</v>
      </c>
      <c r="U74" s="467">
        <v>44</v>
      </c>
      <c r="V74" s="486">
        <v>60</v>
      </c>
    </row>
    <row r="75" spans="1:22">
      <c r="A75" s="600">
        <v>45640</v>
      </c>
      <c r="B75" s="470">
        <v>1.1000000000000001E-3</v>
      </c>
      <c r="C75" s="467">
        <v>18312</v>
      </c>
      <c r="D75" s="471">
        <v>0.60899999999999999</v>
      </c>
      <c r="E75" s="467">
        <v>805</v>
      </c>
      <c r="F75" s="472">
        <v>4.3999999999999997E-2</v>
      </c>
      <c r="G75" s="467">
        <v>0</v>
      </c>
      <c r="H75" s="472">
        <v>2.6100000000000002E-2</v>
      </c>
      <c r="I75" s="467">
        <v>36</v>
      </c>
      <c r="J75" s="486">
        <v>85</v>
      </c>
      <c r="M75" s="600">
        <v>45640</v>
      </c>
      <c r="N75" s="470">
        <v>1.6000000000000001E-3</v>
      </c>
      <c r="O75" s="467">
        <v>14339</v>
      </c>
      <c r="P75" s="471">
        <v>0.70699999999999996</v>
      </c>
      <c r="Q75" s="467">
        <v>553</v>
      </c>
      <c r="R75" s="472">
        <v>3.8600000000000002E-2</v>
      </c>
      <c r="S75" s="467">
        <v>0</v>
      </c>
      <c r="T75" s="472">
        <v>4.1599999999999998E-2</v>
      </c>
      <c r="U75" s="467">
        <v>43</v>
      </c>
      <c r="V75" s="486">
        <v>60</v>
      </c>
    </row>
    <row r="76" spans="1:22">
      <c r="A76" s="600">
        <v>45641</v>
      </c>
      <c r="B76" s="470">
        <v>1.2999999999999999E-3</v>
      </c>
      <c r="C76" s="467">
        <v>17432</v>
      </c>
      <c r="D76" s="471">
        <v>0.61699999999999999</v>
      </c>
      <c r="E76" s="467">
        <v>779</v>
      </c>
      <c r="F76" s="472">
        <v>4.4699999999999997E-2</v>
      </c>
      <c r="G76" s="467">
        <v>0</v>
      </c>
      <c r="H76" s="472">
        <v>2.8199999999999999E-2</v>
      </c>
      <c r="I76" s="467">
        <v>43</v>
      </c>
      <c r="J76" s="486">
        <v>85</v>
      </c>
      <c r="M76" s="600">
        <v>45641</v>
      </c>
      <c r="N76" s="470">
        <v>1.6000000000000001E-3</v>
      </c>
      <c r="O76" s="467">
        <v>13696</v>
      </c>
      <c r="P76" s="471">
        <v>0.72599999999999998</v>
      </c>
      <c r="Q76" s="467">
        <v>526</v>
      </c>
      <c r="R76" s="472">
        <v>3.8399999999999997E-2</v>
      </c>
      <c r="S76" s="467">
        <v>0</v>
      </c>
      <c r="T76" s="472">
        <v>4.1799999999999997E-2</v>
      </c>
      <c r="U76" s="467">
        <v>48</v>
      </c>
      <c r="V76" s="486">
        <v>60</v>
      </c>
    </row>
    <row r="77" spans="1:22">
      <c r="A77" s="600">
        <v>45642</v>
      </c>
      <c r="B77" s="470">
        <v>1.2999999999999999E-3</v>
      </c>
      <c r="C77" s="467">
        <v>16492</v>
      </c>
      <c r="D77" s="471">
        <v>0.626</v>
      </c>
      <c r="E77" s="467">
        <v>737</v>
      </c>
      <c r="F77" s="472">
        <v>4.4699999999999997E-2</v>
      </c>
      <c r="G77" s="467">
        <v>0</v>
      </c>
      <c r="H77" s="472">
        <v>2.8500000000000001E-2</v>
      </c>
      <c r="I77" s="467">
        <v>48</v>
      </c>
      <c r="J77" s="486">
        <v>105</v>
      </c>
      <c r="M77" s="600">
        <v>45642</v>
      </c>
      <c r="N77" s="470">
        <v>1.6000000000000001E-3</v>
      </c>
      <c r="O77" s="467">
        <v>13408</v>
      </c>
      <c r="P77" s="471">
        <v>0.72599999999999998</v>
      </c>
      <c r="Q77" s="467">
        <v>499</v>
      </c>
      <c r="R77" s="472">
        <v>3.7199999999999997E-2</v>
      </c>
      <c r="S77" s="467">
        <v>0</v>
      </c>
      <c r="T77" s="472">
        <v>4.2099999999999999E-2</v>
      </c>
      <c r="U77" s="467">
        <v>49</v>
      </c>
      <c r="V77" s="486">
        <v>60</v>
      </c>
    </row>
    <row r="78" spans="1:22">
      <c r="A78" s="600">
        <v>45643</v>
      </c>
      <c r="B78" s="470">
        <v>1.2999999999999999E-3</v>
      </c>
      <c r="C78" s="467">
        <v>15473</v>
      </c>
      <c r="D78" s="471">
        <v>0.63</v>
      </c>
      <c r="E78" s="467">
        <v>688</v>
      </c>
      <c r="F78" s="472">
        <v>4.4499999999999998E-2</v>
      </c>
      <c r="G78" s="467">
        <v>0</v>
      </c>
      <c r="H78" s="472">
        <v>2.9100000000000001E-2</v>
      </c>
      <c r="I78" s="467">
        <v>46</v>
      </c>
      <c r="J78" s="486">
        <v>105</v>
      </c>
      <c r="M78" s="600">
        <v>45643</v>
      </c>
      <c r="N78" s="470">
        <v>1.6999999999999999E-3</v>
      </c>
      <c r="O78" s="467">
        <v>13585</v>
      </c>
      <c r="P78" s="471">
        <v>0.72599999999999998</v>
      </c>
      <c r="Q78" s="467">
        <v>497</v>
      </c>
      <c r="R78" s="472">
        <v>3.6600000000000001E-2</v>
      </c>
      <c r="S78" s="467">
        <v>0</v>
      </c>
      <c r="T78" s="472">
        <v>4.6300000000000001E-2</v>
      </c>
      <c r="U78" s="467">
        <v>49</v>
      </c>
      <c r="V78" s="486">
        <v>52</v>
      </c>
    </row>
    <row r="79" spans="1:22">
      <c r="A79" s="600">
        <v>45644</v>
      </c>
      <c r="B79" s="470">
        <v>1.2999999999999999E-3</v>
      </c>
      <c r="C79" s="467">
        <v>15020</v>
      </c>
      <c r="D79" s="471">
        <v>0.63200000000000001</v>
      </c>
      <c r="E79" s="467">
        <v>641</v>
      </c>
      <c r="F79" s="472">
        <v>4.2700000000000002E-2</v>
      </c>
      <c r="G79" s="467">
        <v>0</v>
      </c>
      <c r="H79" s="472">
        <v>2.9600000000000001E-2</v>
      </c>
      <c r="I79" s="467">
        <v>48</v>
      </c>
      <c r="J79" s="486">
        <v>105</v>
      </c>
      <c r="M79" s="600">
        <v>45644</v>
      </c>
      <c r="N79" s="470">
        <v>1.8E-3</v>
      </c>
      <c r="O79" s="467">
        <v>14028</v>
      </c>
      <c r="P79" s="471">
        <v>0.72599999999999998</v>
      </c>
      <c r="Q79" s="467">
        <v>506</v>
      </c>
      <c r="R79" s="472">
        <v>3.61E-2</v>
      </c>
      <c r="S79" s="467">
        <v>0</v>
      </c>
      <c r="T79" s="472">
        <v>4.9399999999999999E-2</v>
      </c>
      <c r="U79" s="467">
        <v>54</v>
      </c>
      <c r="V79" s="486">
        <v>52</v>
      </c>
    </row>
    <row r="80" spans="1:22">
      <c r="A80" s="600">
        <v>45645</v>
      </c>
      <c r="B80" s="470">
        <v>1.2999999999999999E-3</v>
      </c>
      <c r="C80" s="467">
        <v>15177</v>
      </c>
      <c r="D80" s="471">
        <v>0.63400000000000001</v>
      </c>
      <c r="E80" s="467">
        <v>626</v>
      </c>
      <c r="F80" s="472">
        <v>4.1200000000000001E-2</v>
      </c>
      <c r="G80" s="467">
        <v>0</v>
      </c>
      <c r="H80" s="472">
        <v>3.04E-2</v>
      </c>
      <c r="I80" s="467">
        <v>47</v>
      </c>
      <c r="J80" s="486">
        <v>105</v>
      </c>
      <c r="M80" s="600">
        <v>45645</v>
      </c>
      <c r="N80" s="470">
        <v>1.9E-3</v>
      </c>
      <c r="O80" s="467">
        <v>14469</v>
      </c>
      <c r="P80" s="471">
        <v>0.72299999999999998</v>
      </c>
      <c r="Q80" s="467">
        <v>517</v>
      </c>
      <c r="R80" s="472">
        <v>3.5700000000000003E-2</v>
      </c>
      <c r="S80" s="467">
        <v>0</v>
      </c>
      <c r="T80" s="472">
        <v>5.2200000000000003E-2</v>
      </c>
      <c r="U80" s="467">
        <v>52</v>
      </c>
      <c r="V80" s="486">
        <v>52</v>
      </c>
    </row>
    <row r="81" spans="1:22">
      <c r="A81" s="600">
        <v>45646</v>
      </c>
      <c r="B81" s="470">
        <v>1.1999999999999999E-3</v>
      </c>
      <c r="C81" s="467">
        <v>15605</v>
      </c>
      <c r="D81" s="471">
        <v>0.63800000000000001</v>
      </c>
      <c r="E81" s="467">
        <v>640</v>
      </c>
      <c r="F81" s="472">
        <v>4.1000000000000002E-2</v>
      </c>
      <c r="G81" s="467">
        <v>0</v>
      </c>
      <c r="H81" s="472">
        <v>2.9700000000000001E-2</v>
      </c>
      <c r="I81" s="467">
        <v>47</v>
      </c>
      <c r="J81" s="486">
        <v>105</v>
      </c>
      <c r="M81" s="600">
        <v>45646</v>
      </c>
      <c r="N81" s="470">
        <v>1.9E-3</v>
      </c>
      <c r="O81" s="467">
        <v>15058</v>
      </c>
      <c r="P81" s="471">
        <v>0.71699999999999997</v>
      </c>
      <c r="Q81" s="467">
        <v>528</v>
      </c>
      <c r="R81" s="472">
        <v>3.5099999999999999E-2</v>
      </c>
      <c r="S81" s="467">
        <v>0</v>
      </c>
      <c r="T81" s="472">
        <v>5.2999999999999999E-2</v>
      </c>
      <c r="U81" s="467">
        <v>53</v>
      </c>
      <c r="V81" s="486">
        <v>52</v>
      </c>
    </row>
    <row r="82" spans="1:22">
      <c r="A82" s="600">
        <v>45647</v>
      </c>
      <c r="B82" s="470">
        <v>1.1999999999999999E-3</v>
      </c>
      <c r="C82" s="467">
        <v>15748</v>
      </c>
      <c r="D82" s="471">
        <v>0.64</v>
      </c>
      <c r="E82" s="467">
        <v>643</v>
      </c>
      <c r="F82" s="472">
        <v>4.0800000000000003E-2</v>
      </c>
      <c r="G82" s="467">
        <v>0</v>
      </c>
      <c r="H82" s="472">
        <v>2.9499999999999998E-2</v>
      </c>
      <c r="I82" s="467">
        <v>47</v>
      </c>
      <c r="J82" s="486">
        <v>105</v>
      </c>
      <c r="M82" s="600">
        <v>45647</v>
      </c>
      <c r="N82" s="470">
        <v>1.9E-3</v>
      </c>
      <c r="O82" s="467">
        <v>15452</v>
      </c>
      <c r="P82" s="471">
        <v>0.71199999999999997</v>
      </c>
      <c r="Q82" s="467">
        <v>548</v>
      </c>
      <c r="R82" s="472">
        <v>3.5499999999999997E-2</v>
      </c>
      <c r="S82" s="467">
        <v>0</v>
      </c>
      <c r="T82" s="472">
        <v>5.2900000000000003E-2</v>
      </c>
      <c r="U82" s="467">
        <v>52</v>
      </c>
      <c r="V82" s="486">
        <v>52</v>
      </c>
    </row>
    <row r="83" spans="1:22">
      <c r="A83" s="600">
        <v>45648</v>
      </c>
      <c r="B83" s="470">
        <v>1.2999999999999999E-3</v>
      </c>
      <c r="C83" s="467">
        <v>14837</v>
      </c>
      <c r="D83" s="471">
        <v>0.64200000000000002</v>
      </c>
      <c r="E83" s="467">
        <v>648</v>
      </c>
      <c r="F83" s="472">
        <v>4.3700000000000003E-2</v>
      </c>
      <c r="G83" s="467">
        <v>0</v>
      </c>
      <c r="H83" s="472">
        <v>2.93E-2</v>
      </c>
      <c r="I83" s="467">
        <v>46</v>
      </c>
      <c r="J83" s="486">
        <v>105</v>
      </c>
      <c r="M83" s="600">
        <v>45648</v>
      </c>
      <c r="N83" s="470">
        <v>1.9E-3</v>
      </c>
      <c r="O83" s="467">
        <v>15529</v>
      </c>
      <c r="P83" s="471">
        <v>0.71</v>
      </c>
      <c r="Q83" s="467">
        <v>540</v>
      </c>
      <c r="R83" s="472">
        <v>3.4799999999999998E-2</v>
      </c>
      <c r="S83" s="467">
        <v>0</v>
      </c>
      <c r="T83" s="472">
        <v>5.5599999999999997E-2</v>
      </c>
      <c r="U83" s="467">
        <v>57</v>
      </c>
      <c r="V83" s="486">
        <v>50</v>
      </c>
    </row>
    <row r="84" spans="1:22">
      <c r="A84" s="600">
        <v>45649</v>
      </c>
      <c r="B84" s="470">
        <v>1.5E-3</v>
      </c>
      <c r="C84" s="467">
        <v>12839</v>
      </c>
      <c r="D84" s="471">
        <v>0.64500000000000002</v>
      </c>
      <c r="E84" s="467">
        <v>595</v>
      </c>
      <c r="F84" s="472">
        <v>4.6300000000000001E-2</v>
      </c>
      <c r="G84" s="467">
        <v>0</v>
      </c>
      <c r="H84" s="472">
        <v>3.1899999999999998E-2</v>
      </c>
      <c r="I84" s="467">
        <v>48</v>
      </c>
      <c r="J84" s="486">
        <v>105</v>
      </c>
      <c r="M84" s="600">
        <v>45649</v>
      </c>
      <c r="N84" s="470">
        <v>2E-3</v>
      </c>
      <c r="O84" s="467">
        <v>15351</v>
      </c>
      <c r="P84" s="471">
        <v>0.70899999999999996</v>
      </c>
      <c r="Q84" s="467">
        <v>528</v>
      </c>
      <c r="R84" s="472">
        <v>3.44E-2</v>
      </c>
      <c r="S84" s="467">
        <v>0</v>
      </c>
      <c r="T84" s="472">
        <v>5.8700000000000002E-2</v>
      </c>
      <c r="U84" s="467">
        <v>64</v>
      </c>
      <c r="V84" s="486">
        <v>50</v>
      </c>
    </row>
    <row r="85" spans="1:22">
      <c r="A85" s="600">
        <v>45650</v>
      </c>
      <c r="B85" s="470">
        <v>1.8E-3</v>
      </c>
      <c r="C85" s="467">
        <v>10196</v>
      </c>
      <c r="D85" s="471">
        <v>0.64600000000000002</v>
      </c>
      <c r="E85" s="467">
        <v>500</v>
      </c>
      <c r="F85" s="472">
        <v>4.9000000000000002E-2</v>
      </c>
      <c r="G85" s="467">
        <v>0</v>
      </c>
      <c r="H85" s="472">
        <v>3.5999999999999997E-2</v>
      </c>
      <c r="I85" s="467">
        <v>51</v>
      </c>
      <c r="J85" s="486">
        <v>148</v>
      </c>
      <c r="M85" s="600">
        <v>45650</v>
      </c>
      <c r="N85" s="470">
        <v>2.0999999999999999E-3</v>
      </c>
      <c r="O85" s="467">
        <v>15148</v>
      </c>
      <c r="P85" s="471">
        <v>0.71</v>
      </c>
      <c r="Q85" s="467">
        <v>507</v>
      </c>
      <c r="R85" s="472">
        <v>3.3500000000000002E-2</v>
      </c>
      <c r="S85" s="467">
        <v>0</v>
      </c>
      <c r="T85" s="472">
        <v>6.3100000000000003E-2</v>
      </c>
      <c r="U85" s="467">
        <v>64</v>
      </c>
      <c r="V85" s="486">
        <v>50</v>
      </c>
    </row>
    <row r="86" spans="1:22">
      <c r="A86" s="600">
        <v>45651</v>
      </c>
      <c r="B86" s="470">
        <v>2.0999999999999999E-3</v>
      </c>
      <c r="C86" s="467">
        <v>7908</v>
      </c>
      <c r="D86" s="471">
        <v>0.64700000000000002</v>
      </c>
      <c r="E86" s="467">
        <v>387</v>
      </c>
      <c r="F86" s="472">
        <v>4.8899999999999999E-2</v>
      </c>
      <c r="G86" s="467">
        <v>0</v>
      </c>
      <c r="H86" s="472">
        <v>4.3900000000000002E-2</v>
      </c>
      <c r="I86" s="467">
        <v>49</v>
      </c>
      <c r="J86" s="486">
        <v>148</v>
      </c>
      <c r="M86" s="600">
        <v>45651</v>
      </c>
      <c r="N86" s="470">
        <v>2.0999999999999999E-3</v>
      </c>
      <c r="O86" s="467">
        <v>15146</v>
      </c>
      <c r="P86" s="471">
        <v>0.71199999999999997</v>
      </c>
      <c r="Q86" s="467">
        <v>508</v>
      </c>
      <c r="R86" s="472">
        <v>3.3500000000000002E-2</v>
      </c>
      <c r="S86" s="467">
        <v>0</v>
      </c>
      <c r="T86" s="472">
        <v>6.3E-2</v>
      </c>
      <c r="U86" s="467">
        <v>62</v>
      </c>
      <c r="V86" s="486">
        <v>36</v>
      </c>
    </row>
    <row r="87" spans="1:22">
      <c r="A87" s="600">
        <v>45652</v>
      </c>
      <c r="B87" s="470">
        <v>2.5000000000000001E-3</v>
      </c>
      <c r="C87" s="467">
        <v>6277</v>
      </c>
      <c r="D87" s="471">
        <v>0.64800000000000002</v>
      </c>
      <c r="E87" s="467">
        <v>298</v>
      </c>
      <c r="F87" s="472">
        <v>4.7500000000000001E-2</v>
      </c>
      <c r="G87" s="467">
        <v>0</v>
      </c>
      <c r="H87" s="472">
        <v>5.3699999999999998E-2</v>
      </c>
      <c r="I87" s="467">
        <v>51</v>
      </c>
      <c r="J87" s="486">
        <v>148</v>
      </c>
      <c r="M87" s="600">
        <v>45652</v>
      </c>
      <c r="N87" s="470">
        <v>2.0999999999999999E-3</v>
      </c>
      <c r="O87" s="467">
        <v>15146</v>
      </c>
      <c r="P87" s="471">
        <v>0.71199999999999997</v>
      </c>
      <c r="Q87" s="467">
        <v>509</v>
      </c>
      <c r="R87" s="472">
        <v>3.3599999999999998E-2</v>
      </c>
      <c r="S87" s="467">
        <v>0</v>
      </c>
      <c r="T87" s="472">
        <v>6.2899999999999998E-2</v>
      </c>
      <c r="U87" s="467">
        <v>66</v>
      </c>
      <c r="V87" s="486">
        <v>36</v>
      </c>
    </row>
    <row r="88" spans="1:22">
      <c r="A88" s="600">
        <v>45653</v>
      </c>
      <c r="B88" s="470">
        <v>2.8E-3</v>
      </c>
      <c r="C88" s="467">
        <v>5380</v>
      </c>
      <c r="D88" s="471">
        <v>0.65100000000000002</v>
      </c>
      <c r="E88" s="467">
        <v>248</v>
      </c>
      <c r="F88" s="472">
        <v>4.6100000000000002E-2</v>
      </c>
      <c r="G88" s="467">
        <v>0</v>
      </c>
      <c r="H88" s="472">
        <v>6.0499999999999998E-2</v>
      </c>
      <c r="I88" s="467">
        <v>52</v>
      </c>
      <c r="J88" s="486">
        <v>148</v>
      </c>
      <c r="M88" s="600">
        <v>45653</v>
      </c>
      <c r="N88" s="470">
        <v>2E-3</v>
      </c>
      <c r="O88" s="467">
        <v>15811</v>
      </c>
      <c r="P88" s="471">
        <v>0.71399999999999997</v>
      </c>
      <c r="Q88" s="467">
        <v>511</v>
      </c>
      <c r="R88" s="472">
        <v>3.2300000000000002E-2</v>
      </c>
      <c r="S88" s="467">
        <v>0</v>
      </c>
      <c r="T88" s="472">
        <v>6.2600000000000003E-2</v>
      </c>
      <c r="U88" s="467">
        <v>68</v>
      </c>
      <c r="V88" s="486">
        <v>36</v>
      </c>
    </row>
    <row r="89" spans="1:22">
      <c r="A89" s="600">
        <v>45654</v>
      </c>
      <c r="B89" s="470">
        <v>2.8999999999999998E-3</v>
      </c>
      <c r="C89" s="467">
        <v>5140</v>
      </c>
      <c r="D89" s="471">
        <v>0.65400000000000003</v>
      </c>
      <c r="E89" s="467">
        <v>239</v>
      </c>
      <c r="F89" s="472">
        <v>4.65E-2</v>
      </c>
      <c r="G89" s="467">
        <v>0</v>
      </c>
      <c r="H89" s="472">
        <v>6.2799999999999995E-2</v>
      </c>
      <c r="I89" s="467">
        <v>53</v>
      </c>
      <c r="J89" s="486">
        <v>148</v>
      </c>
      <c r="M89" s="600">
        <v>45654</v>
      </c>
      <c r="N89" s="470">
        <v>1.8E-3</v>
      </c>
      <c r="O89" s="467">
        <v>16935</v>
      </c>
      <c r="P89" s="471">
        <v>0.71399999999999997</v>
      </c>
      <c r="Q89" s="467">
        <v>537</v>
      </c>
      <c r="R89" s="472">
        <v>3.1699999999999999E-2</v>
      </c>
      <c r="S89" s="467">
        <v>0</v>
      </c>
      <c r="T89" s="472">
        <v>5.7700000000000001E-2</v>
      </c>
      <c r="U89" s="467">
        <v>73</v>
      </c>
      <c r="V89" s="486">
        <v>36</v>
      </c>
    </row>
    <row r="90" spans="1:22">
      <c r="A90" s="600">
        <v>45655</v>
      </c>
      <c r="B90" s="470">
        <v>2.5999999999999999E-3</v>
      </c>
      <c r="C90" s="467">
        <v>5352</v>
      </c>
      <c r="D90" s="471">
        <v>0.65800000000000003</v>
      </c>
      <c r="E90" s="467">
        <v>246</v>
      </c>
      <c r="F90" s="472">
        <v>4.5999999999999999E-2</v>
      </c>
      <c r="G90" s="467">
        <v>0</v>
      </c>
      <c r="H90" s="472">
        <v>5.6899999999999999E-2</v>
      </c>
      <c r="I90" s="467">
        <v>62</v>
      </c>
      <c r="J90" s="486">
        <v>166</v>
      </c>
      <c r="M90" s="600">
        <v>45655</v>
      </c>
      <c r="N90" s="470">
        <v>1.6999999999999999E-3</v>
      </c>
      <c r="O90" s="467">
        <v>18112</v>
      </c>
      <c r="P90" s="471">
        <v>0.71399999999999997</v>
      </c>
      <c r="Q90" s="467">
        <v>572</v>
      </c>
      <c r="R90" s="472">
        <v>3.1600000000000003E-2</v>
      </c>
      <c r="S90" s="467">
        <v>0</v>
      </c>
      <c r="T90" s="472">
        <v>5.2400000000000002E-2</v>
      </c>
      <c r="U90" s="467">
        <v>71</v>
      </c>
      <c r="V90" s="486">
        <v>36</v>
      </c>
    </row>
    <row r="91" spans="1:22">
      <c r="A91" s="600">
        <v>45656</v>
      </c>
      <c r="B91" s="470">
        <v>2.3E-3</v>
      </c>
      <c r="C91" s="467">
        <v>5602</v>
      </c>
      <c r="D91" s="471">
        <v>0.65800000000000003</v>
      </c>
      <c r="E91" s="467">
        <v>255</v>
      </c>
      <c r="F91" s="472">
        <v>4.5499999999999999E-2</v>
      </c>
      <c r="G91" s="467">
        <v>0</v>
      </c>
      <c r="H91" s="472">
        <v>5.0999999999999997E-2</v>
      </c>
      <c r="I91" s="467">
        <v>66</v>
      </c>
      <c r="J91" s="486">
        <v>166</v>
      </c>
      <c r="M91" s="600">
        <v>45656</v>
      </c>
      <c r="N91" s="470">
        <v>1.4E-3</v>
      </c>
      <c r="O91" s="467">
        <v>20273</v>
      </c>
      <c r="P91" s="471">
        <v>0.71399999999999997</v>
      </c>
      <c r="Q91" s="467">
        <v>613</v>
      </c>
      <c r="R91" s="472">
        <v>3.0200000000000001E-2</v>
      </c>
      <c r="S91" s="467">
        <v>0</v>
      </c>
      <c r="T91" s="472">
        <v>4.7300000000000002E-2</v>
      </c>
      <c r="U91" s="467">
        <v>73</v>
      </c>
      <c r="V91" s="486">
        <v>36</v>
      </c>
    </row>
    <row r="92" spans="1:22">
      <c r="A92" s="600">
        <v>45657</v>
      </c>
      <c r="B92" s="470">
        <v>2E-3</v>
      </c>
      <c r="C92" s="467">
        <v>5865</v>
      </c>
      <c r="D92" s="471">
        <v>0.66200000000000003</v>
      </c>
      <c r="E92" s="467">
        <v>261</v>
      </c>
      <c r="F92" s="472">
        <v>4.4499999999999998E-2</v>
      </c>
      <c r="G92" s="467">
        <v>0</v>
      </c>
      <c r="H92" s="472">
        <v>4.5999999999999999E-2</v>
      </c>
      <c r="I92" s="467">
        <v>69</v>
      </c>
      <c r="J92" s="486">
        <v>166</v>
      </c>
      <c r="M92" s="600">
        <v>45657</v>
      </c>
      <c r="N92" s="470">
        <v>1.2999999999999999E-3</v>
      </c>
      <c r="O92" s="467">
        <v>21782</v>
      </c>
      <c r="P92" s="471">
        <v>0.71599999999999997</v>
      </c>
      <c r="Q92" s="467">
        <v>686</v>
      </c>
      <c r="R92" s="472">
        <v>3.15E-2</v>
      </c>
      <c r="S92" s="467">
        <v>0</v>
      </c>
      <c r="T92" s="472">
        <v>4.0800000000000003E-2</v>
      </c>
      <c r="U92" s="467">
        <v>76</v>
      </c>
      <c r="V92" s="486">
        <v>36</v>
      </c>
    </row>
    <row r="93" spans="1:22">
      <c r="A93" s="600">
        <v>45658</v>
      </c>
      <c r="B93" s="470">
        <v>1.8E-3</v>
      </c>
      <c r="C93" s="467">
        <v>6080</v>
      </c>
      <c r="D93" s="471">
        <v>0.66600000000000004</v>
      </c>
      <c r="E93" s="467">
        <v>264</v>
      </c>
      <c r="F93" s="472">
        <v>4.3400000000000001E-2</v>
      </c>
      <c r="G93" s="467">
        <v>0</v>
      </c>
      <c r="H93" s="472">
        <v>4.1700000000000001E-2</v>
      </c>
      <c r="I93" s="467">
        <v>68</v>
      </c>
      <c r="J93" s="486">
        <v>166</v>
      </c>
      <c r="M93" s="600">
        <v>45658</v>
      </c>
      <c r="N93" s="470">
        <v>1.1999999999999999E-3</v>
      </c>
      <c r="O93" s="467">
        <v>22508</v>
      </c>
      <c r="P93" s="471">
        <v>0.71699999999999997</v>
      </c>
      <c r="Q93" s="467">
        <v>718</v>
      </c>
      <c r="R93" s="472">
        <v>3.1899999999999998E-2</v>
      </c>
      <c r="S93" s="467">
        <v>0</v>
      </c>
      <c r="T93" s="472">
        <v>3.7600000000000001E-2</v>
      </c>
      <c r="U93" s="467">
        <v>82</v>
      </c>
      <c r="V93" s="486">
        <v>43</v>
      </c>
    </row>
    <row r="94" spans="1:22">
      <c r="A94" s="600">
        <v>45659</v>
      </c>
      <c r="B94" s="470">
        <v>1.2999999999999999E-3</v>
      </c>
      <c r="C94" s="467">
        <v>7532</v>
      </c>
      <c r="D94" s="471">
        <v>0.67300000000000004</v>
      </c>
      <c r="E94" s="467">
        <v>264</v>
      </c>
      <c r="F94" s="472">
        <v>3.5099999999999999E-2</v>
      </c>
      <c r="G94" s="467">
        <v>0</v>
      </c>
      <c r="H94" s="472">
        <v>3.7900000000000003E-2</v>
      </c>
      <c r="I94" s="467">
        <v>79</v>
      </c>
      <c r="J94" s="486">
        <v>166</v>
      </c>
      <c r="M94" s="600">
        <v>45659</v>
      </c>
      <c r="N94" s="470">
        <v>1.1999999999999999E-3</v>
      </c>
      <c r="O94" s="467">
        <v>21673</v>
      </c>
      <c r="P94" s="471">
        <v>0.71799999999999997</v>
      </c>
      <c r="Q94" s="467">
        <v>729</v>
      </c>
      <c r="R94" s="472">
        <v>3.3599999999999998E-2</v>
      </c>
      <c r="S94" s="467">
        <v>0</v>
      </c>
      <c r="T94" s="472">
        <v>3.5700000000000003E-2</v>
      </c>
      <c r="U94" s="467">
        <v>82</v>
      </c>
      <c r="V94" s="486">
        <v>43</v>
      </c>
    </row>
    <row r="95" spans="1:22">
      <c r="A95" s="600">
        <v>45660</v>
      </c>
      <c r="B95" s="470">
        <v>1.1000000000000001E-3</v>
      </c>
      <c r="C95" s="467">
        <v>9516</v>
      </c>
      <c r="D95" s="471">
        <v>0.67400000000000004</v>
      </c>
      <c r="E95" s="467">
        <v>296</v>
      </c>
      <c r="F95" s="472">
        <v>3.1099999999999999E-2</v>
      </c>
      <c r="G95" s="467">
        <v>0</v>
      </c>
      <c r="H95" s="472">
        <v>3.3799999999999997E-2</v>
      </c>
      <c r="I95" s="467">
        <v>81</v>
      </c>
      <c r="J95" s="486">
        <v>92</v>
      </c>
      <c r="M95" s="600">
        <v>45660</v>
      </c>
      <c r="N95" s="470">
        <v>1.1999999999999999E-3</v>
      </c>
      <c r="O95" s="467">
        <v>21088</v>
      </c>
      <c r="P95" s="471">
        <v>0.71699999999999997</v>
      </c>
      <c r="Q95" s="467">
        <v>690</v>
      </c>
      <c r="R95" s="472">
        <v>3.27E-2</v>
      </c>
      <c r="S95" s="467">
        <v>0</v>
      </c>
      <c r="T95" s="472">
        <v>3.7699999999999997E-2</v>
      </c>
      <c r="U95" s="467">
        <v>83</v>
      </c>
      <c r="V95" s="486">
        <v>39</v>
      </c>
    </row>
    <row r="96" spans="1:22">
      <c r="A96" s="600">
        <v>45661</v>
      </c>
      <c r="B96" s="470">
        <v>1E-3</v>
      </c>
      <c r="C96" s="467">
        <v>10145</v>
      </c>
      <c r="D96" s="471">
        <v>0.67800000000000005</v>
      </c>
      <c r="E96" s="467">
        <v>328</v>
      </c>
      <c r="F96" s="472">
        <v>3.2300000000000002E-2</v>
      </c>
      <c r="G96" s="467">
        <v>0</v>
      </c>
      <c r="H96" s="472">
        <v>3.0499999999999999E-2</v>
      </c>
      <c r="I96" s="467">
        <v>83</v>
      </c>
      <c r="J96" s="486">
        <v>92</v>
      </c>
      <c r="M96" s="600">
        <v>45661</v>
      </c>
      <c r="N96" s="470">
        <v>1.2999999999999999E-3</v>
      </c>
      <c r="O96" s="467">
        <v>20730</v>
      </c>
      <c r="P96" s="471">
        <v>0.71799999999999997</v>
      </c>
      <c r="Q96" s="467">
        <v>670</v>
      </c>
      <c r="R96" s="472">
        <v>3.2300000000000002E-2</v>
      </c>
      <c r="S96" s="467">
        <v>0</v>
      </c>
      <c r="T96" s="472">
        <v>4.0300000000000002E-2</v>
      </c>
      <c r="U96" s="467">
        <v>83</v>
      </c>
      <c r="V96" s="486">
        <v>39</v>
      </c>
    </row>
    <row r="97" spans="1:22">
      <c r="A97" s="600">
        <v>45662</v>
      </c>
      <c r="B97" s="470">
        <v>1E-3</v>
      </c>
      <c r="C97" s="467">
        <v>10188</v>
      </c>
      <c r="D97" s="471">
        <v>0.67800000000000005</v>
      </c>
      <c r="E97" s="467">
        <v>329</v>
      </c>
      <c r="F97" s="472">
        <v>3.2300000000000002E-2</v>
      </c>
      <c r="G97" s="467">
        <v>0</v>
      </c>
      <c r="H97" s="472">
        <v>3.04E-2</v>
      </c>
      <c r="I97" s="467">
        <v>86</v>
      </c>
      <c r="J97" s="486">
        <v>92</v>
      </c>
      <c r="M97" s="600">
        <v>45662</v>
      </c>
      <c r="N97" s="470">
        <v>1.4E-3</v>
      </c>
      <c r="O97" s="467">
        <v>20434</v>
      </c>
      <c r="P97" s="471">
        <v>0.71699999999999997</v>
      </c>
      <c r="Q97" s="467">
        <v>648</v>
      </c>
      <c r="R97" s="472">
        <v>3.1699999999999999E-2</v>
      </c>
      <c r="S97" s="467">
        <v>0</v>
      </c>
      <c r="T97" s="472">
        <v>4.3200000000000002E-2</v>
      </c>
      <c r="U97" s="467">
        <v>80</v>
      </c>
      <c r="V97" s="486">
        <v>39</v>
      </c>
    </row>
    <row r="98" spans="1:22">
      <c r="A98" s="600">
        <v>45663</v>
      </c>
      <c r="B98" s="470">
        <v>1E-3</v>
      </c>
      <c r="C98" s="467">
        <v>10126</v>
      </c>
      <c r="D98" s="471">
        <v>0.68</v>
      </c>
      <c r="E98" s="467">
        <v>330</v>
      </c>
      <c r="F98" s="472">
        <v>3.2599999999999997E-2</v>
      </c>
      <c r="G98" s="467">
        <v>0</v>
      </c>
      <c r="H98" s="472">
        <v>3.0300000000000001E-2</v>
      </c>
      <c r="I98" s="467">
        <v>85</v>
      </c>
      <c r="J98" s="486">
        <v>92</v>
      </c>
      <c r="M98" s="600">
        <v>45663</v>
      </c>
      <c r="N98" s="470">
        <v>1.4E-3</v>
      </c>
      <c r="O98" s="467">
        <v>20718</v>
      </c>
      <c r="P98" s="471">
        <v>0.71699999999999997</v>
      </c>
      <c r="Q98" s="467">
        <v>641</v>
      </c>
      <c r="R98" s="472">
        <v>3.09E-2</v>
      </c>
      <c r="S98" s="467">
        <v>0</v>
      </c>
      <c r="T98" s="472">
        <v>4.5199999999999997E-2</v>
      </c>
      <c r="U98" s="467">
        <v>85</v>
      </c>
      <c r="V98" s="486">
        <v>32</v>
      </c>
    </row>
    <row r="99" spans="1:22">
      <c r="A99" s="600">
        <v>45664</v>
      </c>
      <c r="B99" s="470">
        <v>8.9999999999999998E-4</v>
      </c>
      <c r="C99" s="467">
        <v>10894</v>
      </c>
      <c r="D99" s="471">
        <v>0.68</v>
      </c>
      <c r="E99" s="467">
        <v>331</v>
      </c>
      <c r="F99" s="472">
        <v>3.04E-2</v>
      </c>
      <c r="G99" s="467">
        <v>0</v>
      </c>
      <c r="H99" s="472">
        <v>3.0200000000000001E-2</v>
      </c>
      <c r="I99" s="467">
        <v>90</v>
      </c>
      <c r="J99" s="486">
        <v>92</v>
      </c>
      <c r="M99" s="600">
        <v>45664</v>
      </c>
      <c r="N99" s="470">
        <v>1.4E-3</v>
      </c>
      <c r="O99" s="467">
        <v>21505</v>
      </c>
      <c r="P99" s="471">
        <v>0.71899999999999997</v>
      </c>
      <c r="Q99" s="467">
        <v>651</v>
      </c>
      <c r="R99" s="472">
        <v>3.0300000000000001E-2</v>
      </c>
      <c r="S99" s="467">
        <v>0</v>
      </c>
      <c r="T99" s="472">
        <v>4.6100000000000002E-2</v>
      </c>
      <c r="U99" s="467">
        <v>85</v>
      </c>
      <c r="V99" s="486">
        <v>32</v>
      </c>
    </row>
    <row r="100" spans="1:22">
      <c r="A100" s="600">
        <v>45665</v>
      </c>
      <c r="B100" s="470">
        <v>6.9999999999999999E-4</v>
      </c>
      <c r="C100" s="467">
        <v>12817</v>
      </c>
      <c r="D100" s="471">
        <v>0.68100000000000005</v>
      </c>
      <c r="E100" s="467">
        <v>390</v>
      </c>
      <c r="F100" s="472">
        <v>3.04E-2</v>
      </c>
      <c r="G100" s="467">
        <v>0</v>
      </c>
      <c r="H100" s="472">
        <v>2.3099999999999999E-2</v>
      </c>
      <c r="I100" s="467">
        <v>93</v>
      </c>
      <c r="J100" s="486">
        <v>18</v>
      </c>
      <c r="M100" s="600">
        <v>45665</v>
      </c>
      <c r="N100" s="470">
        <v>1.2999999999999999E-3</v>
      </c>
      <c r="O100" s="467">
        <v>22308</v>
      </c>
      <c r="P100" s="471">
        <v>0.71799999999999997</v>
      </c>
      <c r="Q100" s="467">
        <v>668</v>
      </c>
      <c r="R100" s="472">
        <v>2.9899999999999999E-2</v>
      </c>
      <c r="S100" s="467">
        <v>0</v>
      </c>
      <c r="T100" s="472">
        <v>4.4900000000000002E-2</v>
      </c>
      <c r="U100" s="467">
        <v>82</v>
      </c>
      <c r="V100" s="486">
        <v>31</v>
      </c>
    </row>
    <row r="101" spans="1:22">
      <c r="A101" s="600">
        <v>45666</v>
      </c>
      <c r="B101" s="470">
        <v>5.0000000000000001E-4</v>
      </c>
      <c r="C101" s="467">
        <v>15176</v>
      </c>
      <c r="D101" s="471">
        <v>0.68200000000000005</v>
      </c>
      <c r="E101" s="467">
        <v>477</v>
      </c>
      <c r="F101" s="472">
        <v>3.1399999999999997E-2</v>
      </c>
      <c r="G101" s="467">
        <v>0</v>
      </c>
      <c r="H101" s="472">
        <v>1.6799999999999999E-2</v>
      </c>
      <c r="I101" s="467">
        <v>93</v>
      </c>
      <c r="J101" s="486">
        <v>18</v>
      </c>
      <c r="M101" s="600">
        <v>45666</v>
      </c>
      <c r="N101" s="470">
        <v>1.2999999999999999E-3</v>
      </c>
      <c r="O101" s="467">
        <v>22377</v>
      </c>
      <c r="P101" s="471">
        <v>0.72099999999999997</v>
      </c>
      <c r="Q101" s="467">
        <v>683</v>
      </c>
      <c r="R101" s="472">
        <v>3.0499999999999999E-2</v>
      </c>
      <c r="S101" s="467">
        <v>0</v>
      </c>
      <c r="T101" s="472">
        <v>4.3900000000000002E-2</v>
      </c>
      <c r="U101" s="467">
        <v>82</v>
      </c>
      <c r="V101" s="486">
        <v>31</v>
      </c>
    </row>
    <row r="102" spans="1:22">
      <c r="A102" s="600">
        <v>45667</v>
      </c>
      <c r="B102" s="470">
        <v>4.0000000000000002E-4</v>
      </c>
      <c r="C102" s="467">
        <v>17678</v>
      </c>
      <c r="D102" s="471">
        <v>0.68100000000000005</v>
      </c>
      <c r="E102" s="467">
        <v>581</v>
      </c>
      <c r="F102" s="472">
        <v>3.2899999999999999E-2</v>
      </c>
      <c r="G102" s="467">
        <v>0</v>
      </c>
      <c r="H102" s="472">
        <v>1.2E-2</v>
      </c>
      <c r="I102" s="467">
        <v>96</v>
      </c>
      <c r="J102" s="486">
        <v>18</v>
      </c>
      <c r="M102" s="600">
        <v>45667</v>
      </c>
      <c r="N102" s="470">
        <v>1.4E-3</v>
      </c>
      <c r="O102" s="467">
        <v>22199</v>
      </c>
      <c r="P102" s="471">
        <v>0.72099999999999997</v>
      </c>
      <c r="Q102" s="467">
        <v>671</v>
      </c>
      <c r="R102" s="472">
        <v>3.0200000000000001E-2</v>
      </c>
      <c r="S102" s="467">
        <v>0</v>
      </c>
      <c r="T102" s="472">
        <v>4.4699999999999997E-2</v>
      </c>
      <c r="U102" s="467">
        <v>82</v>
      </c>
      <c r="V102" s="486">
        <v>50</v>
      </c>
    </row>
    <row r="103" spans="1:22">
      <c r="A103" s="600">
        <v>45668</v>
      </c>
      <c r="B103" s="470">
        <v>2.9999999999999997E-4</v>
      </c>
      <c r="C103" s="467">
        <v>19897</v>
      </c>
      <c r="D103" s="471">
        <v>0.68100000000000005</v>
      </c>
      <c r="E103" s="467">
        <v>695</v>
      </c>
      <c r="F103" s="472">
        <v>3.49E-2</v>
      </c>
      <c r="G103" s="467">
        <v>0</v>
      </c>
      <c r="H103" s="472">
        <v>8.6E-3</v>
      </c>
      <c r="I103" s="467">
        <v>98</v>
      </c>
      <c r="J103" s="486">
        <v>18</v>
      </c>
      <c r="M103" s="600">
        <v>45668</v>
      </c>
      <c r="N103" s="470">
        <v>1.4E-3</v>
      </c>
      <c r="O103" s="467">
        <v>22006</v>
      </c>
      <c r="P103" s="471">
        <v>0.72</v>
      </c>
      <c r="Q103" s="467">
        <v>665</v>
      </c>
      <c r="R103" s="472">
        <v>3.0200000000000001E-2</v>
      </c>
      <c r="S103" s="467">
        <v>0</v>
      </c>
      <c r="T103" s="472">
        <v>4.5100000000000001E-2</v>
      </c>
      <c r="U103" s="467">
        <v>81</v>
      </c>
      <c r="V103" s="486">
        <v>50</v>
      </c>
    </row>
    <row r="104" spans="1:22">
      <c r="A104" s="600">
        <v>45669</v>
      </c>
      <c r="B104" s="470">
        <v>2.0000000000000001E-4</v>
      </c>
      <c r="C104" s="467">
        <v>21538</v>
      </c>
      <c r="D104" s="471">
        <v>0.67900000000000005</v>
      </c>
      <c r="E104" s="467">
        <v>804</v>
      </c>
      <c r="F104" s="472">
        <v>3.73E-2</v>
      </c>
      <c r="G104" s="467">
        <v>0</v>
      </c>
      <c r="H104" s="472">
        <v>6.1999999999999998E-3</v>
      </c>
      <c r="I104" s="467">
        <v>98</v>
      </c>
      <c r="J104" s="486">
        <v>18</v>
      </c>
      <c r="M104" s="600">
        <v>45669</v>
      </c>
      <c r="N104" s="470">
        <v>1.4E-3</v>
      </c>
      <c r="O104" s="467">
        <v>21750</v>
      </c>
      <c r="P104" s="471">
        <v>0.72199999999999998</v>
      </c>
      <c r="Q104" s="467">
        <v>660</v>
      </c>
      <c r="R104" s="472">
        <v>3.0300000000000001E-2</v>
      </c>
      <c r="S104" s="467">
        <v>0</v>
      </c>
      <c r="T104" s="472">
        <v>4.7E-2</v>
      </c>
      <c r="U104" s="467">
        <v>80</v>
      </c>
      <c r="V104" s="486">
        <v>50</v>
      </c>
    </row>
    <row r="105" spans="1:22">
      <c r="A105" s="600">
        <v>45670</v>
      </c>
      <c r="B105" s="470">
        <v>2.0000000000000001E-4</v>
      </c>
      <c r="C105" s="467">
        <v>22691</v>
      </c>
      <c r="D105" s="471">
        <v>0.67800000000000005</v>
      </c>
      <c r="E105" s="467">
        <v>862</v>
      </c>
      <c r="F105" s="472">
        <v>3.7999999999999999E-2</v>
      </c>
      <c r="G105" s="467">
        <v>0</v>
      </c>
      <c r="H105" s="472">
        <v>4.5999999999999999E-3</v>
      </c>
      <c r="I105" s="467">
        <v>100</v>
      </c>
      <c r="J105" s="486">
        <v>18</v>
      </c>
      <c r="M105" s="600">
        <v>45670</v>
      </c>
      <c r="N105" s="470">
        <v>1.4E-3</v>
      </c>
      <c r="O105" s="467">
        <v>21485</v>
      </c>
      <c r="P105" s="471">
        <v>0.72</v>
      </c>
      <c r="Q105" s="467">
        <v>651</v>
      </c>
      <c r="R105" s="472">
        <v>3.0300000000000001E-2</v>
      </c>
      <c r="S105" s="467">
        <v>0</v>
      </c>
      <c r="T105" s="472">
        <v>4.7600000000000003E-2</v>
      </c>
      <c r="U105" s="467">
        <v>81</v>
      </c>
      <c r="V105" s="486">
        <v>50</v>
      </c>
    </row>
    <row r="106" spans="1:22">
      <c r="A106" s="600">
        <v>45671</v>
      </c>
      <c r="B106" s="470">
        <v>1E-4</v>
      </c>
      <c r="C106" s="467">
        <v>23689</v>
      </c>
      <c r="D106" s="471">
        <v>0.67600000000000005</v>
      </c>
      <c r="E106" s="467">
        <v>904</v>
      </c>
      <c r="F106" s="472">
        <v>3.8199999999999998E-2</v>
      </c>
      <c r="G106" s="467">
        <v>0</v>
      </c>
      <c r="H106" s="472">
        <v>3.3E-3</v>
      </c>
      <c r="I106" s="467">
        <v>103</v>
      </c>
      <c r="J106" s="486">
        <v>18</v>
      </c>
      <c r="M106" s="600">
        <v>45671</v>
      </c>
      <c r="N106" s="470">
        <v>1.5E-3</v>
      </c>
      <c r="O106" s="467">
        <v>21203</v>
      </c>
      <c r="P106" s="471">
        <v>0.70499999999999996</v>
      </c>
      <c r="Q106" s="467">
        <v>639</v>
      </c>
      <c r="R106" s="472">
        <v>3.0099999999999998E-2</v>
      </c>
      <c r="S106" s="467">
        <v>0</v>
      </c>
      <c r="T106" s="472">
        <v>4.8500000000000001E-2</v>
      </c>
      <c r="U106" s="467">
        <v>80</v>
      </c>
      <c r="V106" s="486">
        <v>50</v>
      </c>
    </row>
    <row r="107" spans="1:22">
      <c r="A107" s="600">
        <v>45672</v>
      </c>
      <c r="B107" s="470">
        <v>1E-4</v>
      </c>
      <c r="C107" s="467">
        <v>24236</v>
      </c>
      <c r="D107" s="471">
        <v>0.67200000000000004</v>
      </c>
      <c r="E107" s="467">
        <v>929</v>
      </c>
      <c r="F107" s="472">
        <v>3.8300000000000001E-2</v>
      </c>
      <c r="G107" s="467">
        <v>0</v>
      </c>
      <c r="H107" s="472">
        <v>2.2000000000000001E-3</v>
      </c>
      <c r="I107" s="467">
        <v>101</v>
      </c>
      <c r="J107" s="486">
        <v>18</v>
      </c>
      <c r="M107" s="600">
        <v>45672</v>
      </c>
      <c r="N107" s="470">
        <v>1.5E-3</v>
      </c>
      <c r="O107" s="467">
        <v>21285</v>
      </c>
      <c r="P107" s="471">
        <v>0.68500000000000005</v>
      </c>
      <c r="Q107" s="467">
        <v>627</v>
      </c>
      <c r="R107" s="472">
        <v>2.9499999999999998E-2</v>
      </c>
      <c r="S107" s="467">
        <v>0</v>
      </c>
      <c r="T107" s="472">
        <v>4.9399999999999999E-2</v>
      </c>
      <c r="U107" s="467">
        <v>77</v>
      </c>
      <c r="V107" s="486">
        <v>50</v>
      </c>
    </row>
    <row r="108" spans="1:22">
      <c r="A108" s="600">
        <v>45673</v>
      </c>
      <c r="B108" s="470">
        <v>1E-4</v>
      </c>
      <c r="C108" s="467">
        <v>24118</v>
      </c>
      <c r="D108" s="471">
        <v>0.66900000000000004</v>
      </c>
      <c r="E108" s="467">
        <v>939</v>
      </c>
      <c r="F108" s="472">
        <v>3.8899999999999997E-2</v>
      </c>
      <c r="G108" s="467">
        <v>0</v>
      </c>
      <c r="H108" s="472">
        <v>2.0999999999999999E-3</v>
      </c>
      <c r="I108" s="467">
        <v>96</v>
      </c>
      <c r="J108" s="486">
        <v>18</v>
      </c>
      <c r="M108" s="600">
        <v>45673</v>
      </c>
      <c r="N108" s="470">
        <v>1.4E-3</v>
      </c>
      <c r="O108" s="467">
        <v>21754</v>
      </c>
      <c r="P108" s="471">
        <v>0.68</v>
      </c>
      <c r="Q108" s="467">
        <v>637</v>
      </c>
      <c r="R108" s="472">
        <v>2.93E-2</v>
      </c>
      <c r="S108" s="467">
        <v>0</v>
      </c>
      <c r="T108" s="472">
        <v>4.7100000000000003E-2</v>
      </c>
      <c r="U108" s="467">
        <v>82</v>
      </c>
      <c r="V108" s="486">
        <v>50</v>
      </c>
    </row>
    <row r="109" spans="1:22">
      <c r="A109" s="600">
        <v>45674</v>
      </c>
      <c r="B109" s="470">
        <v>1E-4</v>
      </c>
      <c r="C109" s="467">
        <v>23866</v>
      </c>
      <c r="D109" s="471">
        <v>0.66900000000000004</v>
      </c>
      <c r="E109" s="467">
        <v>934</v>
      </c>
      <c r="F109" s="472">
        <v>3.9100000000000003E-2</v>
      </c>
      <c r="G109" s="467">
        <v>0</v>
      </c>
      <c r="H109" s="472">
        <v>3.2000000000000002E-3</v>
      </c>
      <c r="I109" s="467">
        <v>100</v>
      </c>
      <c r="J109" s="486">
        <v>24</v>
      </c>
      <c r="M109" s="600">
        <v>45674</v>
      </c>
      <c r="N109" s="470">
        <v>1.2999999999999999E-3</v>
      </c>
      <c r="O109" s="467">
        <v>22401</v>
      </c>
      <c r="P109" s="471">
        <v>0.67800000000000005</v>
      </c>
      <c r="Q109" s="467">
        <v>656</v>
      </c>
      <c r="R109" s="472">
        <v>2.93E-2</v>
      </c>
      <c r="S109" s="467">
        <v>0</v>
      </c>
      <c r="T109" s="472">
        <v>4.4200000000000003E-2</v>
      </c>
      <c r="U109" s="467">
        <v>86</v>
      </c>
      <c r="V109" s="486">
        <v>51</v>
      </c>
    </row>
    <row r="110" spans="1:22">
      <c r="A110" s="600">
        <v>45675</v>
      </c>
      <c r="B110" s="470">
        <v>2.0000000000000001E-4</v>
      </c>
      <c r="C110" s="467">
        <v>23506</v>
      </c>
      <c r="D110" s="471">
        <v>0.67100000000000004</v>
      </c>
      <c r="E110" s="467">
        <v>931</v>
      </c>
      <c r="F110" s="472">
        <v>3.9600000000000003E-2</v>
      </c>
      <c r="G110" s="467">
        <v>0</v>
      </c>
      <c r="H110" s="472">
        <v>4.3E-3</v>
      </c>
      <c r="I110" s="467">
        <v>100</v>
      </c>
      <c r="J110" s="486">
        <v>24</v>
      </c>
      <c r="M110" s="600">
        <v>45675</v>
      </c>
      <c r="N110" s="470">
        <v>1.1999999999999999E-3</v>
      </c>
      <c r="O110" s="467">
        <v>23078</v>
      </c>
      <c r="P110" s="471">
        <v>0.67800000000000005</v>
      </c>
      <c r="Q110" s="467">
        <v>685</v>
      </c>
      <c r="R110" s="472">
        <v>2.9700000000000001E-2</v>
      </c>
      <c r="S110" s="467">
        <v>0</v>
      </c>
      <c r="T110" s="472">
        <v>4.0899999999999999E-2</v>
      </c>
      <c r="U110" s="467">
        <v>83</v>
      </c>
      <c r="V110" s="486">
        <v>51</v>
      </c>
    </row>
    <row r="111" spans="1:22">
      <c r="A111" s="600">
        <v>45676</v>
      </c>
      <c r="B111" s="470">
        <v>2.0000000000000001E-4</v>
      </c>
      <c r="C111" s="467">
        <v>23066</v>
      </c>
      <c r="D111" s="471">
        <v>0.67200000000000004</v>
      </c>
      <c r="E111" s="467">
        <v>925</v>
      </c>
      <c r="F111" s="472">
        <v>4.0099999999999997E-2</v>
      </c>
      <c r="G111" s="467">
        <v>0</v>
      </c>
      <c r="H111" s="472">
        <v>5.4000000000000003E-3</v>
      </c>
      <c r="I111" s="467">
        <v>103</v>
      </c>
      <c r="J111" s="486">
        <v>24</v>
      </c>
      <c r="M111" s="600">
        <v>45676</v>
      </c>
      <c r="N111" s="470">
        <v>1.1000000000000001E-3</v>
      </c>
      <c r="O111" s="467">
        <v>24001</v>
      </c>
      <c r="P111" s="471">
        <v>0.67800000000000005</v>
      </c>
      <c r="Q111" s="467">
        <v>715</v>
      </c>
      <c r="R111" s="472">
        <v>2.98E-2</v>
      </c>
      <c r="S111" s="467">
        <v>0</v>
      </c>
      <c r="T111" s="472">
        <v>3.78E-2</v>
      </c>
      <c r="U111" s="467">
        <v>81</v>
      </c>
      <c r="V111" s="486">
        <v>51</v>
      </c>
    </row>
    <row r="112" spans="1:22">
      <c r="A112" s="600">
        <v>45677</v>
      </c>
      <c r="B112" s="470">
        <v>2.9999999999999997E-4</v>
      </c>
      <c r="C112" s="467">
        <v>22746</v>
      </c>
      <c r="D112" s="471">
        <v>0.67100000000000004</v>
      </c>
      <c r="E112" s="467">
        <v>919</v>
      </c>
      <c r="F112" s="472">
        <v>4.0399999999999998E-2</v>
      </c>
      <c r="G112" s="467">
        <v>0</v>
      </c>
      <c r="H112" s="472">
        <v>6.4999999999999997E-3</v>
      </c>
      <c r="I112" s="467">
        <v>107</v>
      </c>
      <c r="J112" s="486">
        <v>24</v>
      </c>
      <c r="M112" s="600">
        <v>45677</v>
      </c>
      <c r="N112" s="470">
        <v>1.1000000000000001E-3</v>
      </c>
      <c r="O112" s="467">
        <v>24619</v>
      </c>
      <c r="P112" s="471">
        <v>0.67900000000000005</v>
      </c>
      <c r="Q112" s="467">
        <v>745</v>
      </c>
      <c r="R112" s="472">
        <v>3.0300000000000001E-2</v>
      </c>
      <c r="S112" s="467">
        <v>0</v>
      </c>
      <c r="T112" s="472">
        <v>3.49E-2</v>
      </c>
      <c r="U112" s="467">
        <v>82</v>
      </c>
      <c r="V112" s="486">
        <v>51</v>
      </c>
    </row>
    <row r="113" spans="1:22">
      <c r="A113" s="600">
        <v>45678</v>
      </c>
      <c r="B113" s="470">
        <v>2.9999999999999997E-4</v>
      </c>
      <c r="C113" s="467">
        <v>22772</v>
      </c>
      <c r="D113" s="471">
        <v>0.67100000000000004</v>
      </c>
      <c r="E113" s="467">
        <v>924</v>
      </c>
      <c r="F113" s="472">
        <v>4.0599999999999997E-2</v>
      </c>
      <c r="G113" s="467">
        <v>0</v>
      </c>
      <c r="H113" s="472">
        <v>7.6E-3</v>
      </c>
      <c r="I113" s="467">
        <v>108</v>
      </c>
      <c r="J113" s="486">
        <v>24</v>
      </c>
      <c r="M113" s="600">
        <v>45678</v>
      </c>
      <c r="N113" s="470">
        <v>1E-3</v>
      </c>
      <c r="O113" s="467">
        <v>24293</v>
      </c>
      <c r="P113" s="471">
        <v>0.68</v>
      </c>
      <c r="Q113" s="467">
        <v>751</v>
      </c>
      <c r="R113" s="472">
        <v>3.09E-2</v>
      </c>
      <c r="S113" s="467">
        <v>0</v>
      </c>
      <c r="T113" s="472">
        <v>3.3300000000000003E-2</v>
      </c>
      <c r="U113" s="467">
        <v>84</v>
      </c>
      <c r="V113" s="486">
        <v>51</v>
      </c>
    </row>
    <row r="114" spans="1:22">
      <c r="A114" s="600">
        <v>45679</v>
      </c>
      <c r="B114" s="470">
        <v>2.9999999999999997E-4</v>
      </c>
      <c r="C114" s="467">
        <v>23025</v>
      </c>
      <c r="D114" s="471">
        <v>0.67100000000000004</v>
      </c>
      <c r="E114" s="467">
        <v>928</v>
      </c>
      <c r="F114" s="472">
        <v>4.0300000000000002E-2</v>
      </c>
      <c r="G114" s="467">
        <v>0</v>
      </c>
      <c r="H114" s="472">
        <v>8.6E-3</v>
      </c>
      <c r="I114" s="467">
        <v>113</v>
      </c>
      <c r="J114" s="486">
        <v>24</v>
      </c>
      <c r="M114" s="600">
        <v>45679</v>
      </c>
      <c r="N114" s="470">
        <v>1E-3</v>
      </c>
      <c r="O114" s="467">
        <v>23657</v>
      </c>
      <c r="P114" s="471">
        <v>0.68</v>
      </c>
      <c r="Q114" s="467">
        <v>727</v>
      </c>
      <c r="R114" s="472">
        <v>3.0700000000000002E-2</v>
      </c>
      <c r="S114" s="467">
        <v>0</v>
      </c>
      <c r="T114" s="472">
        <v>3.3000000000000002E-2</v>
      </c>
      <c r="U114" s="467">
        <v>81</v>
      </c>
      <c r="V114" s="486">
        <v>55</v>
      </c>
    </row>
    <row r="115" spans="1:22">
      <c r="A115" s="600">
        <v>45680</v>
      </c>
      <c r="B115" s="470">
        <v>4.0000000000000002E-4</v>
      </c>
      <c r="C115" s="467">
        <v>23447</v>
      </c>
      <c r="D115" s="471">
        <v>0.67100000000000004</v>
      </c>
      <c r="E115" s="467">
        <v>930</v>
      </c>
      <c r="F115" s="472">
        <v>3.9699999999999999E-2</v>
      </c>
      <c r="G115" s="467">
        <v>0</v>
      </c>
      <c r="H115" s="472">
        <v>9.7000000000000003E-3</v>
      </c>
      <c r="I115" s="467">
        <v>113</v>
      </c>
      <c r="J115" s="486">
        <v>24</v>
      </c>
      <c r="M115" s="600">
        <v>45680</v>
      </c>
      <c r="N115" s="470">
        <v>1E-3</v>
      </c>
      <c r="O115" s="467">
        <v>23328</v>
      </c>
      <c r="P115" s="471">
        <v>0.68100000000000005</v>
      </c>
      <c r="Q115" s="467">
        <v>706</v>
      </c>
      <c r="R115" s="472">
        <v>3.0300000000000001E-2</v>
      </c>
      <c r="S115" s="467">
        <v>0</v>
      </c>
      <c r="T115" s="472">
        <v>3.2599999999999997E-2</v>
      </c>
      <c r="U115" s="467">
        <v>77</v>
      </c>
      <c r="V115" s="486">
        <v>55</v>
      </c>
    </row>
    <row r="116" spans="1:22">
      <c r="A116" s="600">
        <v>45681</v>
      </c>
      <c r="B116" s="470">
        <v>4.0000000000000002E-4</v>
      </c>
      <c r="C116" s="467">
        <v>24020</v>
      </c>
      <c r="D116" s="471">
        <v>0.67200000000000004</v>
      </c>
      <c r="E116" s="467">
        <v>931</v>
      </c>
      <c r="F116" s="472">
        <v>3.8800000000000001E-2</v>
      </c>
      <c r="G116" s="467">
        <v>0</v>
      </c>
      <c r="H116" s="472">
        <v>9.7000000000000003E-3</v>
      </c>
      <c r="I116" s="467">
        <v>117</v>
      </c>
      <c r="J116" s="486">
        <v>24</v>
      </c>
      <c r="M116" s="600">
        <v>45681</v>
      </c>
      <c r="N116" s="470">
        <v>8.9999999999999998E-4</v>
      </c>
      <c r="O116" s="467">
        <v>23448</v>
      </c>
      <c r="P116" s="471">
        <v>0.68100000000000005</v>
      </c>
      <c r="Q116" s="467">
        <v>697</v>
      </c>
      <c r="R116" s="472">
        <v>2.9700000000000001E-2</v>
      </c>
      <c r="S116" s="467">
        <v>0</v>
      </c>
      <c r="T116" s="472">
        <v>3.1600000000000003E-2</v>
      </c>
      <c r="U116" s="467">
        <v>78</v>
      </c>
      <c r="V116" s="486">
        <v>55</v>
      </c>
    </row>
    <row r="117" spans="1:22">
      <c r="A117" s="600">
        <v>45682</v>
      </c>
      <c r="B117" s="470">
        <v>4.0000000000000002E-4</v>
      </c>
      <c r="C117" s="467">
        <v>24642</v>
      </c>
      <c r="D117" s="471">
        <v>0.67300000000000004</v>
      </c>
      <c r="E117" s="467">
        <v>950</v>
      </c>
      <c r="F117" s="472">
        <v>3.8600000000000002E-2</v>
      </c>
      <c r="G117" s="467">
        <v>0</v>
      </c>
      <c r="H117" s="472">
        <v>1.0500000000000001E-2</v>
      </c>
      <c r="I117" s="467">
        <v>119</v>
      </c>
      <c r="J117" s="486">
        <v>28</v>
      </c>
      <c r="M117" s="600">
        <v>45682</v>
      </c>
      <c r="N117" s="470">
        <v>8.9999999999999998E-4</v>
      </c>
      <c r="O117" s="467">
        <v>23708</v>
      </c>
      <c r="P117" s="471">
        <v>0.68200000000000005</v>
      </c>
      <c r="Q117" s="467">
        <v>703</v>
      </c>
      <c r="R117" s="472">
        <v>2.9700000000000001E-2</v>
      </c>
      <c r="S117" s="467">
        <v>0</v>
      </c>
      <c r="T117" s="472">
        <v>3.1300000000000001E-2</v>
      </c>
      <c r="U117" s="467">
        <v>82</v>
      </c>
      <c r="V117" s="486">
        <v>46</v>
      </c>
    </row>
    <row r="118" spans="1:22">
      <c r="A118" s="600">
        <v>45683</v>
      </c>
      <c r="B118" s="470">
        <v>4.0000000000000002E-4</v>
      </c>
      <c r="C118" s="467">
        <v>25140</v>
      </c>
      <c r="D118" s="471">
        <v>0.67300000000000004</v>
      </c>
      <c r="E118" s="467">
        <v>969</v>
      </c>
      <c r="F118" s="472">
        <v>3.85E-2</v>
      </c>
      <c r="G118" s="467">
        <v>0</v>
      </c>
      <c r="H118" s="472">
        <v>1.14E-2</v>
      </c>
      <c r="I118" s="467">
        <v>117</v>
      </c>
      <c r="J118" s="486">
        <v>28</v>
      </c>
      <c r="M118" s="600">
        <v>45683</v>
      </c>
      <c r="N118" s="470">
        <v>8.9999999999999998E-4</v>
      </c>
      <c r="O118" s="467">
        <v>23918</v>
      </c>
      <c r="P118" s="471">
        <v>0.68400000000000005</v>
      </c>
      <c r="Q118" s="467">
        <v>709</v>
      </c>
      <c r="R118" s="472">
        <v>2.9600000000000001E-2</v>
      </c>
      <c r="S118" s="467">
        <v>0</v>
      </c>
      <c r="T118" s="472">
        <v>3.1E-2</v>
      </c>
      <c r="U118" s="467">
        <v>80</v>
      </c>
      <c r="V118" s="486">
        <v>46</v>
      </c>
    </row>
    <row r="119" spans="1:22">
      <c r="A119" s="600">
        <v>45684</v>
      </c>
      <c r="B119" s="470">
        <v>5.0000000000000001E-4</v>
      </c>
      <c r="C119" s="467">
        <v>25494</v>
      </c>
      <c r="D119" s="471">
        <v>0.67500000000000004</v>
      </c>
      <c r="E119" s="467">
        <v>987</v>
      </c>
      <c r="F119" s="472">
        <v>3.8699999999999998E-2</v>
      </c>
      <c r="G119" s="467">
        <v>0</v>
      </c>
      <c r="H119" s="472">
        <v>1.2200000000000001E-2</v>
      </c>
      <c r="I119" s="467">
        <v>119</v>
      </c>
      <c r="J119" s="486">
        <v>28</v>
      </c>
      <c r="M119" s="600">
        <v>45684</v>
      </c>
      <c r="N119" s="470">
        <v>8.9999999999999998E-4</v>
      </c>
      <c r="O119" s="467">
        <v>23414</v>
      </c>
      <c r="P119" s="471">
        <v>0.68799999999999994</v>
      </c>
      <c r="Q119" s="467">
        <v>712</v>
      </c>
      <c r="R119" s="472">
        <v>3.04E-2</v>
      </c>
      <c r="S119" s="467">
        <v>0</v>
      </c>
      <c r="T119" s="472">
        <v>3.09E-2</v>
      </c>
      <c r="U119" s="467">
        <v>81</v>
      </c>
      <c r="V119" s="486">
        <v>46</v>
      </c>
    </row>
    <row r="120" spans="1:22">
      <c r="A120" s="600">
        <v>45685</v>
      </c>
      <c r="B120" s="470">
        <v>5.0000000000000001E-4</v>
      </c>
      <c r="C120" s="467">
        <v>25753</v>
      </c>
      <c r="D120" s="471">
        <v>0.67500000000000004</v>
      </c>
      <c r="E120" s="467">
        <v>1001</v>
      </c>
      <c r="F120" s="472">
        <v>3.8899999999999997E-2</v>
      </c>
      <c r="G120" s="467">
        <v>0</v>
      </c>
      <c r="H120" s="472">
        <v>1.2999999999999999E-2</v>
      </c>
      <c r="I120" s="467">
        <v>119</v>
      </c>
      <c r="J120" s="486">
        <v>28</v>
      </c>
      <c r="M120" s="600">
        <v>45685</v>
      </c>
      <c r="N120" s="470">
        <v>1E-3</v>
      </c>
      <c r="O120" s="467">
        <v>22412</v>
      </c>
      <c r="P120" s="471">
        <v>0.68899999999999995</v>
      </c>
      <c r="Q120" s="467">
        <v>690</v>
      </c>
      <c r="R120" s="472">
        <v>3.0800000000000001E-2</v>
      </c>
      <c r="S120" s="467">
        <v>0</v>
      </c>
      <c r="T120" s="472">
        <v>3.3300000000000003E-2</v>
      </c>
      <c r="U120" s="467">
        <v>79</v>
      </c>
      <c r="V120" s="486">
        <v>46</v>
      </c>
    </row>
    <row r="121" spans="1:22">
      <c r="A121" s="600">
        <v>45686</v>
      </c>
      <c r="B121" s="470">
        <v>5.0000000000000001E-4</v>
      </c>
      <c r="C121" s="467">
        <v>26087</v>
      </c>
      <c r="D121" s="471">
        <v>0.67400000000000004</v>
      </c>
      <c r="E121" s="467">
        <v>1006</v>
      </c>
      <c r="F121" s="472">
        <v>3.8600000000000002E-2</v>
      </c>
      <c r="G121" s="467">
        <v>0</v>
      </c>
      <c r="H121" s="472">
        <v>1.3899999999999999E-2</v>
      </c>
      <c r="I121" s="467">
        <v>112</v>
      </c>
      <c r="J121" s="486">
        <v>28</v>
      </c>
      <c r="M121" s="600">
        <v>45686</v>
      </c>
      <c r="N121" s="470">
        <v>1.1000000000000001E-3</v>
      </c>
      <c r="O121" s="467">
        <v>21282</v>
      </c>
      <c r="P121" s="471">
        <v>0.69</v>
      </c>
      <c r="Q121" s="467">
        <v>656</v>
      </c>
      <c r="R121" s="472">
        <v>3.0800000000000001E-2</v>
      </c>
      <c r="S121" s="467">
        <v>0</v>
      </c>
      <c r="T121" s="472">
        <v>3.5099999999999999E-2</v>
      </c>
      <c r="U121" s="467">
        <v>84</v>
      </c>
      <c r="V121" s="486">
        <v>46</v>
      </c>
    </row>
    <row r="122" spans="1:22">
      <c r="A122" s="600">
        <v>45687</v>
      </c>
      <c r="B122" s="470">
        <v>5.0000000000000001E-4</v>
      </c>
      <c r="C122" s="467">
        <v>26720</v>
      </c>
      <c r="D122" s="471">
        <v>0.67400000000000004</v>
      </c>
      <c r="E122" s="467">
        <v>1011</v>
      </c>
      <c r="F122" s="472">
        <v>3.78E-2</v>
      </c>
      <c r="G122" s="467">
        <v>0</v>
      </c>
      <c r="H122" s="472">
        <v>1.38E-2</v>
      </c>
      <c r="I122" s="467">
        <v>108</v>
      </c>
      <c r="J122" s="486">
        <v>28</v>
      </c>
      <c r="M122" s="600">
        <v>45687</v>
      </c>
      <c r="N122" s="470">
        <v>1.2999999999999999E-3</v>
      </c>
      <c r="O122" s="467">
        <v>19120</v>
      </c>
      <c r="P122" s="471">
        <v>0.69</v>
      </c>
      <c r="Q122" s="467">
        <v>615</v>
      </c>
      <c r="R122" s="472">
        <v>3.2199999999999999E-2</v>
      </c>
      <c r="S122" s="467">
        <v>0</v>
      </c>
      <c r="T122" s="472">
        <v>3.9E-2</v>
      </c>
      <c r="U122" s="467">
        <v>83</v>
      </c>
      <c r="V122" s="486">
        <v>61</v>
      </c>
    </row>
    <row r="123" spans="1:22">
      <c r="A123" s="600">
        <v>45688</v>
      </c>
      <c r="B123" s="470">
        <v>5.0000000000000001E-4</v>
      </c>
      <c r="C123" s="467">
        <v>27620</v>
      </c>
      <c r="D123" s="471">
        <v>0.67200000000000004</v>
      </c>
      <c r="E123" s="467">
        <v>1034</v>
      </c>
      <c r="F123" s="472">
        <v>3.7400000000000003E-2</v>
      </c>
      <c r="G123" s="467">
        <v>0</v>
      </c>
      <c r="H123" s="472">
        <v>1.35E-2</v>
      </c>
      <c r="I123" s="467">
        <v>103</v>
      </c>
      <c r="J123" s="486">
        <v>28</v>
      </c>
      <c r="M123" s="600">
        <v>45688</v>
      </c>
      <c r="N123" s="470">
        <v>1.5E-3</v>
      </c>
      <c r="O123" s="467">
        <v>16752</v>
      </c>
      <c r="P123" s="471">
        <v>0.69199999999999995</v>
      </c>
      <c r="Q123" s="467">
        <v>541</v>
      </c>
      <c r="R123" s="472">
        <v>3.2300000000000002E-2</v>
      </c>
      <c r="S123" s="467">
        <v>0</v>
      </c>
      <c r="T123" s="472">
        <v>4.6199999999999998E-2</v>
      </c>
      <c r="U123" s="467">
        <v>81</v>
      </c>
      <c r="V123" s="486">
        <v>61</v>
      </c>
    </row>
    <row r="124" spans="1:22">
      <c r="A124" s="600">
        <v>45689</v>
      </c>
      <c r="B124" s="470">
        <v>5.0000000000000001E-4</v>
      </c>
      <c r="C124" s="467">
        <v>28671</v>
      </c>
      <c r="D124" s="471">
        <v>0.67100000000000004</v>
      </c>
      <c r="E124" s="467">
        <v>1073</v>
      </c>
      <c r="F124" s="472">
        <v>3.7400000000000003E-2</v>
      </c>
      <c r="G124" s="467">
        <v>0</v>
      </c>
      <c r="H124" s="472">
        <v>1.2999999999999999E-2</v>
      </c>
      <c r="I124" s="467">
        <v>103</v>
      </c>
      <c r="J124" s="486">
        <v>28</v>
      </c>
      <c r="M124" s="600">
        <v>45689</v>
      </c>
      <c r="N124" s="470">
        <v>1.8E-3</v>
      </c>
      <c r="O124" s="467">
        <v>14603</v>
      </c>
      <c r="P124" s="471">
        <v>0.69399999999999995</v>
      </c>
      <c r="Q124" s="467">
        <v>470</v>
      </c>
      <c r="R124" s="472">
        <v>3.2199999999999999E-2</v>
      </c>
      <c r="S124" s="467">
        <v>0</v>
      </c>
      <c r="T124" s="472">
        <v>5.5300000000000002E-2</v>
      </c>
      <c r="U124" s="467">
        <v>76</v>
      </c>
      <c r="V124" s="486">
        <v>61</v>
      </c>
    </row>
    <row r="125" spans="1:22">
      <c r="A125" s="600">
        <v>45690</v>
      </c>
      <c r="B125" s="470">
        <v>5.0000000000000001E-4</v>
      </c>
      <c r="C125" s="467">
        <v>28544</v>
      </c>
      <c r="D125" s="471">
        <v>0.66700000000000004</v>
      </c>
      <c r="E125" s="467">
        <v>1117</v>
      </c>
      <c r="F125" s="472">
        <v>3.9100000000000003E-2</v>
      </c>
      <c r="G125" s="467">
        <v>0</v>
      </c>
      <c r="H125" s="472">
        <v>1.2500000000000001E-2</v>
      </c>
      <c r="I125" s="467">
        <v>93</v>
      </c>
      <c r="J125" s="486">
        <v>28</v>
      </c>
      <c r="M125" s="600">
        <v>45690</v>
      </c>
      <c r="N125" s="470">
        <v>1.9E-3</v>
      </c>
      <c r="O125" s="467">
        <v>13848</v>
      </c>
      <c r="P125" s="471">
        <v>0.69299999999999995</v>
      </c>
      <c r="Q125" s="467">
        <v>417</v>
      </c>
      <c r="R125" s="472">
        <v>3.0099999999999998E-2</v>
      </c>
      <c r="S125" s="467">
        <v>0</v>
      </c>
      <c r="T125" s="472">
        <v>6.4699999999999994E-2</v>
      </c>
      <c r="U125" s="467">
        <v>76</v>
      </c>
      <c r="V125" s="486">
        <v>61</v>
      </c>
    </row>
    <row r="126" spans="1:22">
      <c r="A126" s="600">
        <v>45691</v>
      </c>
      <c r="B126" s="470">
        <v>5.0000000000000001E-4</v>
      </c>
      <c r="C126" s="467">
        <v>27824</v>
      </c>
      <c r="D126" s="471">
        <v>0.66800000000000004</v>
      </c>
      <c r="E126" s="467">
        <v>1135</v>
      </c>
      <c r="F126" s="472">
        <v>4.0800000000000003E-2</v>
      </c>
      <c r="G126" s="467">
        <v>0</v>
      </c>
      <c r="H126" s="472">
        <v>1.23E-2</v>
      </c>
      <c r="I126" s="467">
        <v>93</v>
      </c>
      <c r="J126" s="486">
        <v>27</v>
      </c>
      <c r="M126" s="600">
        <v>45691</v>
      </c>
      <c r="N126" s="470">
        <v>2E-3</v>
      </c>
      <c r="O126" s="467">
        <v>13424</v>
      </c>
      <c r="P126" s="471">
        <v>0.69199999999999995</v>
      </c>
      <c r="Q126" s="467">
        <v>411</v>
      </c>
      <c r="R126" s="472">
        <v>3.0599999999999999E-2</v>
      </c>
      <c r="S126" s="467">
        <v>0</v>
      </c>
      <c r="T126" s="472">
        <v>6.5699999999999995E-2</v>
      </c>
      <c r="U126" s="467">
        <v>73</v>
      </c>
      <c r="V126" s="486">
        <v>69</v>
      </c>
    </row>
    <row r="127" spans="1:22">
      <c r="A127" s="600">
        <v>45692</v>
      </c>
      <c r="B127" s="470">
        <v>5.0000000000000001E-4</v>
      </c>
      <c r="C127" s="467">
        <v>28025</v>
      </c>
      <c r="D127" s="471">
        <v>0.66500000000000004</v>
      </c>
      <c r="E127" s="467">
        <v>1130</v>
      </c>
      <c r="F127" s="472">
        <v>4.0300000000000002E-2</v>
      </c>
      <c r="G127" s="467">
        <v>0</v>
      </c>
      <c r="H127" s="472">
        <v>1.24E-2</v>
      </c>
      <c r="I127" s="467">
        <v>92</v>
      </c>
      <c r="J127" s="486">
        <v>27</v>
      </c>
      <c r="M127" s="600">
        <v>45692</v>
      </c>
      <c r="N127" s="470">
        <v>2E-3</v>
      </c>
      <c r="O127" s="467">
        <v>13672</v>
      </c>
      <c r="P127" s="471">
        <v>0.69199999999999995</v>
      </c>
      <c r="Q127" s="467">
        <v>405</v>
      </c>
      <c r="R127" s="472">
        <v>2.9600000000000001E-2</v>
      </c>
      <c r="S127" s="467">
        <v>0</v>
      </c>
      <c r="T127" s="472">
        <v>6.6699999999999995E-2</v>
      </c>
      <c r="U127" s="467">
        <v>73</v>
      </c>
      <c r="V127" s="486">
        <v>69</v>
      </c>
    </row>
    <row r="128" spans="1:22">
      <c r="A128" s="600">
        <v>45693</v>
      </c>
      <c r="B128" s="470">
        <v>5.0000000000000001E-4</v>
      </c>
      <c r="C128" s="467">
        <v>28333</v>
      </c>
      <c r="D128" s="471">
        <v>0.66600000000000004</v>
      </c>
      <c r="E128" s="467">
        <v>1152</v>
      </c>
      <c r="F128" s="472">
        <v>4.07E-2</v>
      </c>
      <c r="G128" s="467">
        <v>0</v>
      </c>
      <c r="H128" s="472">
        <v>1.2999999999999999E-2</v>
      </c>
      <c r="I128" s="467">
        <v>88</v>
      </c>
      <c r="J128" s="486">
        <v>27</v>
      </c>
      <c r="M128" s="600">
        <v>45693</v>
      </c>
      <c r="N128" s="470">
        <v>1.8E-3</v>
      </c>
      <c r="O128" s="467">
        <v>14467</v>
      </c>
      <c r="P128" s="471">
        <v>0.69299999999999995</v>
      </c>
      <c r="Q128" s="467">
        <v>424</v>
      </c>
      <c r="R128" s="472">
        <v>2.93E-2</v>
      </c>
      <c r="S128" s="467">
        <v>0</v>
      </c>
      <c r="T128" s="472">
        <v>6.13E-2</v>
      </c>
      <c r="U128" s="467">
        <v>75</v>
      </c>
      <c r="V128" s="486">
        <v>69</v>
      </c>
    </row>
    <row r="129" spans="1:22">
      <c r="A129" s="600">
        <v>45694</v>
      </c>
      <c r="B129" s="470">
        <v>5.0000000000000001E-4</v>
      </c>
      <c r="C129" s="467">
        <v>28247</v>
      </c>
      <c r="D129" s="471">
        <v>0.66300000000000003</v>
      </c>
      <c r="E129" s="467">
        <v>1160</v>
      </c>
      <c r="F129" s="472">
        <v>4.1099999999999998E-2</v>
      </c>
      <c r="G129" s="467">
        <v>0</v>
      </c>
      <c r="H129" s="472">
        <v>1.29E-2</v>
      </c>
      <c r="I129" s="467">
        <v>88</v>
      </c>
      <c r="J129" s="486">
        <v>27</v>
      </c>
      <c r="M129" s="600">
        <v>45694</v>
      </c>
      <c r="N129" s="470">
        <v>1.6999999999999999E-3</v>
      </c>
      <c r="O129" s="467">
        <v>15006</v>
      </c>
      <c r="P129" s="471">
        <v>0.69399999999999995</v>
      </c>
      <c r="Q129" s="467">
        <v>443</v>
      </c>
      <c r="R129" s="472">
        <v>2.9499999999999998E-2</v>
      </c>
      <c r="S129" s="467">
        <v>0</v>
      </c>
      <c r="T129" s="472">
        <v>5.8700000000000002E-2</v>
      </c>
      <c r="U129" s="467">
        <v>73</v>
      </c>
      <c r="V129" s="486">
        <v>70</v>
      </c>
    </row>
    <row r="130" spans="1:22">
      <c r="A130" s="600">
        <v>45695</v>
      </c>
      <c r="B130" s="470">
        <v>5.9999999999999995E-4</v>
      </c>
      <c r="C130" s="467">
        <v>27370</v>
      </c>
      <c r="D130" s="471">
        <v>0.66300000000000003</v>
      </c>
      <c r="E130" s="467">
        <v>1154</v>
      </c>
      <c r="F130" s="472">
        <v>4.2200000000000001E-2</v>
      </c>
      <c r="G130" s="467">
        <v>0</v>
      </c>
      <c r="H130" s="472">
        <v>1.3899999999999999E-2</v>
      </c>
      <c r="I130" s="467">
        <v>83</v>
      </c>
      <c r="J130" s="486">
        <v>48</v>
      </c>
      <c r="M130" s="600">
        <v>45695</v>
      </c>
      <c r="N130" s="470">
        <v>1.6999999999999999E-3</v>
      </c>
      <c r="O130" s="467">
        <v>15093</v>
      </c>
      <c r="P130" s="471">
        <v>0.69299999999999995</v>
      </c>
      <c r="Q130" s="467">
        <v>449</v>
      </c>
      <c r="R130" s="472">
        <v>2.9700000000000001E-2</v>
      </c>
      <c r="S130" s="467">
        <v>0</v>
      </c>
      <c r="T130" s="472">
        <v>5.79E-2</v>
      </c>
      <c r="U130" s="467">
        <v>71</v>
      </c>
      <c r="V130" s="486">
        <v>70</v>
      </c>
    </row>
    <row r="131" spans="1:22">
      <c r="A131" s="600">
        <v>45696</v>
      </c>
      <c r="B131" s="470">
        <v>6.9999999999999999E-4</v>
      </c>
      <c r="C131" s="467">
        <v>25445</v>
      </c>
      <c r="D131" s="471">
        <v>0.66400000000000003</v>
      </c>
      <c r="E131" s="467">
        <v>1097</v>
      </c>
      <c r="F131" s="472">
        <v>4.3099999999999999E-2</v>
      </c>
      <c r="G131" s="467">
        <v>0</v>
      </c>
      <c r="H131" s="472">
        <v>1.55E-2</v>
      </c>
      <c r="I131" s="467">
        <v>83</v>
      </c>
      <c r="J131" s="486">
        <v>48</v>
      </c>
      <c r="M131" s="600">
        <v>45696</v>
      </c>
      <c r="N131" s="470">
        <v>1.8E-3</v>
      </c>
      <c r="O131" s="467">
        <v>14660</v>
      </c>
      <c r="P131" s="471">
        <v>0.69399999999999995</v>
      </c>
      <c r="Q131" s="467">
        <v>454</v>
      </c>
      <c r="R131" s="472">
        <v>3.1E-2</v>
      </c>
      <c r="S131" s="467">
        <v>0</v>
      </c>
      <c r="T131" s="472">
        <v>5.7299999999999997E-2</v>
      </c>
      <c r="U131" s="467">
        <v>72</v>
      </c>
      <c r="V131" s="486">
        <v>70</v>
      </c>
    </row>
    <row r="132" spans="1:22">
      <c r="A132" s="600">
        <v>45697</v>
      </c>
      <c r="B132" s="470">
        <v>8.0000000000000004E-4</v>
      </c>
      <c r="C132" s="467">
        <v>23086</v>
      </c>
      <c r="D132" s="471">
        <v>0.66300000000000003</v>
      </c>
      <c r="E132" s="467">
        <v>1012</v>
      </c>
      <c r="F132" s="472">
        <v>4.3799999999999999E-2</v>
      </c>
      <c r="G132" s="467">
        <v>0</v>
      </c>
      <c r="H132" s="472">
        <v>1.78E-2</v>
      </c>
      <c r="I132" s="467">
        <v>83</v>
      </c>
      <c r="J132" s="486">
        <v>48</v>
      </c>
      <c r="M132" s="600">
        <v>45697</v>
      </c>
      <c r="N132" s="470">
        <v>1.8E-3</v>
      </c>
      <c r="O132" s="467">
        <v>14741</v>
      </c>
      <c r="P132" s="471">
        <v>0.69399999999999995</v>
      </c>
      <c r="Q132" s="467">
        <v>440</v>
      </c>
      <c r="R132" s="472">
        <v>2.98E-2</v>
      </c>
      <c r="S132" s="467">
        <v>0</v>
      </c>
      <c r="T132" s="472">
        <v>5.91E-2</v>
      </c>
      <c r="U132" s="467">
        <v>70</v>
      </c>
      <c r="V132" s="486">
        <v>65</v>
      </c>
    </row>
    <row r="133" spans="1:22">
      <c r="A133" s="600">
        <v>45698</v>
      </c>
      <c r="B133" s="470">
        <v>8.9999999999999998E-4</v>
      </c>
      <c r="C133" s="467">
        <v>20584</v>
      </c>
      <c r="D133" s="471">
        <v>0.66500000000000004</v>
      </c>
      <c r="E133" s="467">
        <v>910</v>
      </c>
      <c r="F133" s="472">
        <v>4.4200000000000003E-2</v>
      </c>
      <c r="G133" s="467">
        <v>0</v>
      </c>
      <c r="H133" s="472">
        <v>2.0899999999999998E-2</v>
      </c>
      <c r="I133" s="467">
        <v>85</v>
      </c>
      <c r="J133" s="486">
        <v>48</v>
      </c>
      <c r="M133" s="600">
        <v>45698</v>
      </c>
      <c r="N133" s="470">
        <v>1.6999999999999999E-3</v>
      </c>
      <c r="O133" s="467">
        <v>15129</v>
      </c>
      <c r="P133" s="471">
        <v>0.69399999999999995</v>
      </c>
      <c r="Q133" s="467">
        <v>457</v>
      </c>
      <c r="R133" s="472">
        <v>3.0200000000000001E-2</v>
      </c>
      <c r="S133" s="467">
        <v>0</v>
      </c>
      <c r="T133" s="472">
        <v>5.6899999999999999E-2</v>
      </c>
      <c r="U133" s="467">
        <v>71</v>
      </c>
      <c r="V133" s="486">
        <v>49</v>
      </c>
    </row>
    <row r="134" spans="1:22">
      <c r="A134" s="600">
        <v>45699</v>
      </c>
      <c r="B134" s="470">
        <v>1.1000000000000001E-3</v>
      </c>
      <c r="C134" s="467">
        <v>18365</v>
      </c>
      <c r="D134" s="471">
        <v>0.66900000000000004</v>
      </c>
      <c r="E134" s="467">
        <v>798</v>
      </c>
      <c r="F134" s="472">
        <v>4.3499999999999997E-2</v>
      </c>
      <c r="G134" s="467">
        <v>0</v>
      </c>
      <c r="H134" s="472">
        <v>2.5100000000000001E-2</v>
      </c>
      <c r="I134" s="467">
        <v>88</v>
      </c>
      <c r="J134" s="486">
        <v>48</v>
      </c>
      <c r="M134" s="600">
        <v>45699</v>
      </c>
      <c r="N134" s="470">
        <v>1.6999999999999999E-3</v>
      </c>
      <c r="O134" s="467">
        <v>15517</v>
      </c>
      <c r="P134" s="471">
        <v>0.69499999999999995</v>
      </c>
      <c r="Q134" s="467">
        <v>474</v>
      </c>
      <c r="R134" s="472">
        <v>3.0499999999999999E-2</v>
      </c>
      <c r="S134" s="467">
        <v>0</v>
      </c>
      <c r="T134" s="472">
        <v>5.4899999999999997E-2</v>
      </c>
      <c r="U134" s="467">
        <v>70</v>
      </c>
      <c r="V134" s="486">
        <v>49</v>
      </c>
    </row>
    <row r="135" spans="1:22">
      <c r="A135" s="600">
        <v>45700</v>
      </c>
      <c r="B135" s="470">
        <v>1.2999999999999999E-3</v>
      </c>
      <c r="C135" s="467">
        <v>16724</v>
      </c>
      <c r="D135" s="471">
        <v>0.67100000000000004</v>
      </c>
      <c r="E135" s="467">
        <v>691</v>
      </c>
      <c r="F135" s="472">
        <v>4.1300000000000003E-2</v>
      </c>
      <c r="G135" s="467">
        <v>0</v>
      </c>
      <c r="H135" s="472">
        <v>3.04E-2</v>
      </c>
      <c r="I135" s="467">
        <v>89</v>
      </c>
      <c r="J135" s="486">
        <v>48</v>
      </c>
      <c r="M135" s="600">
        <v>45700</v>
      </c>
      <c r="N135" s="470">
        <v>1.6000000000000001E-3</v>
      </c>
      <c r="O135" s="467">
        <v>15937</v>
      </c>
      <c r="P135" s="471">
        <v>0.69299999999999995</v>
      </c>
      <c r="Q135" s="467">
        <v>489</v>
      </c>
      <c r="R135" s="472">
        <v>3.0700000000000002E-2</v>
      </c>
      <c r="S135" s="467">
        <v>0</v>
      </c>
      <c r="T135" s="472">
        <v>5.3199999999999997E-2</v>
      </c>
      <c r="U135" s="467">
        <v>69</v>
      </c>
      <c r="V135" s="486">
        <v>49</v>
      </c>
    </row>
    <row r="136" spans="1:22">
      <c r="A136" s="600">
        <v>45701</v>
      </c>
      <c r="B136" s="470">
        <v>1.4E-3</v>
      </c>
      <c r="C136" s="467">
        <v>15571</v>
      </c>
      <c r="D136" s="471">
        <v>0.67100000000000004</v>
      </c>
      <c r="E136" s="467">
        <v>635</v>
      </c>
      <c r="F136" s="472">
        <v>4.0800000000000003E-2</v>
      </c>
      <c r="G136" s="467">
        <v>0</v>
      </c>
      <c r="H136" s="472">
        <v>3.4599999999999999E-2</v>
      </c>
      <c r="I136" s="467">
        <v>88</v>
      </c>
      <c r="J136" s="486">
        <v>48</v>
      </c>
      <c r="M136" s="600">
        <v>45701</v>
      </c>
      <c r="N136" s="470">
        <v>1.5E-3</v>
      </c>
      <c r="O136" s="467">
        <v>17273</v>
      </c>
      <c r="P136" s="471">
        <v>0.69399999999999995</v>
      </c>
      <c r="Q136" s="467">
        <v>504</v>
      </c>
      <c r="R136" s="472">
        <v>2.92E-2</v>
      </c>
      <c r="S136" s="467">
        <v>0</v>
      </c>
      <c r="T136" s="472">
        <v>5.16E-2</v>
      </c>
      <c r="U136" s="467">
        <v>69</v>
      </c>
      <c r="V136" s="486">
        <v>49</v>
      </c>
    </row>
    <row r="137" spans="1:22">
      <c r="A137" s="600">
        <v>45702</v>
      </c>
      <c r="B137" s="470">
        <v>1.6000000000000001E-3</v>
      </c>
      <c r="C137" s="467">
        <v>14573</v>
      </c>
      <c r="D137" s="471">
        <v>0.67400000000000004</v>
      </c>
      <c r="E137" s="467">
        <v>593</v>
      </c>
      <c r="F137" s="472">
        <v>4.07E-2</v>
      </c>
      <c r="G137" s="467">
        <v>0</v>
      </c>
      <c r="H137" s="472">
        <v>3.8800000000000001E-2</v>
      </c>
      <c r="I137" s="467">
        <v>89</v>
      </c>
      <c r="J137" s="486">
        <v>48</v>
      </c>
      <c r="M137" s="600">
        <v>45702</v>
      </c>
      <c r="N137" s="470">
        <v>1.4E-3</v>
      </c>
      <c r="O137" s="467">
        <v>19114</v>
      </c>
      <c r="P137" s="471">
        <v>0.69599999999999995</v>
      </c>
      <c r="Q137" s="467">
        <v>547</v>
      </c>
      <c r="R137" s="472">
        <v>2.86E-2</v>
      </c>
      <c r="S137" s="467">
        <v>0</v>
      </c>
      <c r="T137" s="472">
        <v>4.7500000000000001E-2</v>
      </c>
      <c r="U137" s="467">
        <v>69</v>
      </c>
      <c r="V137" s="486">
        <v>44</v>
      </c>
    </row>
    <row r="138" spans="1:22">
      <c r="A138" s="600">
        <v>45703</v>
      </c>
      <c r="B138" s="470">
        <v>1.6999999999999999E-3</v>
      </c>
      <c r="C138" s="467">
        <v>13734</v>
      </c>
      <c r="D138" s="471">
        <v>0.67900000000000005</v>
      </c>
      <c r="E138" s="467">
        <v>568</v>
      </c>
      <c r="F138" s="472">
        <v>4.1399999999999999E-2</v>
      </c>
      <c r="G138" s="467">
        <v>0</v>
      </c>
      <c r="H138" s="472">
        <v>4.2299999999999997E-2</v>
      </c>
      <c r="I138" s="467">
        <v>86</v>
      </c>
      <c r="J138" s="486">
        <v>48</v>
      </c>
      <c r="M138" s="600">
        <v>45703</v>
      </c>
      <c r="N138" s="470">
        <v>1.2999999999999999E-3</v>
      </c>
      <c r="O138" s="467">
        <v>20557</v>
      </c>
      <c r="P138" s="471">
        <v>0.69899999999999995</v>
      </c>
      <c r="Q138" s="467">
        <v>588</v>
      </c>
      <c r="R138" s="472">
        <v>2.86E-2</v>
      </c>
      <c r="S138" s="467">
        <v>0</v>
      </c>
      <c r="T138" s="472">
        <v>4.4200000000000003E-2</v>
      </c>
      <c r="U138" s="467">
        <v>67</v>
      </c>
      <c r="V138" s="486">
        <v>44</v>
      </c>
    </row>
    <row r="139" spans="1:22">
      <c r="A139" s="600">
        <v>45704</v>
      </c>
      <c r="B139" s="470">
        <v>1.8E-3</v>
      </c>
      <c r="C139" s="467">
        <v>13520</v>
      </c>
      <c r="D139" s="471">
        <v>0.68200000000000005</v>
      </c>
      <c r="E139" s="467">
        <v>544</v>
      </c>
      <c r="F139" s="472">
        <v>4.02E-2</v>
      </c>
      <c r="G139" s="467">
        <v>0</v>
      </c>
      <c r="H139" s="472">
        <v>4.5999999999999999E-2</v>
      </c>
      <c r="I139" s="467">
        <v>84</v>
      </c>
      <c r="J139" s="486">
        <v>48</v>
      </c>
      <c r="M139" s="600">
        <v>45704</v>
      </c>
      <c r="N139" s="470">
        <v>1.2999999999999999E-3</v>
      </c>
      <c r="O139" s="467">
        <v>20418</v>
      </c>
      <c r="P139" s="471">
        <v>0.70099999999999996</v>
      </c>
      <c r="Q139" s="467">
        <v>606</v>
      </c>
      <c r="R139" s="472">
        <v>2.9700000000000001E-2</v>
      </c>
      <c r="S139" s="467">
        <v>0</v>
      </c>
      <c r="T139" s="472">
        <v>4.4600000000000001E-2</v>
      </c>
      <c r="U139" s="467">
        <v>62</v>
      </c>
      <c r="V139" s="486">
        <v>44</v>
      </c>
    </row>
    <row r="140" spans="1:22">
      <c r="A140" s="600">
        <v>45705</v>
      </c>
      <c r="B140" s="470">
        <v>1.8E-3</v>
      </c>
      <c r="C140" s="467">
        <v>13994</v>
      </c>
      <c r="D140" s="471">
        <v>0.68600000000000005</v>
      </c>
      <c r="E140" s="467">
        <v>541</v>
      </c>
      <c r="F140" s="472">
        <v>3.8699999999999998E-2</v>
      </c>
      <c r="G140" s="467">
        <v>0</v>
      </c>
      <c r="H140" s="472">
        <v>4.6199999999999998E-2</v>
      </c>
      <c r="I140" s="467">
        <v>82</v>
      </c>
      <c r="J140" s="486">
        <v>48</v>
      </c>
      <c r="M140" s="600">
        <v>45705</v>
      </c>
      <c r="N140" s="470">
        <v>1.4E-3</v>
      </c>
      <c r="O140" s="467">
        <v>19299</v>
      </c>
      <c r="P140" s="471">
        <v>0.70299999999999996</v>
      </c>
      <c r="Q140" s="467">
        <v>573</v>
      </c>
      <c r="R140" s="472">
        <v>2.9700000000000001E-2</v>
      </c>
      <c r="S140" s="467">
        <v>0</v>
      </c>
      <c r="T140" s="472">
        <v>4.7100000000000003E-2</v>
      </c>
      <c r="U140" s="467">
        <v>60</v>
      </c>
      <c r="V140" s="486">
        <v>82</v>
      </c>
    </row>
    <row r="141" spans="1:22">
      <c r="A141" s="600">
        <v>45706</v>
      </c>
      <c r="B141" s="470">
        <v>1.6999999999999999E-3</v>
      </c>
      <c r="C141" s="467">
        <v>14823</v>
      </c>
      <c r="D141" s="471">
        <v>0.68600000000000005</v>
      </c>
      <c r="E141" s="467">
        <v>555</v>
      </c>
      <c r="F141" s="472">
        <v>3.7400000000000003E-2</v>
      </c>
      <c r="G141" s="467">
        <v>0</v>
      </c>
      <c r="H141" s="472">
        <v>4.4999999999999998E-2</v>
      </c>
      <c r="I141" s="467">
        <v>81</v>
      </c>
      <c r="J141" s="486">
        <v>48</v>
      </c>
      <c r="M141" s="600">
        <v>45706</v>
      </c>
      <c r="N141" s="470">
        <v>1.5E-3</v>
      </c>
      <c r="O141" s="467">
        <v>18106</v>
      </c>
      <c r="P141" s="471">
        <v>0.70299999999999996</v>
      </c>
      <c r="Q141" s="467">
        <v>528</v>
      </c>
      <c r="R141" s="472">
        <v>2.92E-2</v>
      </c>
      <c r="S141" s="467">
        <v>0</v>
      </c>
      <c r="T141" s="472">
        <v>5.11E-2</v>
      </c>
      <c r="U141" s="467">
        <v>58</v>
      </c>
      <c r="V141" s="486">
        <v>82</v>
      </c>
    </row>
    <row r="142" spans="1:22">
      <c r="A142" s="600">
        <v>45707</v>
      </c>
      <c r="B142" s="470">
        <v>1.6000000000000001E-3</v>
      </c>
      <c r="C142" s="467">
        <v>15712</v>
      </c>
      <c r="D142" s="471">
        <v>0.68799999999999994</v>
      </c>
      <c r="E142" s="467">
        <v>574</v>
      </c>
      <c r="F142" s="472">
        <v>3.6499999999999998E-2</v>
      </c>
      <c r="G142" s="467">
        <v>0</v>
      </c>
      <c r="H142" s="472">
        <v>4.36E-2</v>
      </c>
      <c r="I142" s="467">
        <v>77</v>
      </c>
      <c r="J142" s="486">
        <v>48</v>
      </c>
      <c r="M142" s="600">
        <v>45707</v>
      </c>
      <c r="N142" s="470">
        <v>1.6000000000000001E-3</v>
      </c>
      <c r="O142" s="467">
        <v>16682</v>
      </c>
      <c r="P142" s="471">
        <v>0.70199999999999996</v>
      </c>
      <c r="Q142" s="467">
        <v>482</v>
      </c>
      <c r="R142" s="472">
        <v>2.8899999999999999E-2</v>
      </c>
      <c r="S142" s="467">
        <v>0</v>
      </c>
      <c r="T142" s="472">
        <v>5.6000000000000001E-2</v>
      </c>
      <c r="U142" s="467">
        <v>58</v>
      </c>
      <c r="V142" s="486">
        <v>82</v>
      </c>
    </row>
    <row r="143" spans="1:22">
      <c r="A143" s="600">
        <v>45708</v>
      </c>
      <c r="B143" s="470">
        <v>1.5E-3</v>
      </c>
      <c r="C143" s="467">
        <v>16459</v>
      </c>
      <c r="D143" s="471">
        <v>0.68899999999999995</v>
      </c>
      <c r="E143" s="467">
        <v>598</v>
      </c>
      <c r="F143" s="472">
        <v>3.6299999999999999E-2</v>
      </c>
      <c r="G143" s="467">
        <v>0</v>
      </c>
      <c r="H143" s="472">
        <v>4.0099999999999997E-2</v>
      </c>
      <c r="I143" s="467">
        <v>75</v>
      </c>
      <c r="J143" s="486">
        <v>48</v>
      </c>
      <c r="M143" s="600">
        <v>45708</v>
      </c>
      <c r="N143" s="470">
        <v>1.8E-3</v>
      </c>
      <c r="O143" s="467">
        <v>15426</v>
      </c>
      <c r="P143" s="471">
        <v>0.70299999999999996</v>
      </c>
      <c r="Q143" s="467">
        <v>438</v>
      </c>
      <c r="R143" s="472">
        <v>2.8400000000000002E-2</v>
      </c>
      <c r="S143" s="467">
        <v>0</v>
      </c>
      <c r="T143" s="472">
        <v>6.3899999999999998E-2</v>
      </c>
      <c r="U143" s="467">
        <v>58</v>
      </c>
      <c r="V143" s="486">
        <v>82</v>
      </c>
    </row>
    <row r="144" spans="1:22">
      <c r="A144" s="600">
        <v>45709</v>
      </c>
      <c r="B144" s="470">
        <v>1.4E-3</v>
      </c>
      <c r="C144" s="467">
        <v>16872</v>
      </c>
      <c r="D144" s="471">
        <v>0.69199999999999995</v>
      </c>
      <c r="E144" s="467">
        <v>612</v>
      </c>
      <c r="F144" s="472">
        <v>3.6299999999999999E-2</v>
      </c>
      <c r="G144" s="467">
        <v>0</v>
      </c>
      <c r="H144" s="472">
        <v>3.7600000000000001E-2</v>
      </c>
      <c r="I144" s="467">
        <v>73</v>
      </c>
      <c r="J144" s="486">
        <v>48</v>
      </c>
      <c r="M144" s="600">
        <v>45709</v>
      </c>
      <c r="N144" s="470">
        <v>1.9E-3</v>
      </c>
      <c r="O144" s="467">
        <v>14911</v>
      </c>
      <c r="P144" s="471">
        <v>0.70399999999999996</v>
      </c>
      <c r="Q144" s="467">
        <v>410</v>
      </c>
      <c r="R144" s="472">
        <v>2.75E-2</v>
      </c>
      <c r="S144" s="467">
        <v>0</v>
      </c>
      <c r="T144" s="472">
        <v>6.83E-2</v>
      </c>
      <c r="U144" s="467">
        <v>56</v>
      </c>
      <c r="V144" s="486">
        <v>82</v>
      </c>
    </row>
    <row r="145" spans="1:22">
      <c r="A145" s="600">
        <v>45710</v>
      </c>
      <c r="B145" s="470">
        <v>1.2999999999999999E-3</v>
      </c>
      <c r="C145" s="467">
        <v>16962</v>
      </c>
      <c r="D145" s="471">
        <v>0.69299999999999995</v>
      </c>
      <c r="E145" s="467">
        <v>611</v>
      </c>
      <c r="F145" s="472">
        <v>3.5999999999999997E-2</v>
      </c>
      <c r="G145" s="467">
        <v>0</v>
      </c>
      <c r="H145" s="472">
        <v>3.5999999999999997E-2</v>
      </c>
      <c r="I145" s="467">
        <v>67</v>
      </c>
      <c r="J145" s="486">
        <v>48</v>
      </c>
      <c r="M145" s="600">
        <v>45710</v>
      </c>
      <c r="N145" s="470">
        <v>1.8E-3</v>
      </c>
      <c r="O145" s="467">
        <v>14710</v>
      </c>
      <c r="P145" s="471">
        <v>0.70499999999999996</v>
      </c>
      <c r="Q145" s="467">
        <v>403</v>
      </c>
      <c r="R145" s="472">
        <v>2.7400000000000001E-2</v>
      </c>
      <c r="S145" s="467">
        <v>0</v>
      </c>
      <c r="T145" s="472">
        <v>6.7000000000000004E-2</v>
      </c>
      <c r="U145" s="467">
        <v>57</v>
      </c>
      <c r="V145" s="486">
        <v>90</v>
      </c>
    </row>
    <row r="146" spans="1:22">
      <c r="A146" s="600">
        <v>45711</v>
      </c>
      <c r="B146" s="470">
        <v>1.2999999999999999E-3</v>
      </c>
      <c r="C146" s="467">
        <v>16713</v>
      </c>
      <c r="D146" s="471">
        <v>0.69499999999999995</v>
      </c>
      <c r="E146" s="467">
        <v>615</v>
      </c>
      <c r="F146" s="472">
        <v>3.6799999999999999E-2</v>
      </c>
      <c r="G146" s="467">
        <v>0</v>
      </c>
      <c r="H146" s="472">
        <v>3.5799999999999998E-2</v>
      </c>
      <c r="I146" s="467">
        <v>66</v>
      </c>
      <c r="J146" s="486">
        <v>40</v>
      </c>
      <c r="M146" s="600">
        <v>45711</v>
      </c>
      <c r="N146" s="470">
        <v>1.8E-3</v>
      </c>
      <c r="O146" s="467">
        <v>14461</v>
      </c>
      <c r="P146" s="471">
        <v>0.70599999999999996</v>
      </c>
      <c r="Q146" s="467">
        <v>398</v>
      </c>
      <c r="R146" s="472">
        <v>2.75E-2</v>
      </c>
      <c r="S146" s="467">
        <v>0</v>
      </c>
      <c r="T146" s="472">
        <v>6.5299999999999997E-2</v>
      </c>
      <c r="U146" s="467">
        <v>54</v>
      </c>
      <c r="V146" s="486">
        <v>90</v>
      </c>
    </row>
    <row r="147" spans="1:22">
      <c r="A147" s="600">
        <v>45712</v>
      </c>
      <c r="B147" s="470">
        <v>1.4E-3</v>
      </c>
      <c r="C147" s="467">
        <v>16334</v>
      </c>
      <c r="D147" s="471">
        <v>0.69599999999999995</v>
      </c>
      <c r="E147" s="467">
        <v>620</v>
      </c>
      <c r="F147" s="472">
        <v>3.7999999999999999E-2</v>
      </c>
      <c r="G147" s="467">
        <v>0</v>
      </c>
      <c r="H147" s="472">
        <v>3.7100000000000001E-2</v>
      </c>
      <c r="I147" s="467">
        <v>59</v>
      </c>
      <c r="J147" s="486">
        <v>40</v>
      </c>
      <c r="M147" s="600">
        <v>45712</v>
      </c>
      <c r="N147" s="470">
        <v>1.8E-3</v>
      </c>
      <c r="O147" s="467">
        <v>14203</v>
      </c>
      <c r="P147" s="471">
        <v>0.70399999999999996</v>
      </c>
      <c r="Q147" s="467">
        <v>391</v>
      </c>
      <c r="R147" s="472">
        <v>2.75E-2</v>
      </c>
      <c r="S147" s="467">
        <v>0</v>
      </c>
      <c r="T147" s="472">
        <v>6.3899999999999998E-2</v>
      </c>
      <c r="U147" s="467">
        <v>62</v>
      </c>
      <c r="V147" s="486">
        <v>90</v>
      </c>
    </row>
    <row r="148" spans="1:22">
      <c r="A148" s="600">
        <v>45713</v>
      </c>
      <c r="B148" s="470">
        <v>1.4E-3</v>
      </c>
      <c r="C148" s="467">
        <v>15883</v>
      </c>
      <c r="D148" s="471">
        <v>0.69499999999999995</v>
      </c>
      <c r="E148" s="467">
        <v>610</v>
      </c>
      <c r="F148" s="472">
        <v>3.8399999999999997E-2</v>
      </c>
      <c r="G148" s="467">
        <v>0</v>
      </c>
      <c r="H148" s="472">
        <v>3.7699999999999997E-2</v>
      </c>
      <c r="I148" s="467">
        <v>57</v>
      </c>
      <c r="J148" s="486">
        <v>41</v>
      </c>
      <c r="M148" s="600">
        <v>45713</v>
      </c>
      <c r="N148" s="470">
        <v>1.6999999999999999E-3</v>
      </c>
      <c r="O148" s="467">
        <v>13943</v>
      </c>
      <c r="P148" s="471">
        <v>0.70399999999999996</v>
      </c>
      <c r="Q148" s="467">
        <v>384</v>
      </c>
      <c r="R148" s="472">
        <v>2.75E-2</v>
      </c>
      <c r="S148" s="467">
        <v>0</v>
      </c>
      <c r="T148" s="472">
        <v>6.25E-2</v>
      </c>
      <c r="U148" s="467">
        <v>58</v>
      </c>
      <c r="V148" s="486">
        <v>90</v>
      </c>
    </row>
    <row r="149" spans="1:22">
      <c r="A149" s="600">
        <v>45714</v>
      </c>
      <c r="B149" s="470">
        <v>1.5E-3</v>
      </c>
      <c r="C149" s="467">
        <v>15532</v>
      </c>
      <c r="D149" s="471">
        <v>0.69699999999999995</v>
      </c>
      <c r="E149" s="467">
        <v>598</v>
      </c>
      <c r="F149" s="472">
        <v>3.85E-2</v>
      </c>
      <c r="G149" s="467">
        <v>0</v>
      </c>
      <c r="H149" s="472">
        <v>3.85E-2</v>
      </c>
      <c r="I149" s="467">
        <v>57</v>
      </c>
      <c r="J149" s="486">
        <v>41</v>
      </c>
      <c r="M149" s="600">
        <v>45714</v>
      </c>
      <c r="N149" s="470">
        <v>1.6999999999999999E-3</v>
      </c>
      <c r="O149" s="467">
        <v>13733</v>
      </c>
      <c r="P149" s="471">
        <v>0.70299999999999996</v>
      </c>
      <c r="Q149" s="467">
        <v>378</v>
      </c>
      <c r="R149" s="472">
        <v>2.75E-2</v>
      </c>
      <c r="S149" s="467">
        <v>0</v>
      </c>
      <c r="T149" s="472">
        <v>6.08E-2</v>
      </c>
      <c r="U149" s="467">
        <v>56</v>
      </c>
      <c r="V149" s="486">
        <v>90</v>
      </c>
    </row>
    <row r="150" spans="1:22">
      <c r="A150" s="600">
        <v>45715</v>
      </c>
      <c r="B150" s="470">
        <v>1.5E-3</v>
      </c>
      <c r="C150" s="467">
        <v>15270</v>
      </c>
      <c r="D150" s="471">
        <v>0.69499999999999995</v>
      </c>
      <c r="E150" s="467">
        <v>590</v>
      </c>
      <c r="F150" s="472">
        <v>3.8600000000000002E-2</v>
      </c>
      <c r="G150" s="467">
        <v>0</v>
      </c>
      <c r="H150" s="472">
        <v>3.9E-2</v>
      </c>
      <c r="I150" s="467">
        <v>55</v>
      </c>
      <c r="J150" s="486">
        <v>41</v>
      </c>
      <c r="M150" s="600">
        <v>45715</v>
      </c>
      <c r="N150" s="470">
        <v>1.6000000000000001E-3</v>
      </c>
      <c r="O150" s="467">
        <v>13572</v>
      </c>
      <c r="P150" s="471">
        <v>0.7</v>
      </c>
      <c r="Q150" s="467">
        <v>374</v>
      </c>
      <c r="R150" s="472">
        <v>2.76E-2</v>
      </c>
      <c r="S150" s="467">
        <v>0</v>
      </c>
      <c r="T150" s="472">
        <v>5.8799999999999998E-2</v>
      </c>
      <c r="U150" s="467">
        <v>54</v>
      </c>
      <c r="V150" s="486">
        <v>90</v>
      </c>
    </row>
    <row r="151" spans="1:22">
      <c r="A151" s="600">
        <v>45716</v>
      </c>
      <c r="B151" s="470">
        <v>1.5E-3</v>
      </c>
      <c r="C151" s="467">
        <v>15034</v>
      </c>
      <c r="D151" s="471">
        <v>0.69499999999999995</v>
      </c>
      <c r="E151" s="467">
        <v>597</v>
      </c>
      <c r="F151" s="472">
        <v>3.9699999999999999E-2</v>
      </c>
      <c r="G151" s="467">
        <v>0</v>
      </c>
      <c r="H151" s="472">
        <v>3.85E-2</v>
      </c>
      <c r="I151" s="467">
        <v>55</v>
      </c>
      <c r="J151" s="486">
        <v>41</v>
      </c>
      <c r="M151" s="600">
        <v>45716</v>
      </c>
      <c r="N151" s="470">
        <v>1.5E-3</v>
      </c>
      <c r="O151" s="467">
        <v>13850</v>
      </c>
      <c r="P151" s="471">
        <v>0.69899999999999995</v>
      </c>
      <c r="Q151" s="467">
        <v>371</v>
      </c>
      <c r="R151" s="472">
        <v>2.6800000000000001E-2</v>
      </c>
      <c r="S151" s="467">
        <v>0</v>
      </c>
      <c r="T151" s="472">
        <v>5.6599999999999998E-2</v>
      </c>
      <c r="U151" s="467">
        <v>54</v>
      </c>
      <c r="V151" s="486">
        <v>90</v>
      </c>
    </row>
    <row r="152" spans="1:22">
      <c r="A152" s="600">
        <v>45717</v>
      </c>
      <c r="B152" s="470">
        <v>1.6000000000000001E-3</v>
      </c>
      <c r="C152" s="467">
        <v>14691</v>
      </c>
      <c r="D152" s="471">
        <v>0.69299999999999995</v>
      </c>
      <c r="E152" s="467">
        <v>618</v>
      </c>
      <c r="F152" s="472">
        <v>4.2099999999999999E-2</v>
      </c>
      <c r="G152" s="467">
        <v>0</v>
      </c>
      <c r="H152" s="472">
        <v>3.7199999999999997E-2</v>
      </c>
      <c r="I152" s="467">
        <v>54</v>
      </c>
      <c r="J152" s="486">
        <v>41</v>
      </c>
      <c r="M152" s="600">
        <v>45717</v>
      </c>
      <c r="N152" s="470">
        <v>1.5E-3</v>
      </c>
      <c r="O152" s="467">
        <v>14574</v>
      </c>
      <c r="P152" s="471">
        <v>0.69499999999999995</v>
      </c>
      <c r="Q152" s="467">
        <v>390</v>
      </c>
      <c r="R152" s="472">
        <v>2.6800000000000001E-2</v>
      </c>
      <c r="S152" s="467">
        <v>0</v>
      </c>
      <c r="T152" s="472">
        <v>5.6399999999999999E-2</v>
      </c>
      <c r="U152" s="467">
        <v>50</v>
      </c>
      <c r="V152" s="486">
        <v>80</v>
      </c>
    </row>
    <row r="153" spans="1:22">
      <c r="A153" s="600">
        <v>45718</v>
      </c>
      <c r="B153" s="470">
        <v>1.6999999999999999E-3</v>
      </c>
      <c r="C153" s="467">
        <v>14143</v>
      </c>
      <c r="D153" s="471">
        <v>0.69299999999999995</v>
      </c>
      <c r="E153" s="467">
        <v>637</v>
      </c>
      <c r="F153" s="472">
        <v>4.4999999999999998E-2</v>
      </c>
      <c r="G153" s="467">
        <v>0</v>
      </c>
      <c r="H153" s="472">
        <v>3.7699999999999997E-2</v>
      </c>
      <c r="I153" s="467">
        <v>54</v>
      </c>
      <c r="J153" s="486">
        <v>41</v>
      </c>
      <c r="M153" s="600">
        <v>45718</v>
      </c>
      <c r="N153" s="470">
        <v>1.4E-3</v>
      </c>
      <c r="O153" s="467">
        <v>15567</v>
      </c>
      <c r="P153" s="471">
        <v>0.69099999999999995</v>
      </c>
      <c r="Q153" s="467">
        <v>418</v>
      </c>
      <c r="R153" s="472">
        <v>2.69E-2</v>
      </c>
      <c r="S153" s="467">
        <v>0</v>
      </c>
      <c r="T153" s="472">
        <v>5.2600000000000001E-2</v>
      </c>
      <c r="U153" s="467">
        <v>50</v>
      </c>
      <c r="V153" s="486">
        <v>68</v>
      </c>
    </row>
    <row r="154" spans="1:22">
      <c r="A154" s="600">
        <v>45719</v>
      </c>
      <c r="B154" s="470">
        <v>1.8E-3</v>
      </c>
      <c r="C154" s="467">
        <v>13547</v>
      </c>
      <c r="D154" s="471">
        <v>0.69399999999999995</v>
      </c>
      <c r="E154" s="467">
        <v>644</v>
      </c>
      <c r="F154" s="472">
        <v>4.7500000000000001E-2</v>
      </c>
      <c r="G154" s="467">
        <v>0</v>
      </c>
      <c r="H154" s="472">
        <v>3.8800000000000001E-2</v>
      </c>
      <c r="I154" s="467">
        <v>55</v>
      </c>
      <c r="J154" s="486">
        <v>41</v>
      </c>
      <c r="M154" s="600">
        <v>45719</v>
      </c>
      <c r="N154" s="470">
        <v>1.2999999999999999E-3</v>
      </c>
      <c r="O154" s="467">
        <v>16874</v>
      </c>
      <c r="P154" s="471">
        <v>0.68600000000000005</v>
      </c>
      <c r="Q154" s="467">
        <v>450</v>
      </c>
      <c r="R154" s="472">
        <v>2.6700000000000002E-2</v>
      </c>
      <c r="S154" s="467">
        <v>0</v>
      </c>
      <c r="T154" s="472">
        <v>4.8899999999999999E-2</v>
      </c>
      <c r="U154" s="467">
        <v>53</v>
      </c>
      <c r="V154" s="486">
        <v>68</v>
      </c>
    </row>
    <row r="155" spans="1:22">
      <c r="A155" s="600">
        <v>45720</v>
      </c>
      <c r="B155" s="470">
        <v>1.9E-3</v>
      </c>
      <c r="C155" s="467">
        <v>12851</v>
      </c>
      <c r="D155" s="471">
        <v>0.69599999999999995</v>
      </c>
      <c r="E155" s="467">
        <v>631</v>
      </c>
      <c r="F155" s="472">
        <v>4.9099999999999998E-2</v>
      </c>
      <c r="G155" s="467">
        <v>0</v>
      </c>
      <c r="H155" s="472">
        <v>3.9600000000000003E-2</v>
      </c>
      <c r="I155" s="467">
        <v>55</v>
      </c>
      <c r="J155" s="486">
        <v>41</v>
      </c>
      <c r="M155" s="600">
        <v>45720</v>
      </c>
      <c r="N155" s="470">
        <v>1.1999999999999999E-3</v>
      </c>
      <c r="O155" s="467">
        <v>18151</v>
      </c>
      <c r="P155" s="471">
        <v>0.68100000000000005</v>
      </c>
      <c r="Q155" s="467">
        <v>484</v>
      </c>
      <c r="R155" s="472">
        <v>2.6700000000000002E-2</v>
      </c>
      <c r="S155" s="467">
        <v>0</v>
      </c>
      <c r="T155" s="472">
        <v>4.5499999999999999E-2</v>
      </c>
      <c r="U155" s="467">
        <v>52</v>
      </c>
      <c r="V155" s="486">
        <v>59</v>
      </c>
    </row>
    <row r="156" spans="1:22">
      <c r="A156" s="600">
        <v>45721</v>
      </c>
      <c r="B156" s="470">
        <v>2.0999999999999999E-3</v>
      </c>
      <c r="C156" s="467">
        <v>12103</v>
      </c>
      <c r="D156" s="471">
        <v>0.69799999999999995</v>
      </c>
      <c r="E156" s="467">
        <v>619</v>
      </c>
      <c r="F156" s="472">
        <v>5.11E-2</v>
      </c>
      <c r="G156" s="467">
        <v>0</v>
      </c>
      <c r="H156" s="472">
        <v>4.2000000000000003E-2</v>
      </c>
      <c r="I156" s="467">
        <v>56</v>
      </c>
      <c r="J156" s="486">
        <v>41</v>
      </c>
      <c r="M156" s="600">
        <v>45721</v>
      </c>
      <c r="N156" s="470">
        <v>1.1000000000000001E-3</v>
      </c>
      <c r="O156" s="467">
        <v>19193</v>
      </c>
      <c r="P156" s="471">
        <v>0.67900000000000005</v>
      </c>
      <c r="Q156" s="467">
        <v>508</v>
      </c>
      <c r="R156" s="472">
        <v>2.6499999999999999E-2</v>
      </c>
      <c r="S156" s="467">
        <v>0</v>
      </c>
      <c r="T156" s="472">
        <v>4.3299999999999998E-2</v>
      </c>
      <c r="U156" s="467">
        <v>53</v>
      </c>
      <c r="V156" s="486">
        <v>59</v>
      </c>
    </row>
    <row r="157" spans="1:22">
      <c r="A157" s="600">
        <v>45722</v>
      </c>
      <c r="B157" s="470">
        <v>2.3E-3</v>
      </c>
      <c r="C157" s="467">
        <v>11493</v>
      </c>
      <c r="D157" s="471">
        <v>0.7</v>
      </c>
      <c r="E157" s="467">
        <v>603</v>
      </c>
      <c r="F157" s="472">
        <v>5.2499999999999998E-2</v>
      </c>
      <c r="G157" s="467">
        <v>0</v>
      </c>
      <c r="H157" s="472">
        <v>4.3099999999999999E-2</v>
      </c>
      <c r="I157" s="467">
        <v>54</v>
      </c>
      <c r="J157" s="486">
        <v>48</v>
      </c>
      <c r="M157" s="600">
        <v>45722</v>
      </c>
      <c r="N157" s="470">
        <v>1.1000000000000001E-3</v>
      </c>
      <c r="O157" s="467">
        <v>19503</v>
      </c>
      <c r="P157" s="471">
        <v>0.67800000000000005</v>
      </c>
      <c r="Q157" s="467">
        <v>524</v>
      </c>
      <c r="R157" s="472">
        <v>2.69E-2</v>
      </c>
      <c r="S157" s="467">
        <v>0</v>
      </c>
      <c r="T157" s="472">
        <v>4.2000000000000003E-2</v>
      </c>
      <c r="U157" s="467">
        <v>56</v>
      </c>
      <c r="V157" s="486">
        <v>59</v>
      </c>
    </row>
    <row r="158" spans="1:22">
      <c r="A158" s="600">
        <v>45723</v>
      </c>
      <c r="B158" s="470">
        <v>2.3E-3</v>
      </c>
      <c r="C158" s="467">
        <v>11109</v>
      </c>
      <c r="D158" s="471">
        <v>0.70299999999999996</v>
      </c>
      <c r="E158" s="467">
        <v>614</v>
      </c>
      <c r="F158" s="472">
        <v>5.5300000000000002E-2</v>
      </c>
      <c r="G158" s="467">
        <v>0</v>
      </c>
      <c r="H158" s="472">
        <v>4.2299999999999997E-2</v>
      </c>
      <c r="I158" s="467">
        <v>52</v>
      </c>
      <c r="J158" s="486">
        <v>48</v>
      </c>
      <c r="M158" s="600">
        <v>45723</v>
      </c>
      <c r="N158" s="470">
        <v>1.1000000000000001E-3</v>
      </c>
      <c r="O158" s="467">
        <v>18798</v>
      </c>
      <c r="P158" s="471">
        <v>0.67700000000000005</v>
      </c>
      <c r="Q158" s="467">
        <v>526</v>
      </c>
      <c r="R158" s="472">
        <v>2.8000000000000001E-2</v>
      </c>
      <c r="S158" s="467">
        <v>0</v>
      </c>
      <c r="T158" s="472">
        <v>3.9899999999999998E-2</v>
      </c>
      <c r="U158" s="467">
        <v>57</v>
      </c>
      <c r="V158" s="486">
        <v>59</v>
      </c>
    </row>
    <row r="159" spans="1:22">
      <c r="A159" s="600">
        <v>45724</v>
      </c>
      <c r="B159" s="470">
        <v>2.3999999999999998E-3</v>
      </c>
      <c r="C159" s="467">
        <v>11009</v>
      </c>
      <c r="D159" s="471">
        <v>0.70499999999999996</v>
      </c>
      <c r="E159" s="467">
        <v>615</v>
      </c>
      <c r="F159" s="472">
        <v>5.5899999999999998E-2</v>
      </c>
      <c r="G159" s="467">
        <v>0</v>
      </c>
      <c r="H159" s="472">
        <v>4.2299999999999997E-2</v>
      </c>
      <c r="I159" s="467">
        <v>52</v>
      </c>
      <c r="J159" s="486">
        <v>48</v>
      </c>
      <c r="M159" s="600">
        <v>45724</v>
      </c>
      <c r="N159" s="470">
        <v>1.1999999999999999E-3</v>
      </c>
      <c r="O159" s="467">
        <v>17275</v>
      </c>
      <c r="P159" s="471">
        <v>0.67300000000000004</v>
      </c>
      <c r="Q159" s="467">
        <v>503</v>
      </c>
      <c r="R159" s="472">
        <v>2.9100000000000001E-2</v>
      </c>
      <c r="S159" s="467">
        <v>0</v>
      </c>
      <c r="T159" s="472">
        <v>4.1700000000000001E-2</v>
      </c>
      <c r="U159" s="467">
        <v>57</v>
      </c>
      <c r="V159" s="486">
        <v>59</v>
      </c>
    </row>
    <row r="160" spans="1:22">
      <c r="A160" s="600">
        <v>45725</v>
      </c>
      <c r="B160" s="470">
        <v>2.3999999999999998E-3</v>
      </c>
      <c r="C160" s="467">
        <v>11325</v>
      </c>
      <c r="D160" s="471">
        <v>0.71099999999999997</v>
      </c>
      <c r="E160" s="467">
        <v>632</v>
      </c>
      <c r="F160" s="472">
        <v>5.5800000000000002E-2</v>
      </c>
      <c r="G160" s="467">
        <v>0</v>
      </c>
      <c r="H160" s="472">
        <v>4.2700000000000002E-2</v>
      </c>
      <c r="I160" s="467">
        <v>53</v>
      </c>
      <c r="J160" s="486">
        <v>48</v>
      </c>
      <c r="M160" s="600">
        <v>45725</v>
      </c>
      <c r="N160" s="470">
        <v>1.2999999999999999E-3</v>
      </c>
      <c r="O160" s="467">
        <v>15640</v>
      </c>
      <c r="P160" s="471">
        <v>0.67300000000000004</v>
      </c>
      <c r="Q160" s="467">
        <v>462</v>
      </c>
      <c r="R160" s="472">
        <v>2.9499999999999998E-2</v>
      </c>
      <c r="S160" s="467">
        <v>0</v>
      </c>
      <c r="T160" s="472">
        <v>4.3299999999999998E-2</v>
      </c>
      <c r="U160" s="467">
        <v>55</v>
      </c>
      <c r="V160" s="486">
        <v>70</v>
      </c>
    </row>
    <row r="161" spans="1:22">
      <c r="A161" s="600">
        <v>45726</v>
      </c>
      <c r="B161" s="470">
        <v>2.3E-3</v>
      </c>
      <c r="C161" s="467">
        <v>11719</v>
      </c>
      <c r="D161" s="471">
        <v>0.71499999999999997</v>
      </c>
      <c r="E161" s="467">
        <v>662</v>
      </c>
      <c r="F161" s="472">
        <v>5.6500000000000002E-2</v>
      </c>
      <c r="G161" s="467">
        <v>0</v>
      </c>
      <c r="H161" s="472">
        <v>4.0800000000000003E-2</v>
      </c>
      <c r="I161" s="467">
        <v>51</v>
      </c>
      <c r="J161" s="486">
        <v>27</v>
      </c>
      <c r="M161" s="600">
        <v>45726</v>
      </c>
      <c r="N161" s="470">
        <v>1.2999999999999999E-3</v>
      </c>
      <c r="O161" s="467">
        <v>14703</v>
      </c>
      <c r="P161" s="471">
        <v>0.67600000000000005</v>
      </c>
      <c r="Q161" s="467">
        <v>423</v>
      </c>
      <c r="R161" s="472">
        <v>2.8799999999999999E-2</v>
      </c>
      <c r="S161" s="467">
        <v>0</v>
      </c>
      <c r="T161" s="472">
        <v>4.4900000000000002E-2</v>
      </c>
      <c r="U161" s="467">
        <v>56</v>
      </c>
      <c r="V161" s="486">
        <v>70</v>
      </c>
    </row>
    <row r="162" spans="1:22">
      <c r="A162" s="600">
        <v>45727</v>
      </c>
      <c r="B162" s="470">
        <v>2.2000000000000001E-3</v>
      </c>
      <c r="C162" s="467">
        <v>12260</v>
      </c>
      <c r="D162" s="471">
        <v>0.71699999999999997</v>
      </c>
      <c r="E162" s="467">
        <v>691</v>
      </c>
      <c r="F162" s="472">
        <v>5.6399999999999999E-2</v>
      </c>
      <c r="G162" s="467">
        <v>0</v>
      </c>
      <c r="H162" s="472">
        <v>3.9100000000000003E-2</v>
      </c>
      <c r="I162" s="467">
        <v>48</v>
      </c>
      <c r="J162" s="486">
        <v>27</v>
      </c>
      <c r="M162" s="600">
        <v>45727</v>
      </c>
      <c r="N162" s="470">
        <v>1.1999999999999999E-3</v>
      </c>
      <c r="O162" s="467">
        <v>14823</v>
      </c>
      <c r="P162" s="471">
        <v>0.67700000000000005</v>
      </c>
      <c r="Q162" s="467">
        <v>391</v>
      </c>
      <c r="R162" s="472">
        <v>2.64E-2</v>
      </c>
      <c r="S162" s="467">
        <v>0</v>
      </c>
      <c r="T162" s="472">
        <v>4.5999999999999999E-2</v>
      </c>
      <c r="U162" s="467">
        <v>57</v>
      </c>
      <c r="V162" s="486">
        <v>70</v>
      </c>
    </row>
    <row r="163" spans="1:22">
      <c r="A163" s="600">
        <v>45728</v>
      </c>
      <c r="B163" s="470">
        <v>2.0999999999999999E-3</v>
      </c>
      <c r="C163" s="467">
        <v>12958</v>
      </c>
      <c r="D163" s="471">
        <v>0.72</v>
      </c>
      <c r="E163" s="467">
        <v>727</v>
      </c>
      <c r="F163" s="472">
        <v>5.6099999999999997E-2</v>
      </c>
      <c r="G163" s="467">
        <v>0</v>
      </c>
      <c r="H163" s="472">
        <v>3.7100000000000001E-2</v>
      </c>
      <c r="I163" s="467">
        <v>46</v>
      </c>
      <c r="J163" s="486">
        <v>26</v>
      </c>
      <c r="M163" s="600">
        <v>45728</v>
      </c>
      <c r="N163" s="470">
        <v>1.1000000000000001E-3</v>
      </c>
      <c r="O163" s="467">
        <v>15947</v>
      </c>
      <c r="P163" s="471">
        <v>0.67600000000000005</v>
      </c>
      <c r="Q163" s="467">
        <v>388</v>
      </c>
      <c r="R163" s="472">
        <v>2.4299999999999999E-2</v>
      </c>
      <c r="S163" s="467">
        <v>0</v>
      </c>
      <c r="T163" s="472">
        <v>4.3799999999999999E-2</v>
      </c>
      <c r="U163" s="467">
        <v>58</v>
      </c>
      <c r="V163" s="486">
        <v>77</v>
      </c>
    </row>
    <row r="164" spans="1:22">
      <c r="A164" s="600">
        <v>45729</v>
      </c>
      <c r="B164" s="470">
        <v>2E-3</v>
      </c>
      <c r="C164" s="467">
        <v>13738</v>
      </c>
      <c r="D164" s="471">
        <v>0.72</v>
      </c>
      <c r="E164" s="467">
        <v>757</v>
      </c>
      <c r="F164" s="472">
        <v>5.5100000000000003E-2</v>
      </c>
      <c r="G164" s="467">
        <v>0</v>
      </c>
      <c r="H164" s="472">
        <v>3.5700000000000003E-2</v>
      </c>
      <c r="I164" s="467">
        <v>40</v>
      </c>
      <c r="J164" s="486">
        <v>26</v>
      </c>
      <c r="M164" s="600">
        <v>45729</v>
      </c>
      <c r="N164" s="470">
        <v>8.9999999999999998E-4</v>
      </c>
      <c r="O164" s="467">
        <v>17367</v>
      </c>
      <c r="P164" s="471">
        <v>0.67500000000000004</v>
      </c>
      <c r="Q164" s="467">
        <v>412</v>
      </c>
      <c r="R164" s="472">
        <v>2.3699999999999999E-2</v>
      </c>
      <c r="S164" s="467">
        <v>0</v>
      </c>
      <c r="T164" s="472">
        <v>3.8800000000000001E-2</v>
      </c>
      <c r="U164" s="467">
        <v>58</v>
      </c>
      <c r="V164" s="486">
        <v>77</v>
      </c>
    </row>
    <row r="165" spans="1:22">
      <c r="A165" s="600">
        <v>45730</v>
      </c>
      <c r="B165" s="470">
        <v>1.9E-3</v>
      </c>
      <c r="C165" s="467">
        <v>14391</v>
      </c>
      <c r="D165" s="471">
        <v>0.71899999999999997</v>
      </c>
      <c r="E165" s="467">
        <v>789</v>
      </c>
      <c r="F165" s="472">
        <v>5.4800000000000001E-2</v>
      </c>
      <c r="G165" s="467">
        <v>0</v>
      </c>
      <c r="H165" s="472">
        <v>3.4200000000000001E-2</v>
      </c>
      <c r="I165" s="467">
        <v>36</v>
      </c>
      <c r="J165" s="486">
        <v>26</v>
      </c>
      <c r="M165" s="600">
        <v>45730</v>
      </c>
      <c r="N165" s="470">
        <v>8.0000000000000004E-4</v>
      </c>
      <c r="O165" s="467">
        <v>17914</v>
      </c>
      <c r="P165" s="471">
        <v>0.67400000000000004</v>
      </c>
      <c r="Q165" s="467">
        <v>440</v>
      </c>
      <c r="R165" s="472">
        <v>2.46E-2</v>
      </c>
      <c r="S165" s="467">
        <v>0</v>
      </c>
      <c r="T165" s="472">
        <v>3.4099999999999998E-2</v>
      </c>
      <c r="U165" s="467">
        <v>59</v>
      </c>
      <c r="V165" s="486">
        <v>77</v>
      </c>
    </row>
    <row r="166" spans="1:22">
      <c r="A166" s="600">
        <v>45731</v>
      </c>
      <c r="B166" s="470">
        <v>1.8E-3</v>
      </c>
      <c r="C166" s="467">
        <v>14915</v>
      </c>
      <c r="D166" s="471">
        <v>0.72399999999999998</v>
      </c>
      <c r="E166" s="467">
        <v>808</v>
      </c>
      <c r="F166" s="472">
        <v>5.4199999999999998E-2</v>
      </c>
      <c r="G166" s="467">
        <v>0</v>
      </c>
      <c r="H166" s="472">
        <v>3.3399999999999999E-2</v>
      </c>
      <c r="I166" s="467">
        <v>35</v>
      </c>
      <c r="J166" s="486">
        <v>31</v>
      </c>
      <c r="M166" s="600">
        <v>45731</v>
      </c>
      <c r="N166" s="470">
        <v>8.0000000000000004E-4</v>
      </c>
      <c r="O166" s="467">
        <v>18112</v>
      </c>
      <c r="P166" s="471">
        <v>0.67500000000000004</v>
      </c>
      <c r="Q166" s="467">
        <v>442</v>
      </c>
      <c r="R166" s="472">
        <v>2.4400000000000002E-2</v>
      </c>
      <c r="S166" s="467">
        <v>0</v>
      </c>
      <c r="T166" s="472">
        <v>3.39E-2</v>
      </c>
      <c r="U166" s="467">
        <v>60</v>
      </c>
      <c r="V166" s="486">
        <v>72</v>
      </c>
    </row>
    <row r="167" spans="1:22">
      <c r="A167" s="600">
        <v>45732</v>
      </c>
      <c r="B167" s="470">
        <v>1.8E-3</v>
      </c>
      <c r="C167" s="467">
        <v>15377</v>
      </c>
      <c r="D167" s="471">
        <v>0.73</v>
      </c>
      <c r="E167" s="467">
        <v>830</v>
      </c>
      <c r="F167" s="472">
        <v>5.3999999999999999E-2</v>
      </c>
      <c r="G167" s="467">
        <v>0</v>
      </c>
      <c r="H167" s="472">
        <v>3.2500000000000001E-2</v>
      </c>
      <c r="I167" s="467">
        <v>34</v>
      </c>
      <c r="J167" s="486">
        <v>31</v>
      </c>
      <c r="M167" s="600">
        <v>45732</v>
      </c>
      <c r="N167" s="470">
        <v>8.9999999999999998E-4</v>
      </c>
      <c r="O167" s="467">
        <v>17359</v>
      </c>
      <c r="P167" s="471">
        <v>0.67400000000000004</v>
      </c>
      <c r="Q167" s="467">
        <v>444</v>
      </c>
      <c r="R167" s="472">
        <v>2.5600000000000001E-2</v>
      </c>
      <c r="S167" s="467">
        <v>0</v>
      </c>
      <c r="T167" s="472">
        <v>3.3799999999999997E-2</v>
      </c>
      <c r="U167" s="467">
        <v>59</v>
      </c>
      <c r="V167" s="486">
        <v>72</v>
      </c>
    </row>
    <row r="168" spans="1:22">
      <c r="A168" s="600">
        <v>45733</v>
      </c>
      <c r="B168" s="470">
        <v>1.6999999999999999E-3</v>
      </c>
      <c r="C168" s="467">
        <v>15790</v>
      </c>
      <c r="D168" s="471">
        <v>0.73399999999999999</v>
      </c>
      <c r="E168" s="467">
        <v>856</v>
      </c>
      <c r="F168" s="472">
        <v>5.4199999999999998E-2</v>
      </c>
      <c r="G168" s="467">
        <v>0</v>
      </c>
      <c r="H168" s="472">
        <v>3.15E-2</v>
      </c>
      <c r="I168" s="467">
        <v>33</v>
      </c>
      <c r="J168" s="486">
        <v>31</v>
      </c>
      <c r="M168" s="600">
        <v>45733</v>
      </c>
      <c r="N168" s="470">
        <v>8.9999999999999998E-4</v>
      </c>
      <c r="O168" s="467">
        <v>16038</v>
      </c>
      <c r="P168" s="471">
        <v>0.67200000000000004</v>
      </c>
      <c r="Q168" s="467">
        <v>416</v>
      </c>
      <c r="R168" s="472">
        <v>2.5899999999999999E-2</v>
      </c>
      <c r="S168" s="467">
        <v>0</v>
      </c>
      <c r="T168" s="472">
        <v>3.61E-2</v>
      </c>
      <c r="U168" s="467">
        <v>60</v>
      </c>
      <c r="V168" s="486">
        <v>85</v>
      </c>
    </row>
    <row r="169" spans="1:22">
      <c r="A169" s="600">
        <v>45734</v>
      </c>
      <c r="B169" s="470">
        <v>1.6999999999999999E-3</v>
      </c>
      <c r="C169" s="467">
        <v>16197</v>
      </c>
      <c r="D169" s="471">
        <v>0.73899999999999999</v>
      </c>
      <c r="E169" s="467">
        <v>878</v>
      </c>
      <c r="F169" s="472">
        <v>5.4199999999999998E-2</v>
      </c>
      <c r="G169" s="467">
        <v>0</v>
      </c>
      <c r="H169" s="472">
        <v>3.0800000000000001E-2</v>
      </c>
      <c r="I169" s="467">
        <v>34</v>
      </c>
      <c r="J169" s="486">
        <v>31</v>
      </c>
      <c r="M169" s="600">
        <v>45734</v>
      </c>
      <c r="N169" s="470">
        <v>1E-3</v>
      </c>
      <c r="O169" s="467">
        <v>14767</v>
      </c>
      <c r="P169" s="471">
        <v>0.66900000000000004</v>
      </c>
      <c r="Q169" s="467">
        <v>395</v>
      </c>
      <c r="R169" s="472">
        <v>2.6700000000000002E-2</v>
      </c>
      <c r="S169" s="467">
        <v>0</v>
      </c>
      <c r="T169" s="472">
        <v>3.7999999999999999E-2</v>
      </c>
      <c r="U169" s="467">
        <v>62</v>
      </c>
      <c r="V169" s="486">
        <v>85</v>
      </c>
    </row>
    <row r="170" spans="1:22">
      <c r="A170" s="600">
        <v>45735</v>
      </c>
      <c r="B170" s="470">
        <v>1.6999999999999999E-3</v>
      </c>
      <c r="C170" s="467">
        <v>16245</v>
      </c>
      <c r="D170" s="471">
        <v>0.74299999999999999</v>
      </c>
      <c r="E170" s="467">
        <v>894</v>
      </c>
      <c r="F170" s="472">
        <v>5.5E-2</v>
      </c>
      <c r="G170" s="467">
        <v>0</v>
      </c>
      <c r="H170" s="472">
        <v>3.0200000000000001E-2</v>
      </c>
      <c r="I170" s="467">
        <v>34</v>
      </c>
      <c r="J170" s="486">
        <v>31</v>
      </c>
      <c r="M170" s="600">
        <v>45735</v>
      </c>
      <c r="N170" s="470">
        <v>1E-3</v>
      </c>
      <c r="O170" s="467">
        <v>14570</v>
      </c>
      <c r="P170" s="471">
        <v>0.66600000000000004</v>
      </c>
      <c r="Q170" s="467">
        <v>377</v>
      </c>
      <c r="R170" s="472">
        <v>2.5899999999999999E-2</v>
      </c>
      <c r="S170" s="467">
        <v>0</v>
      </c>
      <c r="T170" s="472">
        <v>3.9800000000000002E-2</v>
      </c>
      <c r="U170" s="467">
        <v>62</v>
      </c>
      <c r="V170" s="486">
        <v>85</v>
      </c>
    </row>
    <row r="171" spans="1:22">
      <c r="A171" s="600">
        <v>45736</v>
      </c>
      <c r="B171" s="470">
        <v>1.6999999999999999E-3</v>
      </c>
      <c r="C171" s="467">
        <v>15828</v>
      </c>
      <c r="D171" s="471">
        <v>0.74399999999999999</v>
      </c>
      <c r="E171" s="467">
        <v>904</v>
      </c>
      <c r="F171" s="472">
        <v>5.7099999999999998E-2</v>
      </c>
      <c r="G171" s="467">
        <v>0</v>
      </c>
      <c r="H171" s="472">
        <v>2.9899999999999999E-2</v>
      </c>
      <c r="I171" s="467">
        <v>32</v>
      </c>
      <c r="J171" s="486">
        <v>31</v>
      </c>
      <c r="M171" s="600">
        <v>45736</v>
      </c>
      <c r="N171" s="470">
        <v>8.9999999999999998E-4</v>
      </c>
      <c r="O171" s="467">
        <v>14952</v>
      </c>
      <c r="P171" s="471">
        <v>0.66300000000000003</v>
      </c>
      <c r="Q171" s="467">
        <v>392</v>
      </c>
      <c r="R171" s="472">
        <v>2.6200000000000001E-2</v>
      </c>
      <c r="S171" s="467">
        <v>0</v>
      </c>
      <c r="T171" s="472">
        <v>3.5700000000000003E-2</v>
      </c>
      <c r="U171" s="467">
        <v>62</v>
      </c>
      <c r="V171" s="486">
        <v>30</v>
      </c>
    </row>
    <row r="172" spans="1:22">
      <c r="A172" s="600">
        <v>45737</v>
      </c>
      <c r="B172" s="470">
        <v>1.8E-3</v>
      </c>
      <c r="C172" s="467">
        <v>15167</v>
      </c>
      <c r="D172" s="471">
        <v>0.747</v>
      </c>
      <c r="E172" s="467">
        <v>901</v>
      </c>
      <c r="F172" s="472">
        <v>5.9400000000000001E-2</v>
      </c>
      <c r="G172" s="467">
        <v>0</v>
      </c>
      <c r="H172" s="472">
        <v>0.03</v>
      </c>
      <c r="I172" s="467">
        <v>33</v>
      </c>
      <c r="J172" s="486">
        <v>31</v>
      </c>
      <c r="M172" s="600">
        <v>45737</v>
      </c>
      <c r="N172" s="470">
        <v>8.9999999999999998E-4</v>
      </c>
      <c r="O172" s="467">
        <v>15252</v>
      </c>
      <c r="P172" s="471">
        <v>0.66100000000000003</v>
      </c>
      <c r="Q172" s="467">
        <v>408</v>
      </c>
      <c r="R172" s="472">
        <v>2.6800000000000001E-2</v>
      </c>
      <c r="S172" s="467">
        <v>0</v>
      </c>
      <c r="T172" s="472">
        <v>3.4299999999999997E-2</v>
      </c>
      <c r="U172" s="467">
        <v>65</v>
      </c>
      <c r="V172" s="486">
        <v>38</v>
      </c>
    </row>
    <row r="173" spans="1:22">
      <c r="A173" s="600">
        <v>45738</v>
      </c>
      <c r="B173" s="470">
        <v>1.9E-3</v>
      </c>
      <c r="C173" s="467">
        <v>14490</v>
      </c>
      <c r="D173" s="471">
        <v>0.746</v>
      </c>
      <c r="E173" s="467">
        <v>900</v>
      </c>
      <c r="F173" s="472">
        <v>6.2100000000000002E-2</v>
      </c>
      <c r="G173" s="467">
        <v>0</v>
      </c>
      <c r="H173" s="472">
        <v>0.03</v>
      </c>
      <c r="I173" s="467">
        <v>34</v>
      </c>
      <c r="J173" s="486">
        <v>37</v>
      </c>
      <c r="M173" s="600">
        <v>45738</v>
      </c>
      <c r="N173" s="470">
        <v>8.9999999999999998E-4</v>
      </c>
      <c r="O173" s="467">
        <v>15553</v>
      </c>
      <c r="P173" s="471">
        <v>0.66100000000000003</v>
      </c>
      <c r="Q173" s="467">
        <v>425</v>
      </c>
      <c r="R173" s="472">
        <v>2.7300000000000001E-2</v>
      </c>
      <c r="S173" s="467">
        <v>0</v>
      </c>
      <c r="T173" s="472">
        <v>3.2899999999999999E-2</v>
      </c>
      <c r="U173" s="467">
        <v>68</v>
      </c>
      <c r="V173" s="486">
        <v>38</v>
      </c>
    </row>
    <row r="174" spans="1:22">
      <c r="A174" s="600">
        <v>45739</v>
      </c>
      <c r="B174" s="470">
        <v>2E-3</v>
      </c>
      <c r="C174" s="467">
        <v>13932</v>
      </c>
      <c r="D174" s="471">
        <v>0.751</v>
      </c>
      <c r="E174" s="467">
        <v>895</v>
      </c>
      <c r="F174" s="472">
        <v>6.4199999999999993E-2</v>
      </c>
      <c r="G174" s="467">
        <v>0</v>
      </c>
      <c r="H174" s="472">
        <v>3.1300000000000001E-2</v>
      </c>
      <c r="I174" s="467">
        <v>32</v>
      </c>
      <c r="J174" s="486">
        <v>37</v>
      </c>
      <c r="M174" s="600">
        <v>45739</v>
      </c>
      <c r="N174" s="470">
        <v>8.9999999999999998E-4</v>
      </c>
      <c r="O174" s="467">
        <v>15815</v>
      </c>
      <c r="P174" s="471">
        <v>0.66</v>
      </c>
      <c r="Q174" s="467">
        <v>440</v>
      </c>
      <c r="R174" s="472">
        <v>2.7799999999999998E-2</v>
      </c>
      <c r="S174" s="467">
        <v>0</v>
      </c>
      <c r="T174" s="472">
        <v>3.1800000000000002E-2</v>
      </c>
      <c r="U174" s="467">
        <v>66</v>
      </c>
      <c r="V174" s="486">
        <v>38</v>
      </c>
    </row>
    <row r="175" spans="1:22">
      <c r="A175" s="600">
        <v>45740</v>
      </c>
      <c r="B175" s="470">
        <v>2.0999999999999999E-3</v>
      </c>
      <c r="C175" s="467">
        <v>13846</v>
      </c>
      <c r="D175" s="471">
        <v>0.754</v>
      </c>
      <c r="E175" s="467">
        <v>896</v>
      </c>
      <c r="F175" s="472">
        <v>6.4699999999999994E-2</v>
      </c>
      <c r="G175" s="467">
        <v>0</v>
      </c>
      <c r="H175" s="472">
        <v>3.2399999999999998E-2</v>
      </c>
      <c r="I175" s="467">
        <v>34</v>
      </c>
      <c r="J175" s="486">
        <v>37</v>
      </c>
      <c r="M175" s="600">
        <v>45740</v>
      </c>
      <c r="N175" s="470">
        <v>8.9999999999999998E-4</v>
      </c>
      <c r="O175" s="467">
        <v>16037</v>
      </c>
      <c r="P175" s="471">
        <v>0.65900000000000003</v>
      </c>
      <c r="Q175" s="467">
        <v>453</v>
      </c>
      <c r="R175" s="472">
        <v>2.8199999999999999E-2</v>
      </c>
      <c r="S175" s="467">
        <v>0</v>
      </c>
      <c r="T175" s="472">
        <v>3.3099999999999997E-2</v>
      </c>
      <c r="U175" s="467">
        <v>70</v>
      </c>
      <c r="V175" s="486">
        <v>38</v>
      </c>
    </row>
    <row r="176" spans="1:22">
      <c r="A176" s="600">
        <v>45741</v>
      </c>
      <c r="B176" s="470">
        <v>2.0999999999999999E-3</v>
      </c>
      <c r="C176" s="467">
        <v>14171</v>
      </c>
      <c r="D176" s="471">
        <v>0.75800000000000001</v>
      </c>
      <c r="E176" s="467">
        <v>926</v>
      </c>
      <c r="F176" s="472">
        <v>6.5299999999999997E-2</v>
      </c>
      <c r="G176" s="467">
        <v>0</v>
      </c>
      <c r="H176" s="472">
        <v>3.2399999999999998E-2</v>
      </c>
      <c r="I176" s="467">
        <v>39</v>
      </c>
      <c r="J176" s="486">
        <v>31</v>
      </c>
      <c r="M176" s="600">
        <v>45741</v>
      </c>
      <c r="N176" s="470">
        <v>1E-3</v>
      </c>
      <c r="O176" s="467">
        <v>16215</v>
      </c>
      <c r="P176" s="471">
        <v>0.65900000000000003</v>
      </c>
      <c r="Q176" s="467">
        <v>461</v>
      </c>
      <c r="R176" s="472">
        <v>2.8400000000000002E-2</v>
      </c>
      <c r="S176" s="467">
        <v>0</v>
      </c>
      <c r="T176" s="472">
        <v>3.4700000000000002E-2</v>
      </c>
      <c r="U176" s="467">
        <v>75</v>
      </c>
      <c r="V176" s="486">
        <v>38</v>
      </c>
    </row>
    <row r="177" spans="1:22">
      <c r="A177" s="600">
        <v>45742</v>
      </c>
      <c r="B177" s="470">
        <v>2.0999999999999999E-3</v>
      </c>
      <c r="C177" s="467">
        <v>14364</v>
      </c>
      <c r="D177" s="471">
        <v>0.76100000000000001</v>
      </c>
      <c r="E177" s="467">
        <v>948</v>
      </c>
      <c r="F177" s="472">
        <v>6.6000000000000003E-2</v>
      </c>
      <c r="G177" s="467">
        <v>0</v>
      </c>
      <c r="H177" s="472">
        <v>3.1600000000000003E-2</v>
      </c>
      <c r="I177" s="467">
        <v>42</v>
      </c>
      <c r="J177" s="486">
        <v>36</v>
      </c>
      <c r="M177" s="600">
        <v>45742</v>
      </c>
      <c r="N177" s="470">
        <v>1E-3</v>
      </c>
      <c r="O177" s="467">
        <v>16352</v>
      </c>
      <c r="P177" s="471">
        <v>0.65600000000000003</v>
      </c>
      <c r="Q177" s="467">
        <v>467</v>
      </c>
      <c r="R177" s="472">
        <v>2.86E-2</v>
      </c>
      <c r="S177" s="467">
        <v>0</v>
      </c>
      <c r="T177" s="472">
        <v>3.6400000000000002E-2</v>
      </c>
      <c r="U177" s="467">
        <v>76</v>
      </c>
      <c r="V177" s="486">
        <v>38</v>
      </c>
    </row>
    <row r="178" spans="1:22">
      <c r="A178" s="600">
        <v>45743</v>
      </c>
      <c r="B178" s="470">
        <v>2E-3</v>
      </c>
      <c r="C178" s="467">
        <v>14338</v>
      </c>
      <c r="D178" s="471">
        <v>0.76100000000000001</v>
      </c>
      <c r="E178" s="467">
        <v>942</v>
      </c>
      <c r="F178" s="472">
        <v>6.5699999999999995E-2</v>
      </c>
      <c r="G178" s="467">
        <v>0</v>
      </c>
      <c r="H178" s="472">
        <v>3.0800000000000001E-2</v>
      </c>
      <c r="I178" s="467">
        <v>43</v>
      </c>
      <c r="J178" s="486">
        <v>36</v>
      </c>
      <c r="M178" s="600">
        <v>45743</v>
      </c>
      <c r="N178" s="470">
        <v>1.1000000000000001E-3</v>
      </c>
      <c r="O178" s="467">
        <v>16412</v>
      </c>
      <c r="P178" s="471">
        <v>0.65700000000000003</v>
      </c>
      <c r="Q178" s="467">
        <v>471</v>
      </c>
      <c r="R178" s="472">
        <v>2.87E-2</v>
      </c>
      <c r="S178" s="467">
        <v>0</v>
      </c>
      <c r="T178" s="472">
        <v>3.8199999999999998E-2</v>
      </c>
      <c r="U178" s="467">
        <v>74</v>
      </c>
      <c r="V178" s="486">
        <v>38</v>
      </c>
    </row>
    <row r="179" spans="1:22">
      <c r="A179" s="600">
        <v>45744</v>
      </c>
      <c r="B179" s="470">
        <v>1.9E-3</v>
      </c>
      <c r="C179" s="467">
        <v>14361</v>
      </c>
      <c r="D179" s="471">
        <v>0.76500000000000001</v>
      </c>
      <c r="E179" s="467">
        <v>935</v>
      </c>
      <c r="F179" s="472">
        <v>6.5100000000000005E-2</v>
      </c>
      <c r="G179" s="467">
        <v>0</v>
      </c>
      <c r="H179" s="472">
        <v>2.9899999999999999E-2</v>
      </c>
      <c r="I179" s="467">
        <v>43</v>
      </c>
      <c r="J179" s="486">
        <v>36</v>
      </c>
      <c r="M179" s="600">
        <v>45744</v>
      </c>
      <c r="N179" s="470">
        <v>1.1000000000000001E-3</v>
      </c>
      <c r="O179" s="467">
        <v>16412</v>
      </c>
      <c r="P179" s="471">
        <v>0.65900000000000003</v>
      </c>
      <c r="Q179" s="467">
        <v>472</v>
      </c>
      <c r="R179" s="472">
        <v>2.8799999999999999E-2</v>
      </c>
      <c r="S179" s="467">
        <v>0</v>
      </c>
      <c r="T179" s="472">
        <v>3.8100000000000002E-2</v>
      </c>
      <c r="U179" s="467">
        <v>77</v>
      </c>
      <c r="V179" s="486">
        <v>38</v>
      </c>
    </row>
    <row r="180" spans="1:22">
      <c r="A180" s="600">
        <v>45745</v>
      </c>
      <c r="B180" s="470">
        <v>1.9E-3</v>
      </c>
      <c r="C180" s="467">
        <v>14386</v>
      </c>
      <c r="D180" s="471">
        <v>0.76900000000000002</v>
      </c>
      <c r="E180" s="467">
        <v>926</v>
      </c>
      <c r="F180" s="472">
        <v>6.4399999999999999E-2</v>
      </c>
      <c r="G180" s="467">
        <v>0</v>
      </c>
      <c r="H180" s="472">
        <v>2.92E-2</v>
      </c>
      <c r="I180" s="467">
        <v>42</v>
      </c>
      <c r="J180" s="486">
        <v>36</v>
      </c>
      <c r="M180" s="600">
        <v>45745</v>
      </c>
      <c r="N180" s="470">
        <v>1.1000000000000001E-3</v>
      </c>
      <c r="O180" s="467">
        <v>16486</v>
      </c>
      <c r="P180" s="471">
        <v>0.65700000000000003</v>
      </c>
      <c r="Q180" s="467">
        <v>472</v>
      </c>
      <c r="R180" s="472">
        <v>2.86E-2</v>
      </c>
      <c r="S180" s="467">
        <v>0</v>
      </c>
      <c r="T180" s="472">
        <v>3.8100000000000002E-2</v>
      </c>
      <c r="U180" s="467">
        <v>80</v>
      </c>
      <c r="V180" s="486">
        <v>38</v>
      </c>
    </row>
    <row r="181" spans="1:22">
      <c r="A181" s="600">
        <v>45746</v>
      </c>
      <c r="B181" s="470">
        <v>1.8E-3</v>
      </c>
      <c r="C181" s="467">
        <v>14390</v>
      </c>
      <c r="D181" s="471">
        <v>0.77100000000000002</v>
      </c>
      <c r="E181" s="467">
        <v>913</v>
      </c>
      <c r="F181" s="472">
        <v>6.3399999999999998E-2</v>
      </c>
      <c r="G181" s="467">
        <v>0</v>
      </c>
      <c r="H181" s="472">
        <v>2.8500000000000001E-2</v>
      </c>
      <c r="I181" s="467">
        <v>42</v>
      </c>
      <c r="J181" s="486">
        <v>36</v>
      </c>
      <c r="M181" s="600">
        <v>45746</v>
      </c>
      <c r="N181" s="470">
        <v>1.1000000000000001E-3</v>
      </c>
      <c r="O181" s="467">
        <v>16646</v>
      </c>
      <c r="P181" s="471">
        <v>0.65900000000000003</v>
      </c>
      <c r="Q181" s="467">
        <v>475</v>
      </c>
      <c r="R181" s="472">
        <v>2.8500000000000001E-2</v>
      </c>
      <c r="S181" s="467">
        <v>0</v>
      </c>
      <c r="T181" s="472">
        <v>3.7900000000000003E-2</v>
      </c>
      <c r="U181" s="467">
        <v>84</v>
      </c>
      <c r="V181" s="486">
        <v>38</v>
      </c>
    </row>
    <row r="182" spans="1:22">
      <c r="A182" s="600">
        <v>45747</v>
      </c>
      <c r="B182" s="470">
        <v>1.6000000000000001E-3</v>
      </c>
      <c r="C182" s="467">
        <v>15422</v>
      </c>
      <c r="D182" s="471">
        <v>0.76900000000000002</v>
      </c>
      <c r="E182" s="467">
        <v>889</v>
      </c>
      <c r="F182" s="472">
        <v>5.7599999999999998E-2</v>
      </c>
      <c r="G182" s="467">
        <v>0</v>
      </c>
      <c r="H182" s="472">
        <v>2.81E-2</v>
      </c>
      <c r="I182" s="467">
        <v>44</v>
      </c>
      <c r="J182" s="486">
        <v>36</v>
      </c>
      <c r="M182" s="600">
        <v>45747</v>
      </c>
      <c r="N182" s="470">
        <v>1.1000000000000001E-3</v>
      </c>
      <c r="O182" s="467">
        <v>16430</v>
      </c>
      <c r="P182" s="471">
        <v>0.66</v>
      </c>
      <c r="Q182" s="467">
        <v>478</v>
      </c>
      <c r="R182" s="472">
        <v>2.9100000000000001E-2</v>
      </c>
      <c r="S182" s="467">
        <v>0</v>
      </c>
      <c r="T182" s="472">
        <v>3.7699999999999997E-2</v>
      </c>
      <c r="U182" s="467">
        <v>87</v>
      </c>
      <c r="V182" s="486">
        <v>38</v>
      </c>
    </row>
    <row r="183" spans="1:22">
      <c r="A183" s="600">
        <v>45748</v>
      </c>
      <c r="B183" s="470">
        <v>1.4E-3</v>
      </c>
      <c r="C183" s="467">
        <v>17271</v>
      </c>
      <c r="D183" s="471">
        <v>0.76600000000000001</v>
      </c>
      <c r="E183" s="467">
        <v>954</v>
      </c>
      <c r="F183" s="472">
        <v>5.5199999999999999E-2</v>
      </c>
      <c r="G183" s="467">
        <v>0</v>
      </c>
      <c r="H183" s="472">
        <v>2.6200000000000001E-2</v>
      </c>
      <c r="I183" s="467">
        <v>49</v>
      </c>
      <c r="J183" s="486">
        <v>30</v>
      </c>
      <c r="M183" s="600">
        <v>45748</v>
      </c>
      <c r="N183" s="470">
        <v>1.1000000000000001E-3</v>
      </c>
      <c r="O183" s="467">
        <v>15827</v>
      </c>
      <c r="P183" s="471">
        <v>0.66100000000000003</v>
      </c>
      <c r="Q183" s="467">
        <v>462</v>
      </c>
      <c r="R183" s="472">
        <v>2.92E-2</v>
      </c>
      <c r="S183" s="467">
        <v>0</v>
      </c>
      <c r="T183" s="472">
        <v>3.6799999999999999E-2</v>
      </c>
      <c r="U183" s="467">
        <v>90</v>
      </c>
      <c r="V183" s="486">
        <v>42</v>
      </c>
    </row>
    <row r="184" spans="1:22">
      <c r="A184" s="600">
        <v>45749</v>
      </c>
      <c r="B184" s="470">
        <v>1.4E-3</v>
      </c>
      <c r="C184" s="467">
        <v>19111</v>
      </c>
      <c r="D184" s="471">
        <v>0.76</v>
      </c>
      <c r="E184" s="467">
        <v>1033</v>
      </c>
      <c r="F184" s="472">
        <v>5.4100000000000002E-2</v>
      </c>
      <c r="G184" s="467">
        <v>0</v>
      </c>
      <c r="H184" s="472">
        <v>2.52E-2</v>
      </c>
      <c r="I184" s="467">
        <v>50</v>
      </c>
      <c r="J184" s="486">
        <v>30</v>
      </c>
      <c r="M184" s="600">
        <v>45749</v>
      </c>
      <c r="N184" s="470">
        <v>1.1000000000000001E-3</v>
      </c>
      <c r="O184" s="467">
        <v>14998</v>
      </c>
      <c r="P184" s="471">
        <v>0.66500000000000004</v>
      </c>
      <c r="Q184" s="467">
        <v>437</v>
      </c>
      <c r="R184" s="472">
        <v>2.9100000000000001E-2</v>
      </c>
      <c r="S184" s="467">
        <v>0</v>
      </c>
      <c r="T184" s="472">
        <v>3.6600000000000001E-2</v>
      </c>
      <c r="U184" s="467">
        <v>90</v>
      </c>
      <c r="V184" s="486">
        <v>42</v>
      </c>
    </row>
    <row r="185" spans="1:22">
      <c r="A185" s="600">
        <v>45750</v>
      </c>
      <c r="B185" s="470">
        <v>1.2999999999999999E-3</v>
      </c>
      <c r="C185" s="467">
        <v>20163</v>
      </c>
      <c r="D185" s="471">
        <v>0.75800000000000001</v>
      </c>
      <c r="E185" s="467">
        <v>1118</v>
      </c>
      <c r="F185" s="472">
        <v>5.5399999999999998E-2</v>
      </c>
      <c r="G185" s="467">
        <v>0</v>
      </c>
      <c r="H185" s="472">
        <v>2.4199999999999999E-2</v>
      </c>
      <c r="I185" s="467">
        <v>49</v>
      </c>
      <c r="J185" s="486">
        <v>30</v>
      </c>
      <c r="M185" s="600">
        <v>45750</v>
      </c>
      <c r="N185" s="470">
        <v>1.1000000000000001E-3</v>
      </c>
      <c r="O185" s="467">
        <v>13898</v>
      </c>
      <c r="P185" s="471">
        <v>0.66700000000000004</v>
      </c>
      <c r="Q185" s="467">
        <v>407</v>
      </c>
      <c r="R185" s="472">
        <v>2.93E-2</v>
      </c>
      <c r="S185" s="467">
        <v>0</v>
      </c>
      <c r="T185" s="472">
        <v>3.6900000000000002E-2</v>
      </c>
      <c r="U185" s="467">
        <v>90</v>
      </c>
      <c r="V185" s="486">
        <v>42</v>
      </c>
    </row>
    <row r="186" spans="1:22">
      <c r="A186" s="600">
        <v>45751</v>
      </c>
      <c r="B186" s="470">
        <v>1.2999999999999999E-3</v>
      </c>
      <c r="C186" s="467">
        <v>20806</v>
      </c>
      <c r="D186" s="471">
        <v>0.755</v>
      </c>
      <c r="E186" s="467">
        <v>1142</v>
      </c>
      <c r="F186" s="472">
        <v>5.4899999999999997E-2</v>
      </c>
      <c r="G186" s="467">
        <v>0</v>
      </c>
      <c r="H186" s="472">
        <v>2.4500000000000001E-2</v>
      </c>
      <c r="I186" s="467">
        <v>51</v>
      </c>
      <c r="J186" s="486">
        <v>30</v>
      </c>
      <c r="M186" s="600">
        <v>45751</v>
      </c>
      <c r="N186" s="470">
        <v>1.1000000000000001E-3</v>
      </c>
      <c r="O186" s="467">
        <v>12891</v>
      </c>
      <c r="P186" s="471">
        <v>0.66800000000000004</v>
      </c>
      <c r="Q186" s="467">
        <v>375</v>
      </c>
      <c r="R186" s="472">
        <v>2.9100000000000001E-2</v>
      </c>
      <c r="S186" s="467">
        <v>0</v>
      </c>
      <c r="T186" s="472">
        <v>3.73E-2</v>
      </c>
      <c r="U186" s="467">
        <v>94</v>
      </c>
      <c r="V186" s="486">
        <v>56</v>
      </c>
    </row>
    <row r="187" spans="1:22">
      <c r="A187" s="600">
        <v>45752</v>
      </c>
      <c r="B187" s="470">
        <v>1.2999999999999999E-3</v>
      </c>
      <c r="C187" s="467">
        <v>21413</v>
      </c>
      <c r="D187" s="471">
        <v>0.751</v>
      </c>
      <c r="E187" s="467">
        <v>1164</v>
      </c>
      <c r="F187" s="472">
        <v>5.4399999999999997E-2</v>
      </c>
      <c r="G187" s="467">
        <v>0</v>
      </c>
      <c r="H187" s="472">
        <v>2.41E-2</v>
      </c>
      <c r="I187" s="467">
        <v>52</v>
      </c>
      <c r="J187" s="486">
        <v>28</v>
      </c>
      <c r="M187" s="600">
        <v>45752</v>
      </c>
      <c r="N187" s="470">
        <v>1.1000000000000001E-3</v>
      </c>
      <c r="O187" s="467">
        <v>12150</v>
      </c>
      <c r="P187" s="471">
        <v>0.67</v>
      </c>
      <c r="Q187" s="467">
        <v>356</v>
      </c>
      <c r="R187" s="472">
        <v>2.93E-2</v>
      </c>
      <c r="S187" s="467">
        <v>0</v>
      </c>
      <c r="T187" s="472">
        <v>3.6499999999999998E-2</v>
      </c>
      <c r="U187" s="467">
        <v>95</v>
      </c>
      <c r="V187" s="486">
        <v>56</v>
      </c>
    </row>
    <row r="188" spans="1:22">
      <c r="A188" s="600">
        <v>45753</v>
      </c>
      <c r="B188" s="470">
        <v>1.2999999999999999E-3</v>
      </c>
      <c r="C188" s="467">
        <v>21765</v>
      </c>
      <c r="D188" s="471">
        <v>0.745</v>
      </c>
      <c r="E188" s="467">
        <v>1166</v>
      </c>
      <c r="F188" s="472">
        <v>5.3600000000000002E-2</v>
      </c>
      <c r="G188" s="467">
        <v>0</v>
      </c>
      <c r="H188" s="472">
        <v>2.4E-2</v>
      </c>
      <c r="I188" s="467">
        <v>55</v>
      </c>
      <c r="J188" s="486">
        <v>28</v>
      </c>
      <c r="M188" s="600">
        <v>45753</v>
      </c>
      <c r="N188" s="470">
        <v>1E-3</v>
      </c>
      <c r="O188" s="467">
        <v>12148</v>
      </c>
      <c r="P188" s="471">
        <v>0.66900000000000004</v>
      </c>
      <c r="Q188" s="467">
        <v>346</v>
      </c>
      <c r="R188" s="472">
        <v>2.8500000000000001E-2</v>
      </c>
      <c r="S188" s="467">
        <v>0</v>
      </c>
      <c r="T188" s="472">
        <v>3.4700000000000002E-2</v>
      </c>
      <c r="U188" s="467">
        <v>94</v>
      </c>
      <c r="V188" s="486">
        <v>56</v>
      </c>
    </row>
    <row r="189" spans="1:22">
      <c r="A189" s="600">
        <v>45754</v>
      </c>
      <c r="B189" s="470">
        <v>1.2999999999999999E-3</v>
      </c>
      <c r="C189" s="467">
        <v>21921</v>
      </c>
      <c r="D189" s="471">
        <v>0.74099999999999999</v>
      </c>
      <c r="E189" s="467">
        <v>1159</v>
      </c>
      <c r="F189" s="472">
        <v>5.2900000000000003E-2</v>
      </c>
      <c r="G189" s="467">
        <v>0</v>
      </c>
      <c r="H189" s="472">
        <v>2.4199999999999999E-2</v>
      </c>
      <c r="I189" s="467">
        <v>62</v>
      </c>
      <c r="J189" s="486">
        <v>28</v>
      </c>
      <c r="M189" s="600">
        <v>45754</v>
      </c>
      <c r="N189" s="470">
        <v>1E-3</v>
      </c>
      <c r="O189" s="467">
        <v>12468</v>
      </c>
      <c r="P189" s="471">
        <v>0.66900000000000004</v>
      </c>
      <c r="Q189" s="467">
        <v>350</v>
      </c>
      <c r="R189" s="472">
        <v>2.81E-2</v>
      </c>
      <c r="S189" s="467">
        <v>0</v>
      </c>
      <c r="T189" s="472">
        <v>3.4299999999999997E-2</v>
      </c>
      <c r="U189" s="467">
        <v>97</v>
      </c>
      <c r="V189" s="486">
        <v>56</v>
      </c>
    </row>
    <row r="190" spans="1:22">
      <c r="A190" s="600">
        <v>45755</v>
      </c>
      <c r="B190" s="470">
        <v>1.1999999999999999E-3</v>
      </c>
      <c r="C190" s="467">
        <v>21954</v>
      </c>
      <c r="D190" s="471">
        <v>0.73799999999999999</v>
      </c>
      <c r="E190" s="467">
        <v>1151</v>
      </c>
      <c r="F190" s="472">
        <v>5.2400000000000002E-2</v>
      </c>
      <c r="G190" s="467">
        <v>0</v>
      </c>
      <c r="H190" s="472">
        <v>2.35E-2</v>
      </c>
      <c r="I190" s="467">
        <v>63</v>
      </c>
      <c r="J190" s="486">
        <v>28</v>
      </c>
      <c r="M190" s="600">
        <v>45755</v>
      </c>
      <c r="N190" s="470">
        <v>8.9999999999999998E-4</v>
      </c>
      <c r="O190" s="467">
        <v>13706</v>
      </c>
      <c r="P190" s="471">
        <v>0.66900000000000004</v>
      </c>
      <c r="Q190" s="467">
        <v>353</v>
      </c>
      <c r="R190" s="472">
        <v>2.58E-2</v>
      </c>
      <c r="S190" s="467">
        <v>0</v>
      </c>
      <c r="T190" s="472">
        <v>3.4000000000000002E-2</v>
      </c>
      <c r="U190" s="467">
        <v>97</v>
      </c>
      <c r="V190" s="486">
        <v>56</v>
      </c>
    </row>
    <row r="191" spans="1:22">
      <c r="A191" s="600">
        <v>45756</v>
      </c>
      <c r="B191" s="470">
        <v>1.1999999999999999E-3</v>
      </c>
      <c r="C191" s="467">
        <v>21689</v>
      </c>
      <c r="D191" s="471">
        <v>0.73799999999999999</v>
      </c>
      <c r="E191" s="467">
        <v>1130</v>
      </c>
      <c r="F191" s="472">
        <v>5.21E-2</v>
      </c>
      <c r="G191" s="467">
        <v>0</v>
      </c>
      <c r="H191" s="472">
        <v>2.3E-2</v>
      </c>
      <c r="I191" s="467">
        <v>63</v>
      </c>
      <c r="J191" s="486">
        <v>28</v>
      </c>
      <c r="M191" s="600">
        <v>45756</v>
      </c>
      <c r="N191" s="470">
        <v>8.9999999999999998E-4</v>
      </c>
      <c r="O191" s="467">
        <v>15086</v>
      </c>
      <c r="P191" s="471">
        <v>0.66700000000000004</v>
      </c>
      <c r="Q191" s="467">
        <v>405</v>
      </c>
      <c r="R191" s="472">
        <v>2.6800000000000001E-2</v>
      </c>
      <c r="S191" s="467">
        <v>0</v>
      </c>
      <c r="T191" s="472">
        <v>3.2099999999999997E-2</v>
      </c>
      <c r="U191" s="467">
        <v>104</v>
      </c>
      <c r="V191" s="486">
        <v>38</v>
      </c>
    </row>
    <row r="192" spans="1:22">
      <c r="A192" s="600">
        <v>45757</v>
      </c>
      <c r="B192" s="470">
        <v>1.1999999999999999E-3</v>
      </c>
      <c r="C192" s="467">
        <v>21295</v>
      </c>
      <c r="D192" s="471">
        <v>0.74</v>
      </c>
      <c r="E192" s="467">
        <v>1098</v>
      </c>
      <c r="F192" s="472">
        <v>5.16E-2</v>
      </c>
      <c r="G192" s="467">
        <v>0</v>
      </c>
      <c r="H192" s="472">
        <v>2.3699999999999999E-2</v>
      </c>
      <c r="I192" s="467">
        <v>64</v>
      </c>
      <c r="J192" s="486">
        <v>70</v>
      </c>
      <c r="M192" s="600">
        <v>45757</v>
      </c>
      <c r="N192" s="470">
        <v>8.9999999999999998E-4</v>
      </c>
      <c r="O192" s="467">
        <v>15019</v>
      </c>
      <c r="P192" s="471">
        <v>0.66600000000000004</v>
      </c>
      <c r="Q192" s="467">
        <v>449</v>
      </c>
      <c r="R192" s="472">
        <v>2.9899999999999999E-2</v>
      </c>
      <c r="S192" s="467">
        <v>0</v>
      </c>
      <c r="T192" s="472">
        <v>3.1199999999999999E-2</v>
      </c>
      <c r="U192" s="467">
        <v>110</v>
      </c>
      <c r="V192" s="486">
        <v>38</v>
      </c>
    </row>
    <row r="193" spans="1:22">
      <c r="A193" s="600">
        <v>45758</v>
      </c>
      <c r="B193" s="470">
        <v>1.2999999999999999E-3</v>
      </c>
      <c r="C193" s="467">
        <v>20754</v>
      </c>
      <c r="D193" s="471">
        <v>0.74</v>
      </c>
      <c r="E193" s="467">
        <v>1067</v>
      </c>
      <c r="F193" s="472">
        <v>5.1400000000000001E-2</v>
      </c>
      <c r="G193" s="467">
        <v>0</v>
      </c>
      <c r="H193" s="472">
        <v>2.4400000000000002E-2</v>
      </c>
      <c r="I193" s="467">
        <v>64</v>
      </c>
      <c r="J193" s="486">
        <v>70</v>
      </c>
      <c r="M193" s="600">
        <v>45758</v>
      </c>
      <c r="N193" s="470">
        <v>1E-3</v>
      </c>
      <c r="O193" s="467">
        <v>14217</v>
      </c>
      <c r="P193" s="471">
        <v>0.66900000000000004</v>
      </c>
      <c r="Q193" s="467">
        <v>436</v>
      </c>
      <c r="R193" s="472">
        <v>3.0700000000000002E-2</v>
      </c>
      <c r="S193" s="467">
        <v>0</v>
      </c>
      <c r="T193" s="472">
        <v>3.2099999999999997E-2</v>
      </c>
      <c r="U193" s="467">
        <v>113</v>
      </c>
      <c r="V193" s="486">
        <v>38</v>
      </c>
    </row>
    <row r="194" spans="1:22">
      <c r="A194" s="600">
        <v>45759</v>
      </c>
      <c r="B194" s="470">
        <v>1.2999999999999999E-3</v>
      </c>
      <c r="C194" s="467">
        <v>20056</v>
      </c>
      <c r="D194" s="471">
        <v>0.74099999999999999</v>
      </c>
      <c r="E194" s="467">
        <v>1029</v>
      </c>
      <c r="F194" s="472">
        <v>5.1299999999999998E-2</v>
      </c>
      <c r="G194" s="467">
        <v>0</v>
      </c>
      <c r="H194" s="472">
        <v>2.53E-2</v>
      </c>
      <c r="I194" s="467">
        <v>64</v>
      </c>
      <c r="J194" s="486">
        <v>79</v>
      </c>
      <c r="M194" s="600">
        <v>45759</v>
      </c>
      <c r="N194" s="470">
        <v>1.1000000000000001E-3</v>
      </c>
      <c r="O194" s="467">
        <v>12711</v>
      </c>
      <c r="P194" s="471">
        <v>0.66800000000000004</v>
      </c>
      <c r="Q194" s="467">
        <v>422</v>
      </c>
      <c r="R194" s="472">
        <v>3.32E-2</v>
      </c>
      <c r="S194" s="467">
        <v>0</v>
      </c>
      <c r="T194" s="472">
        <v>3.32E-2</v>
      </c>
      <c r="U194" s="467">
        <v>113</v>
      </c>
      <c r="V194" s="486">
        <v>38</v>
      </c>
    </row>
    <row r="195" spans="1:22">
      <c r="A195" s="600">
        <v>45760</v>
      </c>
      <c r="B195" s="470">
        <v>1.2999999999999999E-3</v>
      </c>
      <c r="C195" s="467">
        <v>19276</v>
      </c>
      <c r="D195" s="471">
        <v>0.74199999999999999</v>
      </c>
      <c r="E195" s="467">
        <v>997</v>
      </c>
      <c r="F195" s="472">
        <v>5.1700000000000003E-2</v>
      </c>
      <c r="G195" s="467">
        <v>0</v>
      </c>
      <c r="H195" s="472">
        <v>2.6100000000000002E-2</v>
      </c>
      <c r="I195" s="467">
        <v>64</v>
      </c>
      <c r="J195" s="486">
        <v>79</v>
      </c>
      <c r="M195" s="600">
        <v>45760</v>
      </c>
      <c r="N195" s="470">
        <v>1.2999999999999999E-3</v>
      </c>
      <c r="O195" s="467">
        <v>10903</v>
      </c>
      <c r="P195" s="471">
        <v>0.66700000000000004</v>
      </c>
      <c r="Q195" s="467">
        <v>380</v>
      </c>
      <c r="R195" s="472">
        <v>3.49E-2</v>
      </c>
      <c r="S195" s="467">
        <v>0</v>
      </c>
      <c r="T195" s="472">
        <v>3.6799999999999999E-2</v>
      </c>
      <c r="U195" s="467">
        <v>113</v>
      </c>
      <c r="V195" s="486">
        <v>38</v>
      </c>
    </row>
    <row r="196" spans="1:22">
      <c r="A196" s="600">
        <v>45761</v>
      </c>
      <c r="B196" s="470">
        <v>1.4E-3</v>
      </c>
      <c r="C196" s="467">
        <v>18623</v>
      </c>
      <c r="D196" s="471">
        <v>0.74199999999999999</v>
      </c>
      <c r="E196" s="467">
        <v>963</v>
      </c>
      <c r="F196" s="472">
        <v>5.1700000000000003E-2</v>
      </c>
      <c r="G196" s="467">
        <v>0</v>
      </c>
      <c r="H196" s="472">
        <v>2.7E-2</v>
      </c>
      <c r="I196" s="467">
        <v>64</v>
      </c>
      <c r="J196" s="486">
        <v>79</v>
      </c>
      <c r="M196" s="600">
        <v>45761</v>
      </c>
      <c r="N196" s="470">
        <v>1.4E-3</v>
      </c>
      <c r="O196" s="467">
        <v>9968</v>
      </c>
      <c r="P196" s="471">
        <v>0.66500000000000004</v>
      </c>
      <c r="Q196" s="467">
        <v>334</v>
      </c>
      <c r="R196" s="472">
        <v>3.3500000000000002E-2</v>
      </c>
      <c r="S196" s="467">
        <v>0</v>
      </c>
      <c r="T196" s="472">
        <v>4.19E-2</v>
      </c>
      <c r="U196" s="467">
        <v>114</v>
      </c>
      <c r="V196" s="486">
        <v>38</v>
      </c>
    </row>
    <row r="197" spans="1:22">
      <c r="A197" s="600">
        <v>45762</v>
      </c>
      <c r="B197" s="470">
        <v>1.4E-3</v>
      </c>
      <c r="C197" s="467">
        <v>18099</v>
      </c>
      <c r="D197" s="471">
        <v>0.74</v>
      </c>
      <c r="E197" s="467">
        <v>942</v>
      </c>
      <c r="F197" s="472">
        <v>5.1999999999999998E-2</v>
      </c>
      <c r="G197" s="467">
        <v>0</v>
      </c>
      <c r="H197" s="472">
        <v>2.76E-2</v>
      </c>
      <c r="I197" s="467">
        <v>63</v>
      </c>
      <c r="J197" s="486">
        <v>86</v>
      </c>
      <c r="M197" s="600">
        <v>45762</v>
      </c>
      <c r="N197" s="470">
        <v>1.4E-3</v>
      </c>
      <c r="O197" s="467">
        <v>9350</v>
      </c>
      <c r="P197" s="471">
        <v>0.66600000000000004</v>
      </c>
      <c r="Q197" s="467">
        <v>317</v>
      </c>
      <c r="R197" s="472">
        <v>3.39E-2</v>
      </c>
      <c r="S197" s="467">
        <v>0</v>
      </c>
      <c r="T197" s="472">
        <v>4.1000000000000002E-2</v>
      </c>
      <c r="U197" s="467">
        <v>114</v>
      </c>
      <c r="V197" s="486">
        <v>33</v>
      </c>
    </row>
    <row r="198" spans="1:22">
      <c r="A198" s="600">
        <v>45763</v>
      </c>
      <c r="B198" s="470">
        <v>1.4E-3</v>
      </c>
      <c r="C198" s="467">
        <v>18007</v>
      </c>
      <c r="D198" s="471">
        <v>0.73899999999999999</v>
      </c>
      <c r="E198" s="467">
        <v>918</v>
      </c>
      <c r="F198" s="472">
        <v>5.0999999999999997E-2</v>
      </c>
      <c r="G198" s="467">
        <v>0</v>
      </c>
      <c r="H198" s="472">
        <v>2.8299999999999999E-2</v>
      </c>
      <c r="I198" s="467">
        <v>61</v>
      </c>
      <c r="J198" s="486">
        <v>86</v>
      </c>
      <c r="M198" s="600">
        <v>45763</v>
      </c>
      <c r="N198" s="470">
        <v>1.4E-3</v>
      </c>
      <c r="O198" s="467">
        <v>8767</v>
      </c>
      <c r="P198" s="471">
        <v>0.66600000000000004</v>
      </c>
      <c r="Q198" s="467">
        <v>301</v>
      </c>
      <c r="R198" s="472">
        <v>3.4299999999999997E-2</v>
      </c>
      <c r="S198" s="467">
        <v>0</v>
      </c>
      <c r="T198" s="472">
        <v>3.9899999999999998E-2</v>
      </c>
      <c r="U198" s="467">
        <v>115</v>
      </c>
      <c r="V198" s="486">
        <v>33</v>
      </c>
    </row>
    <row r="199" spans="1:22">
      <c r="A199" s="600">
        <v>45764</v>
      </c>
      <c r="B199" s="470">
        <v>1.4E-3</v>
      </c>
      <c r="C199" s="467">
        <v>18261</v>
      </c>
      <c r="D199" s="471">
        <v>0.73899999999999999</v>
      </c>
      <c r="E199" s="467">
        <v>899</v>
      </c>
      <c r="F199" s="472">
        <v>4.9200000000000001E-2</v>
      </c>
      <c r="G199" s="467">
        <v>0</v>
      </c>
      <c r="H199" s="472">
        <v>2.7799999999999998E-2</v>
      </c>
      <c r="I199" s="467">
        <v>62</v>
      </c>
      <c r="J199" s="486">
        <v>86</v>
      </c>
      <c r="M199" s="600">
        <v>45764</v>
      </c>
      <c r="N199" s="470">
        <v>1.2999999999999999E-3</v>
      </c>
      <c r="O199" s="467">
        <v>8247</v>
      </c>
      <c r="P199" s="471">
        <v>0.66700000000000004</v>
      </c>
      <c r="Q199" s="467">
        <v>286</v>
      </c>
      <c r="R199" s="472">
        <v>3.4700000000000002E-2</v>
      </c>
      <c r="S199" s="467">
        <v>0</v>
      </c>
      <c r="T199" s="472">
        <v>3.85E-2</v>
      </c>
      <c r="U199" s="467">
        <v>113</v>
      </c>
      <c r="V199" s="486">
        <v>33</v>
      </c>
    </row>
    <row r="200" spans="1:22">
      <c r="A200" s="600">
        <v>45765</v>
      </c>
      <c r="B200" s="470">
        <v>1.2999999999999999E-3</v>
      </c>
      <c r="C200" s="467">
        <v>18153</v>
      </c>
      <c r="D200" s="471">
        <v>0.73799999999999999</v>
      </c>
      <c r="E200" s="467">
        <v>884</v>
      </c>
      <c r="F200" s="472">
        <v>4.87E-2</v>
      </c>
      <c r="G200" s="467">
        <v>0</v>
      </c>
      <c r="H200" s="472">
        <v>2.7099999999999999E-2</v>
      </c>
      <c r="I200" s="467">
        <v>62</v>
      </c>
      <c r="J200" s="486">
        <v>86</v>
      </c>
      <c r="M200" s="600">
        <v>45765</v>
      </c>
      <c r="N200" s="470">
        <v>1.1999999999999999E-3</v>
      </c>
      <c r="O200" s="467">
        <v>8345</v>
      </c>
      <c r="P200" s="471">
        <v>0.66800000000000004</v>
      </c>
      <c r="Q200" s="467">
        <v>266</v>
      </c>
      <c r="R200" s="472">
        <v>3.1899999999999998E-2</v>
      </c>
      <c r="S200" s="467">
        <v>0</v>
      </c>
      <c r="T200" s="472">
        <v>3.7600000000000001E-2</v>
      </c>
      <c r="U200" s="467">
        <v>112</v>
      </c>
      <c r="V200" s="486">
        <v>33</v>
      </c>
    </row>
    <row r="201" spans="1:22">
      <c r="A201" s="600">
        <v>45766</v>
      </c>
      <c r="B201" s="470">
        <v>1.2999999999999999E-3</v>
      </c>
      <c r="C201" s="467">
        <v>17766</v>
      </c>
      <c r="D201" s="471">
        <v>0.73699999999999999</v>
      </c>
      <c r="E201" s="467">
        <v>867</v>
      </c>
      <c r="F201" s="472">
        <v>4.8800000000000003E-2</v>
      </c>
      <c r="G201" s="467">
        <v>0</v>
      </c>
      <c r="H201" s="472">
        <v>2.6499999999999999E-2</v>
      </c>
      <c r="I201" s="467">
        <v>66</v>
      </c>
      <c r="J201" s="486">
        <v>86</v>
      </c>
      <c r="M201" s="600">
        <v>45766</v>
      </c>
      <c r="N201" s="470">
        <v>1E-3</v>
      </c>
      <c r="O201" s="467">
        <v>8812</v>
      </c>
      <c r="P201" s="471">
        <v>0.66900000000000004</v>
      </c>
      <c r="Q201" s="467">
        <v>258</v>
      </c>
      <c r="R201" s="472">
        <v>2.93E-2</v>
      </c>
      <c r="S201" s="467">
        <v>0</v>
      </c>
      <c r="T201" s="472">
        <v>3.49E-2</v>
      </c>
      <c r="U201" s="467">
        <v>112</v>
      </c>
      <c r="V201" s="486">
        <v>33</v>
      </c>
    </row>
    <row r="202" spans="1:22">
      <c r="A202" s="600">
        <v>45767</v>
      </c>
      <c r="B202" s="470">
        <v>1.2999999999999999E-3</v>
      </c>
      <c r="C202" s="467">
        <v>17332</v>
      </c>
      <c r="D202" s="471">
        <v>0.73799999999999999</v>
      </c>
      <c r="E202" s="467">
        <v>849</v>
      </c>
      <c r="F202" s="472">
        <v>4.9000000000000002E-2</v>
      </c>
      <c r="G202" s="467">
        <v>0</v>
      </c>
      <c r="H202" s="472">
        <v>2.5899999999999999E-2</v>
      </c>
      <c r="I202" s="467">
        <v>67</v>
      </c>
      <c r="J202" s="486">
        <v>86</v>
      </c>
      <c r="M202" s="600">
        <v>45767</v>
      </c>
      <c r="N202" s="470">
        <v>1E-3</v>
      </c>
      <c r="O202" s="467">
        <v>9352</v>
      </c>
      <c r="P202" s="471">
        <v>0.66800000000000004</v>
      </c>
      <c r="Q202" s="467">
        <v>252</v>
      </c>
      <c r="R202" s="472">
        <v>2.69E-2</v>
      </c>
      <c r="S202" s="467">
        <v>0</v>
      </c>
      <c r="T202" s="472">
        <v>3.5700000000000003E-2</v>
      </c>
      <c r="U202" s="467">
        <v>111</v>
      </c>
      <c r="V202" s="486">
        <v>33</v>
      </c>
    </row>
    <row r="203" spans="1:22">
      <c r="A203" s="600">
        <v>45768</v>
      </c>
      <c r="B203" s="470">
        <v>1.1999999999999999E-3</v>
      </c>
      <c r="C203" s="467">
        <v>17571</v>
      </c>
      <c r="D203" s="471">
        <v>0.73799999999999999</v>
      </c>
      <c r="E203" s="467">
        <v>827</v>
      </c>
      <c r="F203" s="472">
        <v>4.7100000000000003E-2</v>
      </c>
      <c r="G203" s="467">
        <v>0</v>
      </c>
      <c r="H203" s="472">
        <v>2.5399999999999999E-2</v>
      </c>
      <c r="I203" s="467">
        <v>67</v>
      </c>
      <c r="J203" s="486">
        <v>86</v>
      </c>
      <c r="M203" s="600">
        <v>45768</v>
      </c>
      <c r="N203" s="470">
        <v>8.0000000000000004E-4</v>
      </c>
      <c r="O203" s="467">
        <v>9671</v>
      </c>
      <c r="P203" s="471">
        <v>0.66800000000000004</v>
      </c>
      <c r="Q203" s="467">
        <v>246</v>
      </c>
      <c r="R203" s="472">
        <v>2.5399999999999999E-2</v>
      </c>
      <c r="S203" s="467">
        <v>0</v>
      </c>
      <c r="T203" s="472">
        <v>3.2500000000000001E-2</v>
      </c>
      <c r="U203" s="467">
        <v>111</v>
      </c>
      <c r="V203" s="486">
        <v>4</v>
      </c>
    </row>
    <row r="204" spans="1:22">
      <c r="A204" s="600">
        <v>45769</v>
      </c>
      <c r="B204" s="470">
        <v>1.1999999999999999E-3</v>
      </c>
      <c r="C204" s="467">
        <v>18052</v>
      </c>
      <c r="D204" s="471">
        <v>0.73699999999999999</v>
      </c>
      <c r="E204" s="467">
        <v>819</v>
      </c>
      <c r="F204" s="472">
        <v>4.5400000000000003E-2</v>
      </c>
      <c r="G204" s="467">
        <v>0</v>
      </c>
      <c r="H204" s="472">
        <v>2.5600000000000001E-2</v>
      </c>
      <c r="I204" s="467">
        <v>65</v>
      </c>
      <c r="J204" s="486">
        <v>71</v>
      </c>
      <c r="M204" s="600">
        <v>45769</v>
      </c>
      <c r="N204" s="470">
        <v>6.9999999999999999E-4</v>
      </c>
      <c r="O204" s="467">
        <v>9868</v>
      </c>
      <c r="P204" s="471">
        <v>0.66800000000000004</v>
      </c>
      <c r="Q204" s="467">
        <v>257</v>
      </c>
      <c r="R204" s="472">
        <v>2.5999999999999999E-2</v>
      </c>
      <c r="S204" s="467">
        <v>0</v>
      </c>
      <c r="T204" s="472">
        <v>2.7199999999999998E-2</v>
      </c>
      <c r="U204" s="467">
        <v>108</v>
      </c>
      <c r="V204" s="486">
        <v>4</v>
      </c>
    </row>
    <row r="205" spans="1:22">
      <c r="A205" s="600">
        <v>45770</v>
      </c>
      <c r="B205" s="470">
        <v>1.1999999999999999E-3</v>
      </c>
      <c r="C205" s="467">
        <v>17918</v>
      </c>
      <c r="D205" s="471">
        <v>0.73299999999999998</v>
      </c>
      <c r="E205" s="467">
        <v>811</v>
      </c>
      <c r="F205" s="472">
        <v>4.53E-2</v>
      </c>
      <c r="G205" s="467">
        <v>0</v>
      </c>
      <c r="H205" s="472">
        <v>2.5899999999999999E-2</v>
      </c>
      <c r="I205" s="467">
        <v>64</v>
      </c>
      <c r="J205" s="486">
        <v>71</v>
      </c>
      <c r="M205" s="600">
        <v>45770</v>
      </c>
      <c r="N205" s="470">
        <v>5.9999999999999995E-4</v>
      </c>
      <c r="O205" s="467">
        <v>10235</v>
      </c>
      <c r="P205" s="471">
        <v>0.66900000000000004</v>
      </c>
      <c r="Q205" s="467">
        <v>278</v>
      </c>
      <c r="R205" s="472">
        <v>2.7199999999999998E-2</v>
      </c>
      <c r="S205" s="467">
        <v>0</v>
      </c>
      <c r="T205" s="472">
        <v>2.1600000000000001E-2</v>
      </c>
      <c r="U205" s="467">
        <v>109</v>
      </c>
      <c r="V205" s="486">
        <v>4</v>
      </c>
    </row>
    <row r="206" spans="1:22">
      <c r="A206" s="600">
        <v>45771</v>
      </c>
      <c r="B206" s="470">
        <v>1.1000000000000001E-3</v>
      </c>
      <c r="C206" s="467">
        <v>17398</v>
      </c>
      <c r="D206" s="471">
        <v>0.73199999999999998</v>
      </c>
      <c r="E206" s="467">
        <v>788</v>
      </c>
      <c r="F206" s="472">
        <v>4.53E-2</v>
      </c>
      <c r="G206" s="467">
        <v>0</v>
      </c>
      <c r="H206" s="472">
        <v>2.5399999999999999E-2</v>
      </c>
      <c r="I206" s="467">
        <v>62</v>
      </c>
      <c r="J206" s="486">
        <v>71</v>
      </c>
      <c r="M206" s="600">
        <v>45771</v>
      </c>
      <c r="N206" s="470">
        <v>5.9999999999999995E-4</v>
      </c>
      <c r="O206" s="467">
        <v>10676</v>
      </c>
      <c r="P206" s="471">
        <v>0.67300000000000004</v>
      </c>
      <c r="Q206" s="467">
        <v>310</v>
      </c>
      <c r="R206" s="472">
        <v>2.9000000000000001E-2</v>
      </c>
      <c r="S206" s="467">
        <v>0</v>
      </c>
      <c r="T206" s="472">
        <v>1.9400000000000001E-2</v>
      </c>
      <c r="U206" s="467">
        <v>107</v>
      </c>
      <c r="V206" s="486">
        <v>8</v>
      </c>
    </row>
    <row r="207" spans="1:22">
      <c r="A207" s="600">
        <v>45772</v>
      </c>
      <c r="B207" s="470">
        <v>1.1000000000000001E-3</v>
      </c>
      <c r="C207" s="467">
        <v>16712</v>
      </c>
      <c r="D207" s="471">
        <v>0.73</v>
      </c>
      <c r="E207" s="467">
        <v>751</v>
      </c>
      <c r="F207" s="472">
        <v>4.4900000000000002E-2</v>
      </c>
      <c r="G207" s="467">
        <v>0</v>
      </c>
      <c r="H207" s="472">
        <v>2.53E-2</v>
      </c>
      <c r="I207" s="467">
        <v>58</v>
      </c>
      <c r="J207" s="486">
        <v>94</v>
      </c>
      <c r="M207" s="600">
        <v>45772</v>
      </c>
      <c r="N207" s="470">
        <v>5.0000000000000001E-4</v>
      </c>
      <c r="O207" s="467">
        <v>11078</v>
      </c>
      <c r="P207" s="471">
        <v>0.67300000000000004</v>
      </c>
      <c r="Q207" s="467">
        <v>354</v>
      </c>
      <c r="R207" s="472">
        <v>3.2000000000000001E-2</v>
      </c>
      <c r="S207" s="467">
        <v>0</v>
      </c>
      <c r="T207" s="472">
        <v>1.6899999999999998E-2</v>
      </c>
      <c r="U207" s="467">
        <v>100</v>
      </c>
      <c r="V207" s="486">
        <v>8</v>
      </c>
    </row>
    <row r="208" spans="1:22">
      <c r="A208" s="600">
        <v>45773</v>
      </c>
      <c r="B208" s="470">
        <v>1.1000000000000001E-3</v>
      </c>
      <c r="C208" s="467">
        <v>16302</v>
      </c>
      <c r="D208" s="471">
        <v>0.72599999999999998</v>
      </c>
      <c r="E208" s="467">
        <v>716</v>
      </c>
      <c r="F208" s="472">
        <v>4.3900000000000002E-2</v>
      </c>
      <c r="G208" s="467">
        <v>0</v>
      </c>
      <c r="H208" s="472">
        <v>2.5100000000000001E-2</v>
      </c>
      <c r="I208" s="467">
        <v>54</v>
      </c>
      <c r="J208" s="486">
        <v>94</v>
      </c>
      <c r="M208" s="600">
        <v>45773</v>
      </c>
      <c r="N208" s="470">
        <v>5.0000000000000001E-4</v>
      </c>
      <c r="O208" s="467">
        <v>11301</v>
      </c>
      <c r="P208" s="471">
        <v>0.67400000000000004</v>
      </c>
      <c r="Q208" s="467">
        <v>387</v>
      </c>
      <c r="R208" s="472">
        <v>3.4200000000000001E-2</v>
      </c>
      <c r="S208" s="467">
        <v>0</v>
      </c>
      <c r="T208" s="472">
        <v>1.55E-2</v>
      </c>
      <c r="U208" s="467">
        <v>99</v>
      </c>
      <c r="V208" s="486">
        <v>8</v>
      </c>
    </row>
    <row r="209" spans="1:22">
      <c r="A209" s="600">
        <v>45774</v>
      </c>
      <c r="B209" s="470">
        <v>1.1000000000000001E-3</v>
      </c>
      <c r="C209" s="467">
        <v>16249</v>
      </c>
      <c r="D209" s="471">
        <v>0.72699999999999998</v>
      </c>
      <c r="E209" s="467">
        <v>705</v>
      </c>
      <c r="F209" s="472">
        <v>4.3400000000000001E-2</v>
      </c>
      <c r="G209" s="467">
        <v>0</v>
      </c>
      <c r="H209" s="472">
        <v>2.5499999999999998E-2</v>
      </c>
      <c r="I209" s="467">
        <v>54</v>
      </c>
      <c r="J209" s="486">
        <v>94</v>
      </c>
      <c r="M209" s="600">
        <v>45774</v>
      </c>
      <c r="N209" s="470">
        <v>5.0000000000000001E-4</v>
      </c>
      <c r="O209" s="467">
        <v>11436</v>
      </c>
      <c r="P209" s="471">
        <v>0.67400000000000004</v>
      </c>
      <c r="Q209" s="467">
        <v>401</v>
      </c>
      <c r="R209" s="472">
        <v>3.5099999999999999E-2</v>
      </c>
      <c r="S209" s="467">
        <v>0</v>
      </c>
      <c r="T209" s="472">
        <v>1.4999999999999999E-2</v>
      </c>
      <c r="U209" s="467">
        <v>93</v>
      </c>
      <c r="V209" s="486">
        <v>8</v>
      </c>
    </row>
    <row r="210" spans="1:22">
      <c r="A210" s="600">
        <v>45775</v>
      </c>
      <c r="B210" s="470">
        <v>1.1000000000000001E-3</v>
      </c>
      <c r="C210" s="467">
        <v>16380</v>
      </c>
      <c r="D210" s="471">
        <v>0.72799999999999998</v>
      </c>
      <c r="E210" s="467">
        <v>711</v>
      </c>
      <c r="F210" s="472">
        <v>4.3400000000000001E-2</v>
      </c>
      <c r="G210" s="467">
        <v>0</v>
      </c>
      <c r="H210" s="472">
        <v>2.53E-2</v>
      </c>
      <c r="I210" s="467">
        <v>56</v>
      </c>
      <c r="J210" s="486">
        <v>94</v>
      </c>
      <c r="M210" s="600">
        <v>45775</v>
      </c>
      <c r="N210" s="470">
        <v>5.9999999999999995E-4</v>
      </c>
      <c r="O210" s="467">
        <v>11726</v>
      </c>
      <c r="P210" s="471">
        <v>0.67300000000000004</v>
      </c>
      <c r="Q210" s="467">
        <v>407</v>
      </c>
      <c r="R210" s="472">
        <v>3.4700000000000002E-2</v>
      </c>
      <c r="S210" s="467">
        <v>0</v>
      </c>
      <c r="T210" s="472">
        <v>1.72E-2</v>
      </c>
      <c r="U210" s="467">
        <v>93</v>
      </c>
      <c r="V210" s="486">
        <v>19</v>
      </c>
    </row>
    <row r="211" spans="1:22">
      <c r="A211" s="600">
        <v>45776</v>
      </c>
      <c r="B211" s="470">
        <v>1.1000000000000001E-3</v>
      </c>
      <c r="C211" s="467">
        <v>16677</v>
      </c>
      <c r="D211" s="471">
        <v>0.72599999999999998</v>
      </c>
      <c r="E211" s="467">
        <v>731</v>
      </c>
      <c r="F211" s="472">
        <v>4.3799999999999999E-2</v>
      </c>
      <c r="G211" s="467">
        <v>0</v>
      </c>
      <c r="H211" s="472">
        <v>2.5999999999999999E-2</v>
      </c>
      <c r="I211" s="467">
        <v>56</v>
      </c>
      <c r="J211" s="486">
        <v>94</v>
      </c>
      <c r="M211" s="600">
        <v>45776</v>
      </c>
      <c r="N211" s="470">
        <v>6.9999999999999999E-4</v>
      </c>
      <c r="O211" s="467">
        <v>11998</v>
      </c>
      <c r="P211" s="471">
        <v>0.67400000000000004</v>
      </c>
      <c r="Q211" s="467">
        <v>416</v>
      </c>
      <c r="R211" s="472">
        <v>3.4700000000000002E-2</v>
      </c>
      <c r="S211" s="467">
        <v>0</v>
      </c>
      <c r="T211" s="472">
        <v>1.9199999999999998E-2</v>
      </c>
      <c r="U211" s="467">
        <v>93</v>
      </c>
      <c r="V211" s="486">
        <v>19</v>
      </c>
    </row>
    <row r="212" spans="1:22">
      <c r="A212" s="600">
        <v>45777</v>
      </c>
      <c r="B212" s="470">
        <v>1.1999999999999999E-3</v>
      </c>
      <c r="C212" s="467">
        <v>17014</v>
      </c>
      <c r="D212" s="471">
        <v>0.72599999999999998</v>
      </c>
      <c r="E212" s="467">
        <v>769</v>
      </c>
      <c r="F212" s="472">
        <v>4.5199999999999997E-2</v>
      </c>
      <c r="G212" s="467">
        <v>0</v>
      </c>
      <c r="H212" s="472">
        <v>2.7300000000000001E-2</v>
      </c>
      <c r="I212" s="467">
        <v>55</v>
      </c>
      <c r="J212" s="486">
        <v>76</v>
      </c>
      <c r="M212" s="600">
        <v>45777</v>
      </c>
      <c r="N212" s="470">
        <v>6.9999999999999999E-4</v>
      </c>
      <c r="O212" s="467">
        <v>12112</v>
      </c>
      <c r="P212" s="471">
        <v>0.67400000000000004</v>
      </c>
      <c r="Q212" s="467">
        <v>422</v>
      </c>
      <c r="R212" s="472">
        <v>3.4799999999999998E-2</v>
      </c>
      <c r="S212" s="467">
        <v>0</v>
      </c>
      <c r="T212" s="472">
        <v>2.1299999999999999E-2</v>
      </c>
      <c r="U212" s="467">
        <v>87</v>
      </c>
      <c r="V212" s="486">
        <v>19</v>
      </c>
    </row>
    <row r="213" spans="1:22">
      <c r="A213" s="600">
        <v>45778</v>
      </c>
      <c r="B213" s="470">
        <v>1.4E-3</v>
      </c>
      <c r="C213" s="467">
        <v>16291</v>
      </c>
      <c r="D213" s="471">
        <v>0.72599999999999998</v>
      </c>
      <c r="E213" s="467">
        <v>813</v>
      </c>
      <c r="F213" s="472">
        <v>4.99E-2</v>
      </c>
      <c r="G213" s="467">
        <v>0</v>
      </c>
      <c r="H213" s="472">
        <v>2.8299999999999999E-2</v>
      </c>
      <c r="I213" s="467">
        <v>53</v>
      </c>
      <c r="J213" s="486">
        <v>76</v>
      </c>
      <c r="M213" s="600">
        <v>45778</v>
      </c>
      <c r="N213" s="470">
        <v>6.9999999999999999E-4</v>
      </c>
      <c r="O213" s="467">
        <v>12001</v>
      </c>
      <c r="P213" s="471">
        <v>0.67400000000000004</v>
      </c>
      <c r="Q213" s="467">
        <v>425</v>
      </c>
      <c r="R213" s="472">
        <v>3.5400000000000001E-2</v>
      </c>
      <c r="S213" s="467">
        <v>0</v>
      </c>
      <c r="T213" s="472">
        <v>2.12E-2</v>
      </c>
      <c r="U213" s="467">
        <v>85</v>
      </c>
      <c r="V213" s="486">
        <v>19</v>
      </c>
    </row>
    <row r="214" spans="1:22">
      <c r="A214" s="600">
        <v>45779</v>
      </c>
      <c r="B214" s="470">
        <v>1.6999999999999999E-3</v>
      </c>
      <c r="C214" s="467">
        <v>14490</v>
      </c>
      <c r="D214" s="471">
        <v>0.73</v>
      </c>
      <c r="E214" s="467">
        <v>770</v>
      </c>
      <c r="F214" s="472">
        <v>5.3100000000000001E-2</v>
      </c>
      <c r="G214" s="467">
        <v>0</v>
      </c>
      <c r="H214" s="472">
        <v>3.1199999999999999E-2</v>
      </c>
      <c r="I214" s="467">
        <v>47</v>
      </c>
      <c r="J214" s="486">
        <v>100</v>
      </c>
      <c r="M214" s="600">
        <v>45779</v>
      </c>
      <c r="N214" s="470">
        <v>8.0000000000000004E-4</v>
      </c>
      <c r="O214" s="467">
        <v>11832</v>
      </c>
      <c r="P214" s="471">
        <v>0.67500000000000004</v>
      </c>
      <c r="Q214" s="467">
        <v>422</v>
      </c>
      <c r="R214" s="472">
        <v>3.5700000000000003E-2</v>
      </c>
      <c r="S214" s="467">
        <v>0</v>
      </c>
      <c r="T214" s="472">
        <v>2.1299999999999999E-2</v>
      </c>
      <c r="U214" s="467">
        <v>82</v>
      </c>
      <c r="V214" s="486">
        <v>19</v>
      </c>
    </row>
    <row r="215" spans="1:22">
      <c r="A215" s="600">
        <v>45780</v>
      </c>
      <c r="B215" s="470">
        <v>1.9E-3</v>
      </c>
      <c r="C215" s="467">
        <v>12403</v>
      </c>
      <c r="D215" s="471">
        <v>0.73799999999999999</v>
      </c>
      <c r="E215" s="467">
        <v>690</v>
      </c>
      <c r="F215" s="472">
        <v>5.5599999999999997E-2</v>
      </c>
      <c r="G215" s="467">
        <v>0</v>
      </c>
      <c r="H215" s="472">
        <v>3.4799999999999998E-2</v>
      </c>
      <c r="I215" s="467">
        <v>46</v>
      </c>
      <c r="J215" s="486">
        <v>100</v>
      </c>
      <c r="M215" s="600">
        <v>45780</v>
      </c>
      <c r="N215" s="470">
        <v>8.0000000000000004E-4</v>
      </c>
      <c r="O215" s="467">
        <v>11668</v>
      </c>
      <c r="P215" s="471">
        <v>0.67600000000000005</v>
      </c>
      <c r="Q215" s="467">
        <v>420</v>
      </c>
      <c r="R215" s="472">
        <v>3.5999999999999997E-2</v>
      </c>
      <c r="S215" s="467">
        <v>0</v>
      </c>
      <c r="T215" s="472">
        <v>2.1399999999999999E-2</v>
      </c>
      <c r="U215" s="467">
        <v>82</v>
      </c>
      <c r="V215" s="486">
        <v>19</v>
      </c>
    </row>
    <row r="216" spans="1:22">
      <c r="A216" s="600">
        <v>45781</v>
      </c>
      <c r="B216" s="470">
        <v>2.2000000000000001E-3</v>
      </c>
      <c r="C216" s="467">
        <v>11133</v>
      </c>
      <c r="D216" s="471">
        <v>0.745</v>
      </c>
      <c r="E216" s="467">
        <v>588</v>
      </c>
      <c r="F216" s="472">
        <v>5.28E-2</v>
      </c>
      <c r="G216" s="467">
        <v>0</v>
      </c>
      <c r="H216" s="472">
        <v>4.0800000000000003E-2</v>
      </c>
      <c r="I216" s="467">
        <v>47</v>
      </c>
      <c r="J216" s="486">
        <v>100</v>
      </c>
      <c r="M216" s="600">
        <v>45781</v>
      </c>
      <c r="N216" s="470">
        <v>6.9999999999999999E-4</v>
      </c>
      <c r="O216" s="467">
        <v>12549</v>
      </c>
      <c r="P216" s="471">
        <v>0.67500000000000004</v>
      </c>
      <c r="Q216" s="467">
        <v>419</v>
      </c>
      <c r="R216" s="472">
        <v>3.3399999999999999E-2</v>
      </c>
      <c r="S216" s="467">
        <v>0</v>
      </c>
      <c r="T216" s="472">
        <v>2.1499999999999998E-2</v>
      </c>
      <c r="U216" s="467">
        <v>79</v>
      </c>
      <c r="V216" s="486">
        <v>19</v>
      </c>
    </row>
    <row r="217" spans="1:22">
      <c r="A217" s="600">
        <v>45782</v>
      </c>
      <c r="B217" s="470">
        <v>2.3E-3</v>
      </c>
      <c r="C217" s="467">
        <v>10537</v>
      </c>
      <c r="D217" s="471">
        <v>0.748</v>
      </c>
      <c r="E217" s="467">
        <v>568</v>
      </c>
      <c r="F217" s="472">
        <v>5.3900000000000003E-2</v>
      </c>
      <c r="G217" s="467">
        <v>0</v>
      </c>
      <c r="H217" s="472">
        <v>4.2299999999999997E-2</v>
      </c>
      <c r="I217" s="467">
        <v>43</v>
      </c>
      <c r="J217" s="486">
        <v>100</v>
      </c>
      <c r="M217" s="600">
        <v>45782</v>
      </c>
      <c r="N217" s="470">
        <v>5.9999999999999995E-4</v>
      </c>
      <c r="O217" s="467">
        <v>14393</v>
      </c>
      <c r="P217" s="471">
        <v>0.67300000000000004</v>
      </c>
      <c r="Q217" s="467">
        <v>464</v>
      </c>
      <c r="R217" s="472">
        <v>3.2199999999999999E-2</v>
      </c>
      <c r="S217" s="467">
        <v>0</v>
      </c>
      <c r="T217" s="472">
        <v>1.9400000000000001E-2</v>
      </c>
      <c r="U217" s="467">
        <v>78</v>
      </c>
      <c r="V217" s="486">
        <v>19</v>
      </c>
    </row>
    <row r="218" spans="1:22">
      <c r="A218" s="600">
        <v>45783</v>
      </c>
      <c r="B218" s="470">
        <v>2.3999999999999998E-3</v>
      </c>
      <c r="C218" s="467">
        <v>10087</v>
      </c>
      <c r="D218" s="471">
        <v>0.75</v>
      </c>
      <c r="E218" s="467">
        <v>550</v>
      </c>
      <c r="F218" s="472">
        <v>5.45E-2</v>
      </c>
      <c r="G218" s="467">
        <v>0</v>
      </c>
      <c r="H218" s="472">
        <v>4.36E-2</v>
      </c>
      <c r="I218" s="467">
        <v>41</v>
      </c>
      <c r="J218" s="486">
        <v>100</v>
      </c>
      <c r="M218" s="600">
        <v>45783</v>
      </c>
      <c r="N218" s="470">
        <v>5.0000000000000001E-4</v>
      </c>
      <c r="O218" s="467">
        <v>16582</v>
      </c>
      <c r="P218" s="471">
        <v>0.67200000000000004</v>
      </c>
      <c r="Q218" s="467">
        <v>527</v>
      </c>
      <c r="R218" s="472">
        <v>3.1800000000000002E-2</v>
      </c>
      <c r="S218" s="467">
        <v>0</v>
      </c>
      <c r="T218" s="472">
        <v>1.7100000000000001E-2</v>
      </c>
      <c r="U218" s="467">
        <v>79</v>
      </c>
      <c r="V218" s="486">
        <v>19</v>
      </c>
    </row>
    <row r="219" spans="1:22">
      <c r="A219" s="600">
        <v>45784</v>
      </c>
      <c r="B219" s="470">
        <v>2.5000000000000001E-3</v>
      </c>
      <c r="C219" s="467">
        <v>10173</v>
      </c>
      <c r="D219" s="471">
        <v>0.75700000000000001</v>
      </c>
      <c r="E219" s="467">
        <v>552</v>
      </c>
      <c r="F219" s="472">
        <v>5.4300000000000001E-2</v>
      </c>
      <c r="G219" s="467">
        <v>0</v>
      </c>
      <c r="H219" s="472">
        <v>4.53E-2</v>
      </c>
      <c r="I219" s="467">
        <v>39</v>
      </c>
      <c r="J219" s="486">
        <v>77</v>
      </c>
      <c r="M219" s="600">
        <v>45784</v>
      </c>
      <c r="N219" s="470">
        <v>5.0000000000000001E-4</v>
      </c>
      <c r="O219" s="467">
        <v>17987</v>
      </c>
      <c r="P219" s="471">
        <v>0.67300000000000004</v>
      </c>
      <c r="Q219" s="467">
        <v>597</v>
      </c>
      <c r="R219" s="472">
        <v>3.32E-2</v>
      </c>
      <c r="S219" s="467">
        <v>0</v>
      </c>
      <c r="T219" s="472">
        <v>1.5100000000000001E-2</v>
      </c>
      <c r="U219" s="467">
        <v>78</v>
      </c>
      <c r="V219" s="486">
        <v>19</v>
      </c>
    </row>
    <row r="220" spans="1:22">
      <c r="A220" s="600">
        <v>45785</v>
      </c>
      <c r="B220" s="470">
        <v>2.3999999999999998E-3</v>
      </c>
      <c r="C220" s="467">
        <v>10578</v>
      </c>
      <c r="D220" s="471">
        <v>0.76300000000000001</v>
      </c>
      <c r="E220" s="467">
        <v>566</v>
      </c>
      <c r="F220" s="472">
        <v>5.3499999999999999E-2</v>
      </c>
      <c r="G220" s="467">
        <v>0</v>
      </c>
      <c r="H220" s="472">
        <v>4.4200000000000003E-2</v>
      </c>
      <c r="I220" s="467">
        <v>32</v>
      </c>
      <c r="J220" s="486">
        <v>77</v>
      </c>
      <c r="M220" s="600">
        <v>45785</v>
      </c>
      <c r="N220" s="470">
        <v>5.0000000000000001E-4</v>
      </c>
      <c r="O220" s="467">
        <v>18581</v>
      </c>
      <c r="P220" s="471">
        <v>0.67200000000000004</v>
      </c>
      <c r="Q220" s="467">
        <v>649</v>
      </c>
      <c r="R220" s="472">
        <v>3.49E-2</v>
      </c>
      <c r="S220" s="467">
        <v>0</v>
      </c>
      <c r="T220" s="472">
        <v>1.54E-2</v>
      </c>
      <c r="U220" s="467">
        <v>74</v>
      </c>
      <c r="V220" s="486">
        <v>17</v>
      </c>
    </row>
    <row r="221" spans="1:22">
      <c r="A221" s="600">
        <v>45786</v>
      </c>
      <c r="B221" s="470">
        <v>2.3999999999999998E-3</v>
      </c>
      <c r="C221" s="467">
        <v>10926</v>
      </c>
      <c r="D221" s="471">
        <v>0.76600000000000001</v>
      </c>
      <c r="E221" s="467">
        <v>588</v>
      </c>
      <c r="F221" s="472">
        <v>5.3800000000000001E-2</v>
      </c>
      <c r="G221" s="467">
        <v>0</v>
      </c>
      <c r="H221" s="472">
        <v>4.4200000000000003E-2</v>
      </c>
      <c r="I221" s="467">
        <v>32</v>
      </c>
      <c r="J221" s="486">
        <v>77</v>
      </c>
      <c r="M221" s="600">
        <v>45786</v>
      </c>
      <c r="N221" s="470">
        <v>5.9999999999999995E-4</v>
      </c>
      <c r="O221" s="467">
        <v>17806</v>
      </c>
      <c r="P221" s="471">
        <v>0.67200000000000004</v>
      </c>
      <c r="Q221" s="467">
        <v>674</v>
      </c>
      <c r="R221" s="472">
        <v>3.7900000000000003E-2</v>
      </c>
      <c r="S221" s="467">
        <v>0</v>
      </c>
      <c r="T221" s="472">
        <v>1.6299999999999999E-2</v>
      </c>
      <c r="U221" s="467">
        <v>72</v>
      </c>
      <c r="V221" s="486">
        <v>17</v>
      </c>
    </row>
    <row r="222" spans="1:22">
      <c r="A222" s="600">
        <v>45787</v>
      </c>
      <c r="B222" s="470">
        <v>2.5000000000000001E-3</v>
      </c>
      <c r="C222" s="467">
        <v>11014</v>
      </c>
      <c r="D222" s="471">
        <v>0.76400000000000001</v>
      </c>
      <c r="E222" s="467">
        <v>599</v>
      </c>
      <c r="F222" s="472">
        <v>5.4399999999999997E-2</v>
      </c>
      <c r="G222" s="467">
        <v>0</v>
      </c>
      <c r="H222" s="472">
        <v>4.5100000000000001E-2</v>
      </c>
      <c r="I222" s="467">
        <v>34</v>
      </c>
      <c r="J222" s="486">
        <v>77</v>
      </c>
      <c r="M222" s="600">
        <v>45787</v>
      </c>
      <c r="N222" s="470">
        <v>6.9999999999999999E-4</v>
      </c>
      <c r="O222" s="467">
        <v>16581</v>
      </c>
      <c r="P222" s="471">
        <v>0.67300000000000004</v>
      </c>
      <c r="Q222" s="467">
        <v>646</v>
      </c>
      <c r="R222" s="472">
        <v>3.9E-2</v>
      </c>
      <c r="S222" s="467">
        <v>0</v>
      </c>
      <c r="T222" s="472">
        <v>1.7000000000000001E-2</v>
      </c>
      <c r="U222" s="467">
        <v>65</v>
      </c>
      <c r="V222" s="486">
        <v>22</v>
      </c>
    </row>
    <row r="223" spans="1:22">
      <c r="A223" s="600">
        <v>45788</v>
      </c>
      <c r="B223" s="470">
        <v>2.5000000000000001E-3</v>
      </c>
      <c r="C223" s="467">
        <v>11014</v>
      </c>
      <c r="D223" s="471">
        <v>0.76100000000000001</v>
      </c>
      <c r="E223" s="467">
        <v>599</v>
      </c>
      <c r="F223" s="472">
        <v>5.4399999999999997E-2</v>
      </c>
      <c r="G223" s="467">
        <v>0</v>
      </c>
      <c r="H223" s="472">
        <v>4.5100000000000001E-2</v>
      </c>
      <c r="I223" s="467">
        <v>33</v>
      </c>
      <c r="J223" s="486">
        <v>35</v>
      </c>
      <c r="M223" s="600">
        <v>45788</v>
      </c>
      <c r="N223" s="470">
        <v>6.9999999999999999E-4</v>
      </c>
      <c r="O223" s="467">
        <v>16203</v>
      </c>
      <c r="P223" s="471">
        <v>0.67300000000000004</v>
      </c>
      <c r="Q223" s="467">
        <v>613</v>
      </c>
      <c r="R223" s="472">
        <v>3.78E-2</v>
      </c>
      <c r="S223" s="467">
        <v>0</v>
      </c>
      <c r="T223" s="472">
        <v>1.7899999999999999E-2</v>
      </c>
      <c r="U223" s="467">
        <v>62</v>
      </c>
      <c r="V223" s="486">
        <v>22</v>
      </c>
    </row>
    <row r="224" spans="1:22">
      <c r="A224" s="600">
        <v>45789</v>
      </c>
      <c r="B224" s="470">
        <v>2.5000000000000001E-3</v>
      </c>
      <c r="C224" s="467">
        <v>11014</v>
      </c>
      <c r="D224" s="471">
        <v>0.76</v>
      </c>
      <c r="E224" s="467">
        <v>599</v>
      </c>
      <c r="F224" s="472">
        <v>5.4399999999999997E-2</v>
      </c>
      <c r="G224" s="467">
        <v>0</v>
      </c>
      <c r="H224" s="472">
        <v>4.5100000000000001E-2</v>
      </c>
      <c r="I224" s="467">
        <v>34</v>
      </c>
      <c r="J224" s="486">
        <v>35</v>
      </c>
      <c r="M224" s="600">
        <v>45789</v>
      </c>
      <c r="N224" s="470">
        <v>6.9999999999999999E-4</v>
      </c>
      <c r="O224" s="467">
        <v>16203</v>
      </c>
      <c r="P224" s="471">
        <v>0.66800000000000004</v>
      </c>
      <c r="Q224" s="467">
        <v>613</v>
      </c>
      <c r="R224" s="472">
        <v>3.78E-2</v>
      </c>
      <c r="S224" s="467">
        <v>0</v>
      </c>
      <c r="T224" s="472">
        <v>1.9599999999999999E-2</v>
      </c>
      <c r="U224" s="467">
        <v>59</v>
      </c>
      <c r="V224" s="486">
        <v>39</v>
      </c>
    </row>
    <row r="225" spans="1:22">
      <c r="A225" s="600">
        <v>45790</v>
      </c>
      <c r="B225" s="470">
        <v>2.3999999999999998E-3</v>
      </c>
      <c r="C225" s="467">
        <v>11147</v>
      </c>
      <c r="D225" s="471">
        <v>0.75800000000000001</v>
      </c>
      <c r="E225" s="467">
        <v>599</v>
      </c>
      <c r="F225" s="472">
        <v>5.3699999999999998E-2</v>
      </c>
      <c r="G225" s="467">
        <v>0</v>
      </c>
      <c r="H225" s="472">
        <v>4.5100000000000001E-2</v>
      </c>
      <c r="I225" s="467">
        <v>34</v>
      </c>
      <c r="J225" s="486">
        <v>35</v>
      </c>
      <c r="M225" s="600">
        <v>45790</v>
      </c>
      <c r="N225" s="470">
        <v>8.0000000000000004E-4</v>
      </c>
      <c r="O225" s="467">
        <v>16203</v>
      </c>
      <c r="P225" s="471">
        <v>0.66900000000000004</v>
      </c>
      <c r="Q225" s="467">
        <v>613</v>
      </c>
      <c r="R225" s="472">
        <v>3.78E-2</v>
      </c>
      <c r="S225" s="467">
        <v>0</v>
      </c>
      <c r="T225" s="472">
        <v>2.12E-2</v>
      </c>
      <c r="U225" s="467">
        <v>57</v>
      </c>
      <c r="V225" s="486">
        <v>39</v>
      </c>
    </row>
    <row r="226" spans="1:22">
      <c r="A226" s="600">
        <v>45791</v>
      </c>
      <c r="B226" s="470">
        <v>2.3999999999999998E-3</v>
      </c>
      <c r="C226" s="467">
        <v>11406</v>
      </c>
      <c r="D226" s="471">
        <v>0.75700000000000001</v>
      </c>
      <c r="E226" s="467">
        <v>608</v>
      </c>
      <c r="F226" s="472">
        <v>5.33E-2</v>
      </c>
      <c r="G226" s="467">
        <v>0</v>
      </c>
      <c r="H226" s="472">
        <v>4.4400000000000002E-2</v>
      </c>
      <c r="I226" s="467">
        <v>35</v>
      </c>
      <c r="J226" s="486">
        <v>30</v>
      </c>
      <c r="M226" s="600">
        <v>45791</v>
      </c>
      <c r="N226" s="470">
        <v>8.9999999999999998E-4</v>
      </c>
      <c r="O226" s="467">
        <v>16203</v>
      </c>
      <c r="P226" s="471">
        <v>0.67</v>
      </c>
      <c r="Q226" s="467">
        <v>613</v>
      </c>
      <c r="R226" s="472">
        <v>3.78E-2</v>
      </c>
      <c r="S226" s="467">
        <v>0</v>
      </c>
      <c r="T226" s="472">
        <v>2.2800000000000001E-2</v>
      </c>
      <c r="U226" s="467">
        <v>59</v>
      </c>
      <c r="V226" s="486">
        <v>39</v>
      </c>
    </row>
    <row r="227" spans="1:22">
      <c r="A227" s="600">
        <v>45792</v>
      </c>
      <c r="B227" s="470">
        <v>2.3E-3</v>
      </c>
      <c r="C227" s="467">
        <v>11532</v>
      </c>
      <c r="D227" s="471">
        <v>0.75800000000000001</v>
      </c>
      <c r="E227" s="467">
        <v>617</v>
      </c>
      <c r="F227" s="472">
        <v>5.3499999999999999E-2</v>
      </c>
      <c r="G227" s="467">
        <v>0</v>
      </c>
      <c r="H227" s="472">
        <v>4.3799999999999999E-2</v>
      </c>
      <c r="I227" s="467">
        <v>35</v>
      </c>
      <c r="J227" s="486">
        <v>30</v>
      </c>
      <c r="M227" s="600">
        <v>45792</v>
      </c>
      <c r="N227" s="470">
        <v>8.9999999999999998E-4</v>
      </c>
      <c r="O227" s="467">
        <v>16244</v>
      </c>
      <c r="P227" s="471">
        <v>0.67200000000000004</v>
      </c>
      <c r="Q227" s="467">
        <v>613</v>
      </c>
      <c r="R227" s="472">
        <v>3.7699999999999997E-2</v>
      </c>
      <c r="S227" s="467">
        <v>0</v>
      </c>
      <c r="T227" s="472">
        <v>2.4500000000000001E-2</v>
      </c>
      <c r="U227" s="467">
        <v>60</v>
      </c>
      <c r="V227" s="486">
        <v>39</v>
      </c>
    </row>
    <row r="228" spans="1:22">
      <c r="A228" s="600">
        <v>45793</v>
      </c>
      <c r="B228" s="470">
        <v>2.3E-3</v>
      </c>
      <c r="C228" s="467">
        <v>11532</v>
      </c>
      <c r="D228" s="471">
        <v>0.75700000000000001</v>
      </c>
      <c r="E228" s="467">
        <v>617</v>
      </c>
      <c r="F228" s="472">
        <v>5.3499999999999999E-2</v>
      </c>
      <c r="G228" s="467">
        <v>0</v>
      </c>
      <c r="H228" s="472">
        <v>4.3799999999999999E-2</v>
      </c>
      <c r="I228" s="467">
        <v>35</v>
      </c>
      <c r="J228" s="486">
        <v>74</v>
      </c>
      <c r="M228" s="600">
        <v>45793</v>
      </c>
      <c r="N228" s="470">
        <v>1E-3</v>
      </c>
      <c r="O228" s="467">
        <v>16338</v>
      </c>
      <c r="P228" s="471">
        <v>0.67200000000000004</v>
      </c>
      <c r="Q228" s="467">
        <v>621</v>
      </c>
      <c r="R228" s="472">
        <v>3.7999999999999999E-2</v>
      </c>
      <c r="S228" s="467">
        <v>0</v>
      </c>
      <c r="T228" s="472">
        <v>2.58E-2</v>
      </c>
      <c r="U228" s="467">
        <v>60</v>
      </c>
      <c r="V228" s="486">
        <v>45</v>
      </c>
    </row>
    <row r="229" spans="1:22">
      <c r="A229" s="600">
        <v>45794</v>
      </c>
      <c r="B229" s="470">
        <v>2.3999999999999998E-3</v>
      </c>
      <c r="C229" s="467">
        <v>11162</v>
      </c>
      <c r="D229" s="471">
        <v>0.75700000000000001</v>
      </c>
      <c r="E229" s="467">
        <v>617</v>
      </c>
      <c r="F229" s="472">
        <v>5.5300000000000002E-2</v>
      </c>
      <c r="G229" s="467">
        <v>0</v>
      </c>
      <c r="H229" s="472">
        <v>4.3799999999999999E-2</v>
      </c>
      <c r="I229" s="467">
        <v>35</v>
      </c>
      <c r="J229" s="486">
        <v>74</v>
      </c>
      <c r="M229" s="600">
        <v>45794</v>
      </c>
      <c r="N229" s="470">
        <v>1E-3</v>
      </c>
      <c r="O229" s="467">
        <v>16458</v>
      </c>
      <c r="P229" s="471">
        <v>0.67300000000000004</v>
      </c>
      <c r="Q229" s="467">
        <v>629</v>
      </c>
      <c r="R229" s="472">
        <v>3.8199999999999998E-2</v>
      </c>
      <c r="S229" s="467">
        <v>0</v>
      </c>
      <c r="T229" s="472">
        <v>2.7E-2</v>
      </c>
      <c r="U229" s="467">
        <v>61</v>
      </c>
      <c r="V229" s="486">
        <v>45</v>
      </c>
    </row>
    <row r="230" spans="1:22">
      <c r="A230" s="600">
        <v>45795</v>
      </c>
      <c r="B230" s="470">
        <v>2.7000000000000001E-3</v>
      </c>
      <c r="C230" s="467">
        <v>10495</v>
      </c>
      <c r="D230" s="471">
        <v>0.753</v>
      </c>
      <c r="E230" s="467">
        <v>609</v>
      </c>
      <c r="F230" s="472">
        <v>5.8000000000000003E-2</v>
      </c>
      <c r="G230" s="467">
        <v>0</v>
      </c>
      <c r="H230" s="472">
        <v>4.5999999999999999E-2</v>
      </c>
      <c r="I230" s="467">
        <v>32</v>
      </c>
      <c r="J230" s="486">
        <v>74</v>
      </c>
      <c r="M230" s="600">
        <v>45795</v>
      </c>
      <c r="N230" s="470">
        <v>1.1000000000000001E-3</v>
      </c>
      <c r="O230" s="467">
        <v>16547</v>
      </c>
      <c r="P230" s="471">
        <v>0.67200000000000004</v>
      </c>
      <c r="Q230" s="467">
        <v>638</v>
      </c>
      <c r="R230" s="472">
        <v>3.8600000000000002E-2</v>
      </c>
      <c r="S230" s="467">
        <v>0</v>
      </c>
      <c r="T230" s="472">
        <v>2.8199999999999999E-2</v>
      </c>
      <c r="U230" s="467">
        <v>63</v>
      </c>
      <c r="V230" s="486">
        <v>45</v>
      </c>
    </row>
    <row r="231" spans="1:22">
      <c r="A231" s="600">
        <v>45796</v>
      </c>
      <c r="B231" s="470">
        <v>2.8E-3</v>
      </c>
      <c r="C231" s="467">
        <v>10196</v>
      </c>
      <c r="D231" s="471">
        <v>0.747</v>
      </c>
      <c r="E231" s="467">
        <v>601</v>
      </c>
      <c r="F231" s="472">
        <v>5.8900000000000001E-2</v>
      </c>
      <c r="G231" s="467">
        <v>0</v>
      </c>
      <c r="H231" s="472">
        <v>4.8300000000000003E-2</v>
      </c>
      <c r="I231" s="467">
        <v>31</v>
      </c>
      <c r="J231" s="486">
        <v>74</v>
      </c>
      <c r="M231" s="600">
        <v>45796</v>
      </c>
      <c r="N231" s="470">
        <v>1.1000000000000001E-3</v>
      </c>
      <c r="O231" s="467">
        <v>15998</v>
      </c>
      <c r="P231" s="471">
        <v>0.67200000000000004</v>
      </c>
      <c r="Q231" s="467">
        <v>639</v>
      </c>
      <c r="R231" s="472">
        <v>3.9899999999999998E-2</v>
      </c>
      <c r="S231" s="467">
        <v>0</v>
      </c>
      <c r="T231" s="472">
        <v>2.8199999999999999E-2</v>
      </c>
      <c r="U231" s="467">
        <v>63</v>
      </c>
      <c r="V231" s="486">
        <v>45</v>
      </c>
    </row>
    <row r="232" spans="1:22">
      <c r="A232" s="600">
        <v>45797</v>
      </c>
      <c r="B232" s="470">
        <v>2.8999999999999998E-3</v>
      </c>
      <c r="C232" s="467">
        <v>10195</v>
      </c>
      <c r="D232" s="471">
        <v>0.745</v>
      </c>
      <c r="E232" s="467">
        <v>601</v>
      </c>
      <c r="F232" s="472">
        <v>5.8999999999999997E-2</v>
      </c>
      <c r="G232" s="467">
        <v>0</v>
      </c>
      <c r="H232" s="472">
        <v>4.99E-2</v>
      </c>
      <c r="I232" s="467">
        <v>27</v>
      </c>
      <c r="J232" s="486">
        <v>74</v>
      </c>
      <c r="M232" s="600">
        <v>45797</v>
      </c>
      <c r="N232" s="470">
        <v>1.1999999999999999E-3</v>
      </c>
      <c r="O232" s="467">
        <v>15076</v>
      </c>
      <c r="P232" s="471">
        <v>0.67100000000000004</v>
      </c>
      <c r="Q232" s="467">
        <v>629</v>
      </c>
      <c r="R232" s="472">
        <v>4.1700000000000001E-2</v>
      </c>
      <c r="S232" s="467">
        <v>0</v>
      </c>
      <c r="T232" s="472">
        <v>2.86E-2</v>
      </c>
      <c r="U232" s="467">
        <v>64</v>
      </c>
      <c r="V232" s="486">
        <v>45</v>
      </c>
    </row>
    <row r="233" spans="1:22">
      <c r="A233" s="600">
        <v>45798</v>
      </c>
      <c r="B233" s="470">
        <v>2.8999999999999998E-3</v>
      </c>
      <c r="C233" s="467">
        <v>10782</v>
      </c>
      <c r="D233" s="471">
        <v>0.73899999999999999</v>
      </c>
      <c r="E233" s="467">
        <v>601</v>
      </c>
      <c r="F233" s="472">
        <v>5.57E-2</v>
      </c>
      <c r="G233" s="467">
        <v>0</v>
      </c>
      <c r="H233" s="472">
        <v>5.16E-2</v>
      </c>
      <c r="I233" s="467">
        <v>26</v>
      </c>
      <c r="J233" s="486">
        <v>74</v>
      </c>
      <c r="M233" s="600">
        <v>45798</v>
      </c>
      <c r="N233" s="470">
        <v>1.2999999999999999E-3</v>
      </c>
      <c r="O233" s="467">
        <v>14154</v>
      </c>
      <c r="P233" s="471">
        <v>0.67200000000000004</v>
      </c>
      <c r="Q233" s="467">
        <v>619</v>
      </c>
      <c r="R233" s="472">
        <v>4.3700000000000003E-2</v>
      </c>
      <c r="S233" s="467">
        <v>0</v>
      </c>
      <c r="T233" s="472">
        <v>2.9100000000000001E-2</v>
      </c>
      <c r="U233" s="467">
        <v>64</v>
      </c>
      <c r="V233" s="486">
        <v>45</v>
      </c>
    </row>
    <row r="234" spans="1:22">
      <c r="A234" s="600">
        <v>45799</v>
      </c>
      <c r="B234" s="470">
        <v>2.8E-3</v>
      </c>
      <c r="C234" s="467">
        <v>11388</v>
      </c>
      <c r="D234" s="471">
        <v>0.73699999999999999</v>
      </c>
      <c r="E234" s="467">
        <v>627</v>
      </c>
      <c r="F234" s="472">
        <v>5.5100000000000003E-2</v>
      </c>
      <c r="G234" s="467">
        <v>0</v>
      </c>
      <c r="H234" s="472">
        <v>5.0999999999999997E-2</v>
      </c>
      <c r="I234" s="467">
        <v>25</v>
      </c>
      <c r="J234" s="486">
        <v>66</v>
      </c>
      <c r="M234" s="600">
        <v>45799</v>
      </c>
      <c r="N234" s="470">
        <v>1.2999999999999999E-3</v>
      </c>
      <c r="O234" s="467">
        <v>13535</v>
      </c>
      <c r="P234" s="471">
        <v>0.67500000000000004</v>
      </c>
      <c r="Q234" s="467">
        <v>609</v>
      </c>
      <c r="R234" s="472">
        <v>4.4999999999999998E-2</v>
      </c>
      <c r="S234" s="467">
        <v>0</v>
      </c>
      <c r="T234" s="472">
        <v>2.9600000000000001E-2</v>
      </c>
      <c r="U234" s="467">
        <v>61</v>
      </c>
      <c r="V234" s="486">
        <v>45</v>
      </c>
    </row>
    <row r="235" spans="1:22">
      <c r="A235" s="600">
        <v>45800</v>
      </c>
      <c r="B235" s="470">
        <v>2.7000000000000001E-3</v>
      </c>
      <c r="C235" s="467">
        <v>11808</v>
      </c>
      <c r="D235" s="471">
        <v>0.73299999999999998</v>
      </c>
      <c r="E235" s="467">
        <v>634</v>
      </c>
      <c r="F235" s="472">
        <v>5.3699999999999998E-2</v>
      </c>
      <c r="G235" s="467">
        <v>0</v>
      </c>
      <c r="H235" s="472">
        <v>5.0500000000000003E-2</v>
      </c>
      <c r="I235" s="467">
        <v>25</v>
      </c>
      <c r="J235" s="486">
        <v>77</v>
      </c>
      <c r="M235" s="600">
        <v>45800</v>
      </c>
      <c r="N235" s="470">
        <v>1.4E-3</v>
      </c>
      <c r="O235" s="467">
        <v>13037</v>
      </c>
      <c r="P235" s="471">
        <v>0.67400000000000004</v>
      </c>
      <c r="Q235" s="467">
        <v>581</v>
      </c>
      <c r="R235" s="472">
        <v>4.4600000000000001E-2</v>
      </c>
      <c r="S235" s="467">
        <v>0</v>
      </c>
      <c r="T235" s="472">
        <v>3.1E-2</v>
      </c>
      <c r="U235" s="467">
        <v>61</v>
      </c>
      <c r="V235" s="486">
        <v>45</v>
      </c>
    </row>
    <row r="236" spans="1:22">
      <c r="A236" s="600">
        <v>45801</v>
      </c>
      <c r="B236" s="470">
        <v>2.5999999999999999E-3</v>
      </c>
      <c r="C236" s="467">
        <v>12302</v>
      </c>
      <c r="D236" s="471">
        <v>0.73599999999999999</v>
      </c>
      <c r="E236" s="467">
        <v>641</v>
      </c>
      <c r="F236" s="472">
        <v>5.21E-2</v>
      </c>
      <c r="G236" s="467">
        <v>0</v>
      </c>
      <c r="H236" s="472">
        <v>4.99E-2</v>
      </c>
      <c r="I236" s="467">
        <v>25</v>
      </c>
      <c r="J236" s="486">
        <v>77</v>
      </c>
      <c r="M236" s="600">
        <v>45801</v>
      </c>
      <c r="N236" s="470">
        <v>1.5E-3</v>
      </c>
      <c r="O236" s="467">
        <v>12408</v>
      </c>
      <c r="P236" s="471">
        <v>0.67500000000000004</v>
      </c>
      <c r="Q236" s="467">
        <v>545</v>
      </c>
      <c r="R236" s="472">
        <v>4.3900000000000002E-2</v>
      </c>
      <c r="S236" s="467">
        <v>0</v>
      </c>
      <c r="T236" s="472">
        <v>3.3000000000000002E-2</v>
      </c>
      <c r="U236" s="467">
        <v>62</v>
      </c>
      <c r="V236" s="486">
        <v>45</v>
      </c>
    </row>
    <row r="237" spans="1:22">
      <c r="A237" s="600">
        <v>45802</v>
      </c>
      <c r="B237" s="470">
        <v>2.5999999999999999E-3</v>
      </c>
      <c r="C237" s="467">
        <v>12287</v>
      </c>
      <c r="D237" s="471">
        <v>0.73299999999999998</v>
      </c>
      <c r="E237" s="467">
        <v>641</v>
      </c>
      <c r="F237" s="472">
        <v>5.2200000000000003E-2</v>
      </c>
      <c r="G237" s="467">
        <v>0</v>
      </c>
      <c r="H237" s="472">
        <v>4.99E-2</v>
      </c>
      <c r="I237" s="467">
        <v>26</v>
      </c>
      <c r="J237" s="486">
        <v>77</v>
      </c>
      <c r="M237" s="600">
        <v>45802</v>
      </c>
      <c r="N237" s="470">
        <v>1.4E-3</v>
      </c>
      <c r="O237" s="467">
        <v>11774</v>
      </c>
      <c r="P237" s="471">
        <v>0.66800000000000004</v>
      </c>
      <c r="Q237" s="467">
        <v>499</v>
      </c>
      <c r="R237" s="472">
        <v>4.24E-2</v>
      </c>
      <c r="S237" s="467">
        <v>0</v>
      </c>
      <c r="T237" s="472">
        <v>3.4099999999999998E-2</v>
      </c>
      <c r="U237" s="467">
        <v>65</v>
      </c>
      <c r="V237" s="486">
        <v>53</v>
      </c>
    </row>
    <row r="238" spans="1:22">
      <c r="A238" s="600">
        <v>45803</v>
      </c>
      <c r="B238" s="470">
        <v>2.5999999999999999E-3</v>
      </c>
      <c r="C238" s="467">
        <v>12272</v>
      </c>
      <c r="D238" s="471">
        <v>0.73</v>
      </c>
      <c r="E238" s="467">
        <v>640</v>
      </c>
      <c r="F238" s="472">
        <v>5.2200000000000003E-2</v>
      </c>
      <c r="G238" s="467">
        <v>0</v>
      </c>
      <c r="H238" s="472">
        <v>0.05</v>
      </c>
      <c r="I238" s="467">
        <v>27</v>
      </c>
      <c r="J238" s="486">
        <v>77</v>
      </c>
      <c r="M238" s="600">
        <v>45803</v>
      </c>
      <c r="N238" s="470">
        <v>1.4E-3</v>
      </c>
      <c r="O238" s="467">
        <v>11314</v>
      </c>
      <c r="P238" s="471">
        <v>0.66500000000000004</v>
      </c>
      <c r="Q238" s="467">
        <v>448</v>
      </c>
      <c r="R238" s="472">
        <v>3.9600000000000003E-2</v>
      </c>
      <c r="S238" s="467">
        <v>0</v>
      </c>
      <c r="T238" s="472">
        <v>3.5700000000000003E-2</v>
      </c>
      <c r="U238" s="467">
        <v>67</v>
      </c>
      <c r="V238" s="486">
        <v>53</v>
      </c>
    </row>
    <row r="239" spans="1:22">
      <c r="A239" s="600">
        <v>45804</v>
      </c>
      <c r="B239" s="470">
        <v>2.5999999999999999E-3</v>
      </c>
      <c r="C239" s="467">
        <v>12265</v>
      </c>
      <c r="D239" s="471">
        <v>0.73099999999999998</v>
      </c>
      <c r="E239" s="467">
        <v>639</v>
      </c>
      <c r="F239" s="472">
        <v>5.21E-2</v>
      </c>
      <c r="G239" s="467">
        <v>0</v>
      </c>
      <c r="H239" s="472">
        <v>5.0099999999999999E-2</v>
      </c>
      <c r="I239" s="467">
        <v>26</v>
      </c>
      <c r="J239" s="486">
        <v>77</v>
      </c>
      <c r="M239" s="600">
        <v>45804</v>
      </c>
      <c r="N239" s="470">
        <v>1.4E-3</v>
      </c>
      <c r="O239" s="467">
        <v>11106</v>
      </c>
      <c r="P239" s="471">
        <v>0.66300000000000003</v>
      </c>
      <c r="Q239" s="467">
        <v>412</v>
      </c>
      <c r="R239" s="472">
        <v>3.7100000000000001E-2</v>
      </c>
      <c r="S239" s="467">
        <v>0</v>
      </c>
      <c r="T239" s="472">
        <v>3.8800000000000001E-2</v>
      </c>
      <c r="U239" s="467">
        <v>68</v>
      </c>
      <c r="V239" s="486">
        <v>58</v>
      </c>
    </row>
    <row r="240" spans="1:22">
      <c r="A240" s="600">
        <v>45805</v>
      </c>
      <c r="B240" s="470">
        <v>2.5999999999999999E-3</v>
      </c>
      <c r="C240" s="467">
        <v>12095</v>
      </c>
      <c r="D240" s="471">
        <v>0.73399999999999999</v>
      </c>
      <c r="E240" s="467">
        <v>638</v>
      </c>
      <c r="F240" s="472">
        <v>5.2699999999999997E-2</v>
      </c>
      <c r="G240" s="467">
        <v>0</v>
      </c>
      <c r="H240" s="472">
        <v>5.0200000000000002E-2</v>
      </c>
      <c r="I240" s="467">
        <v>25</v>
      </c>
      <c r="J240" s="486">
        <v>77</v>
      </c>
      <c r="M240" s="600">
        <v>45805</v>
      </c>
      <c r="N240" s="470">
        <v>1.4E-3</v>
      </c>
      <c r="O240" s="467">
        <v>11043</v>
      </c>
      <c r="P240" s="471">
        <v>0.67300000000000004</v>
      </c>
      <c r="Q240" s="467">
        <v>397</v>
      </c>
      <c r="R240" s="472">
        <v>3.5999999999999997E-2</v>
      </c>
      <c r="S240" s="467">
        <v>0</v>
      </c>
      <c r="T240" s="472">
        <v>4.0300000000000002E-2</v>
      </c>
      <c r="U240" s="467">
        <v>71</v>
      </c>
      <c r="V240" s="486">
        <v>58</v>
      </c>
    </row>
    <row r="241" spans="1:22">
      <c r="A241" s="600">
        <v>45806</v>
      </c>
      <c r="B241" s="470">
        <v>2.7000000000000001E-3</v>
      </c>
      <c r="C241" s="467">
        <v>11699</v>
      </c>
      <c r="D241" s="471">
        <v>0.73299999999999998</v>
      </c>
      <c r="E241" s="467">
        <v>619</v>
      </c>
      <c r="F241" s="472">
        <v>5.2900000000000003E-2</v>
      </c>
      <c r="G241" s="467">
        <v>0</v>
      </c>
      <c r="H241" s="472">
        <v>5.1700000000000003E-2</v>
      </c>
      <c r="I241" s="467">
        <v>25</v>
      </c>
      <c r="J241" s="486">
        <v>77</v>
      </c>
      <c r="M241" s="600">
        <v>45806</v>
      </c>
      <c r="N241" s="470">
        <v>1.5E-3</v>
      </c>
      <c r="O241" s="467">
        <v>10806</v>
      </c>
      <c r="P241" s="471">
        <v>0.68899999999999995</v>
      </c>
      <c r="Q241" s="467">
        <v>394</v>
      </c>
      <c r="R241" s="472">
        <v>3.6499999999999998E-2</v>
      </c>
      <c r="S241" s="467">
        <v>0</v>
      </c>
      <c r="T241" s="472">
        <v>4.0599999999999997E-2</v>
      </c>
      <c r="U241" s="467">
        <v>72</v>
      </c>
      <c r="V241" s="486">
        <v>62</v>
      </c>
    </row>
    <row r="242" spans="1:22">
      <c r="A242" s="600">
        <v>45807</v>
      </c>
      <c r="B242" s="470">
        <v>2.8E-3</v>
      </c>
      <c r="C242" s="467">
        <v>11136</v>
      </c>
      <c r="D242" s="471">
        <v>0.73399999999999999</v>
      </c>
      <c r="E242" s="467">
        <v>588</v>
      </c>
      <c r="F242" s="472">
        <v>5.28E-2</v>
      </c>
      <c r="G242" s="467">
        <v>0</v>
      </c>
      <c r="H242" s="472">
        <v>5.2699999999999997E-2</v>
      </c>
      <c r="I242" s="467">
        <v>25</v>
      </c>
      <c r="J242" s="486">
        <v>77</v>
      </c>
      <c r="M242" s="600">
        <v>45807</v>
      </c>
      <c r="N242" s="470">
        <v>1.5E-3</v>
      </c>
      <c r="O242" s="467">
        <v>10460</v>
      </c>
      <c r="P242" s="471">
        <v>0.69499999999999995</v>
      </c>
      <c r="Q242" s="467">
        <v>384</v>
      </c>
      <c r="R242" s="472">
        <v>3.6700000000000003E-2</v>
      </c>
      <c r="S242" s="467">
        <v>0</v>
      </c>
      <c r="T242" s="472">
        <v>4.1700000000000001E-2</v>
      </c>
      <c r="U242" s="467">
        <v>73</v>
      </c>
      <c r="V242" s="486">
        <v>76</v>
      </c>
    </row>
    <row r="243" spans="1:22">
      <c r="A243" s="600">
        <v>45808</v>
      </c>
      <c r="B243" s="470">
        <v>2.7000000000000001E-3</v>
      </c>
      <c r="C243" s="467">
        <v>10575</v>
      </c>
      <c r="D243" s="471">
        <v>0.73599999999999999</v>
      </c>
      <c r="E243" s="467">
        <v>539</v>
      </c>
      <c r="F243" s="472">
        <v>5.0999999999999997E-2</v>
      </c>
      <c r="G243" s="467">
        <v>0</v>
      </c>
      <c r="H243" s="472">
        <v>5.3800000000000001E-2</v>
      </c>
      <c r="I243" s="467">
        <v>24</v>
      </c>
      <c r="J243" s="486">
        <v>88</v>
      </c>
      <c r="M243" s="600">
        <v>45808</v>
      </c>
      <c r="N243" s="470">
        <v>1.6000000000000001E-3</v>
      </c>
      <c r="O243" s="467">
        <v>10186</v>
      </c>
      <c r="P243" s="471">
        <v>0.69099999999999995</v>
      </c>
      <c r="Q243" s="467">
        <v>374</v>
      </c>
      <c r="R243" s="472">
        <v>3.6700000000000003E-2</v>
      </c>
      <c r="S243" s="467">
        <v>0</v>
      </c>
      <c r="T243" s="472">
        <v>4.2799999999999998E-2</v>
      </c>
      <c r="U243" s="467">
        <v>75</v>
      </c>
      <c r="V243" s="486">
        <v>76</v>
      </c>
    </row>
    <row r="244" spans="1:22">
      <c r="A244" s="600">
        <v>45809</v>
      </c>
      <c r="B244" s="470">
        <v>2.7000000000000001E-3</v>
      </c>
      <c r="C244" s="467">
        <v>10078</v>
      </c>
      <c r="D244" s="471">
        <v>0.73699999999999999</v>
      </c>
      <c r="E244" s="467">
        <v>485</v>
      </c>
      <c r="F244" s="472">
        <v>4.8099999999999997E-2</v>
      </c>
      <c r="G244" s="467">
        <v>0</v>
      </c>
      <c r="H244" s="472">
        <v>5.57E-2</v>
      </c>
      <c r="I244" s="467">
        <v>24</v>
      </c>
      <c r="J244" s="486">
        <v>88</v>
      </c>
      <c r="M244" s="600">
        <v>45809</v>
      </c>
      <c r="N244" s="470">
        <v>1.6999999999999999E-3</v>
      </c>
      <c r="O244" s="467">
        <v>10113</v>
      </c>
      <c r="P244" s="471">
        <v>0.68700000000000006</v>
      </c>
      <c r="Q244" s="467">
        <v>367</v>
      </c>
      <c r="R244" s="472">
        <v>3.6299999999999999E-2</v>
      </c>
      <c r="S244" s="467">
        <v>0</v>
      </c>
      <c r="T244" s="472">
        <v>4.6300000000000001E-2</v>
      </c>
      <c r="U244" s="467">
        <v>75</v>
      </c>
      <c r="V244" s="486">
        <v>76</v>
      </c>
    </row>
    <row r="245" spans="1:22">
      <c r="A245" s="600">
        <v>45810</v>
      </c>
      <c r="B245" s="470">
        <v>2.5000000000000001E-3</v>
      </c>
      <c r="C245" s="467">
        <v>9821</v>
      </c>
      <c r="D245" s="471">
        <v>0.73699999999999999</v>
      </c>
      <c r="E245" s="467">
        <v>421</v>
      </c>
      <c r="F245" s="472">
        <v>4.2900000000000001E-2</v>
      </c>
      <c r="G245" s="467">
        <v>0</v>
      </c>
      <c r="H245" s="472">
        <v>5.9400000000000001E-2</v>
      </c>
      <c r="I245" s="467">
        <v>25</v>
      </c>
      <c r="J245" s="486">
        <v>88</v>
      </c>
      <c r="M245" s="600">
        <v>45810</v>
      </c>
      <c r="N245" s="470">
        <v>1.6999999999999999E-3</v>
      </c>
      <c r="O245" s="467">
        <v>10747</v>
      </c>
      <c r="P245" s="471">
        <v>0.68400000000000005</v>
      </c>
      <c r="Q245" s="467">
        <v>366</v>
      </c>
      <c r="R245" s="472">
        <v>3.4099999999999998E-2</v>
      </c>
      <c r="S245" s="467">
        <v>0</v>
      </c>
      <c r="T245" s="472">
        <v>4.9200000000000001E-2</v>
      </c>
      <c r="U245" s="467">
        <v>81</v>
      </c>
      <c r="V245" s="486">
        <v>76</v>
      </c>
    </row>
    <row r="246" spans="1:22">
      <c r="A246" s="600">
        <v>45811</v>
      </c>
      <c r="B246" s="470">
        <v>2.3999999999999998E-3</v>
      </c>
      <c r="C246" s="467">
        <v>9729</v>
      </c>
      <c r="D246" s="471">
        <v>0.73899999999999999</v>
      </c>
      <c r="E246" s="467">
        <v>379</v>
      </c>
      <c r="F246" s="472">
        <v>3.9E-2</v>
      </c>
      <c r="G246" s="467">
        <v>0</v>
      </c>
      <c r="H246" s="472">
        <v>6.0699999999999997E-2</v>
      </c>
      <c r="I246" s="467">
        <v>25</v>
      </c>
      <c r="J246" s="486">
        <v>88</v>
      </c>
      <c r="M246" s="600">
        <v>45811</v>
      </c>
      <c r="N246" s="470">
        <v>1.5E-3</v>
      </c>
      <c r="O246" s="467">
        <v>12645</v>
      </c>
      <c r="P246" s="471">
        <v>0.67900000000000005</v>
      </c>
      <c r="Q246" s="467">
        <v>404</v>
      </c>
      <c r="R246" s="472">
        <v>3.1899999999999998E-2</v>
      </c>
      <c r="S246" s="467">
        <v>0</v>
      </c>
      <c r="T246" s="472">
        <v>4.7E-2</v>
      </c>
      <c r="U246" s="467">
        <v>85</v>
      </c>
      <c r="V246" s="486">
        <v>65</v>
      </c>
    </row>
    <row r="247" spans="1:22">
      <c r="A247" s="600">
        <v>45812</v>
      </c>
      <c r="B247" s="470">
        <v>2.2000000000000001E-3</v>
      </c>
      <c r="C247" s="467">
        <v>9380</v>
      </c>
      <c r="D247" s="471">
        <v>0.73499999999999999</v>
      </c>
      <c r="E247" s="467">
        <v>350</v>
      </c>
      <c r="F247" s="472">
        <v>3.73E-2</v>
      </c>
      <c r="G247" s="467">
        <v>0</v>
      </c>
      <c r="H247" s="472">
        <v>0.06</v>
      </c>
      <c r="I247" s="467">
        <v>26</v>
      </c>
      <c r="J247" s="486">
        <v>88</v>
      </c>
      <c r="M247" s="600">
        <v>45812</v>
      </c>
      <c r="N247" s="470">
        <v>1.5E-3</v>
      </c>
      <c r="O247" s="467">
        <v>13941</v>
      </c>
      <c r="P247" s="471">
        <v>0.67900000000000005</v>
      </c>
      <c r="Q247" s="467">
        <v>469</v>
      </c>
      <c r="R247" s="472">
        <v>3.3599999999999998E-2</v>
      </c>
      <c r="S247" s="467">
        <v>0</v>
      </c>
      <c r="T247" s="472">
        <v>4.48E-2</v>
      </c>
      <c r="U247" s="467">
        <v>87</v>
      </c>
      <c r="V247" s="486">
        <v>65</v>
      </c>
    </row>
    <row r="248" spans="1:22">
      <c r="A248" s="600">
        <v>45813</v>
      </c>
      <c r="B248" s="470">
        <v>2.3E-3</v>
      </c>
      <c r="C248" s="467">
        <v>8763</v>
      </c>
      <c r="D248" s="471">
        <v>0.73199999999999998</v>
      </c>
      <c r="E248" s="467">
        <v>307</v>
      </c>
      <c r="F248" s="472">
        <v>3.5000000000000003E-2</v>
      </c>
      <c r="G248" s="467">
        <v>0</v>
      </c>
      <c r="H248" s="472">
        <v>6.5100000000000005E-2</v>
      </c>
      <c r="I248" s="467">
        <v>26</v>
      </c>
      <c r="J248" s="486">
        <v>88</v>
      </c>
      <c r="M248" s="600">
        <v>45813</v>
      </c>
      <c r="N248" s="470">
        <v>1.6999999999999999E-3</v>
      </c>
      <c r="O248" s="467">
        <v>13717</v>
      </c>
      <c r="P248" s="471">
        <v>0.67900000000000005</v>
      </c>
      <c r="Q248" s="467">
        <v>488</v>
      </c>
      <c r="R248" s="472">
        <v>3.56E-2</v>
      </c>
      <c r="S248" s="467">
        <v>0</v>
      </c>
      <c r="T248" s="472">
        <v>4.7100000000000003E-2</v>
      </c>
      <c r="U248" s="467">
        <v>86</v>
      </c>
      <c r="V248" s="486">
        <v>65</v>
      </c>
    </row>
    <row r="249" spans="1:22">
      <c r="A249" s="600">
        <v>45814</v>
      </c>
      <c r="B249" s="470">
        <v>2.3999999999999998E-3</v>
      </c>
      <c r="C249" s="467">
        <v>8029</v>
      </c>
      <c r="D249" s="471">
        <v>0.73199999999999998</v>
      </c>
      <c r="E249" s="467">
        <v>263</v>
      </c>
      <c r="F249" s="472">
        <v>3.2800000000000003E-2</v>
      </c>
      <c r="G249" s="467">
        <v>0</v>
      </c>
      <c r="H249" s="472">
        <v>7.22E-2</v>
      </c>
      <c r="I249" s="467">
        <v>27</v>
      </c>
      <c r="J249" s="486">
        <v>88</v>
      </c>
      <c r="M249" s="600">
        <v>45814</v>
      </c>
      <c r="N249" s="470">
        <v>2.0999999999999999E-3</v>
      </c>
      <c r="O249" s="467">
        <v>11928</v>
      </c>
      <c r="P249" s="471">
        <v>0.67900000000000005</v>
      </c>
      <c r="Q249" s="467">
        <v>468</v>
      </c>
      <c r="R249" s="472">
        <v>3.9199999999999999E-2</v>
      </c>
      <c r="S249" s="467">
        <v>0</v>
      </c>
      <c r="T249" s="472">
        <v>5.3400000000000003E-2</v>
      </c>
      <c r="U249" s="467">
        <v>83</v>
      </c>
      <c r="V249" s="486">
        <v>65</v>
      </c>
    </row>
    <row r="250" spans="1:22">
      <c r="A250" s="600">
        <v>45815</v>
      </c>
      <c r="B250" s="470">
        <v>2.5000000000000001E-3</v>
      </c>
      <c r="C250" s="467">
        <v>6937</v>
      </c>
      <c r="D250" s="471">
        <v>0.73199999999999998</v>
      </c>
      <c r="E250" s="467">
        <v>217</v>
      </c>
      <c r="F250" s="472">
        <v>3.1300000000000001E-2</v>
      </c>
      <c r="G250" s="467">
        <v>0</v>
      </c>
      <c r="H250" s="472">
        <v>7.8299999999999995E-2</v>
      </c>
      <c r="I250" s="467">
        <v>26</v>
      </c>
      <c r="J250" s="486">
        <v>108</v>
      </c>
      <c r="M250" s="600">
        <v>45815</v>
      </c>
      <c r="N250" s="470">
        <v>2.3999999999999998E-3</v>
      </c>
      <c r="O250" s="467">
        <v>10215</v>
      </c>
      <c r="P250" s="471">
        <v>0.67900000000000005</v>
      </c>
      <c r="Q250" s="467">
        <v>392</v>
      </c>
      <c r="R250" s="472">
        <v>3.8399999999999997E-2</v>
      </c>
      <c r="S250" s="467">
        <v>0</v>
      </c>
      <c r="T250" s="472">
        <v>6.3799999999999996E-2</v>
      </c>
      <c r="U250" s="467">
        <v>83</v>
      </c>
      <c r="V250" s="486">
        <v>65</v>
      </c>
    </row>
    <row r="251" spans="1:22">
      <c r="A251" s="600">
        <v>45816</v>
      </c>
      <c r="B251" s="470">
        <v>2.8E-3</v>
      </c>
      <c r="C251" s="467">
        <v>5692</v>
      </c>
      <c r="D251" s="471">
        <v>0.73099999999999998</v>
      </c>
      <c r="E251" s="467">
        <v>164</v>
      </c>
      <c r="F251" s="472">
        <v>2.8799999999999999E-2</v>
      </c>
      <c r="G251" s="467">
        <v>0</v>
      </c>
      <c r="H251" s="472">
        <v>9.7600000000000006E-2</v>
      </c>
      <c r="I251" s="467">
        <v>27</v>
      </c>
      <c r="J251" s="486">
        <v>108</v>
      </c>
      <c r="M251" s="600">
        <v>45816</v>
      </c>
      <c r="N251" s="470">
        <v>2.5999999999999999E-3</v>
      </c>
      <c r="O251" s="467">
        <v>9301</v>
      </c>
      <c r="P251" s="471">
        <v>0.67800000000000005</v>
      </c>
      <c r="Q251" s="467">
        <v>334</v>
      </c>
      <c r="R251" s="472">
        <v>3.5900000000000001E-2</v>
      </c>
      <c r="S251" s="467">
        <v>0</v>
      </c>
      <c r="T251" s="472">
        <v>7.1900000000000006E-2</v>
      </c>
      <c r="U251" s="467">
        <v>83</v>
      </c>
      <c r="V251" s="486">
        <v>75</v>
      </c>
    </row>
    <row r="252" spans="1:22">
      <c r="A252" s="600">
        <v>45817</v>
      </c>
      <c r="B252" s="470">
        <v>3.2000000000000002E-3</v>
      </c>
      <c r="C252" s="467">
        <v>4715</v>
      </c>
      <c r="D252" s="471">
        <v>0.72699999999999998</v>
      </c>
      <c r="E252" s="467">
        <v>119</v>
      </c>
      <c r="F252" s="472">
        <v>2.52E-2</v>
      </c>
      <c r="G252" s="467">
        <v>0</v>
      </c>
      <c r="H252" s="472">
        <v>0.12609999999999999</v>
      </c>
      <c r="I252" s="467">
        <v>26</v>
      </c>
      <c r="J252" s="486">
        <v>108</v>
      </c>
      <c r="M252" s="600">
        <v>45817</v>
      </c>
      <c r="N252" s="470">
        <v>2.5000000000000001E-3</v>
      </c>
      <c r="O252" s="467">
        <v>9043</v>
      </c>
      <c r="P252" s="471">
        <v>0.67500000000000004</v>
      </c>
      <c r="Q252" s="467">
        <v>304</v>
      </c>
      <c r="R252" s="472">
        <v>3.3599999999999998E-2</v>
      </c>
      <c r="S252" s="467">
        <v>0</v>
      </c>
      <c r="T252" s="472">
        <v>7.5700000000000003E-2</v>
      </c>
      <c r="U252" s="467">
        <v>86</v>
      </c>
      <c r="V252" s="486">
        <v>75</v>
      </c>
    </row>
    <row r="253" spans="1:22">
      <c r="A253" s="600">
        <v>45818</v>
      </c>
      <c r="B253" s="470">
        <v>3.2000000000000002E-3</v>
      </c>
      <c r="C253" s="467">
        <v>4377</v>
      </c>
      <c r="D253" s="471">
        <v>0.73199999999999998</v>
      </c>
      <c r="E253" s="467">
        <v>96</v>
      </c>
      <c r="F253" s="472">
        <v>2.1899999999999999E-2</v>
      </c>
      <c r="G253" s="467">
        <v>0</v>
      </c>
      <c r="H253" s="472">
        <v>0.14580000000000001</v>
      </c>
      <c r="I253" s="467">
        <v>27</v>
      </c>
      <c r="J253" s="486">
        <v>108</v>
      </c>
      <c r="M253" s="600">
        <v>45818</v>
      </c>
      <c r="N253" s="470">
        <v>2.3999999999999998E-3</v>
      </c>
      <c r="O253" s="467">
        <v>9291</v>
      </c>
      <c r="P253" s="471">
        <v>0.67500000000000004</v>
      </c>
      <c r="Q253" s="467">
        <v>308</v>
      </c>
      <c r="R253" s="472">
        <v>3.32E-2</v>
      </c>
      <c r="S253" s="467">
        <v>0</v>
      </c>
      <c r="T253" s="472">
        <v>7.1400000000000005E-2</v>
      </c>
      <c r="U253" s="467">
        <v>94</v>
      </c>
      <c r="V253" s="486">
        <v>75</v>
      </c>
    </row>
    <row r="254" spans="1:22">
      <c r="A254" s="600">
        <v>45819</v>
      </c>
      <c r="B254" s="470">
        <v>3.2000000000000002E-3</v>
      </c>
      <c r="C254" s="467">
        <v>4377</v>
      </c>
      <c r="D254" s="471">
        <v>0.73399999999999999</v>
      </c>
      <c r="E254" s="467">
        <v>96</v>
      </c>
      <c r="F254" s="472">
        <v>2.1899999999999999E-2</v>
      </c>
      <c r="G254" s="467">
        <v>0</v>
      </c>
      <c r="H254" s="472">
        <v>0.14580000000000001</v>
      </c>
      <c r="I254" s="467">
        <v>29</v>
      </c>
      <c r="J254" s="486">
        <v>104</v>
      </c>
      <c r="M254" s="600">
        <v>45819</v>
      </c>
      <c r="N254" s="470">
        <v>2.2000000000000001E-3</v>
      </c>
      <c r="O254" s="467">
        <v>9988</v>
      </c>
      <c r="P254" s="471">
        <v>0.67200000000000004</v>
      </c>
      <c r="Q254" s="467">
        <v>330</v>
      </c>
      <c r="R254" s="472">
        <v>3.3000000000000002E-2</v>
      </c>
      <c r="S254" s="467">
        <v>0</v>
      </c>
      <c r="T254" s="472">
        <v>6.6699999999999995E-2</v>
      </c>
      <c r="U254" s="467">
        <v>95</v>
      </c>
      <c r="V254" s="486">
        <v>73</v>
      </c>
    </row>
    <row r="255" spans="1:22">
      <c r="A255" s="600">
        <v>45820</v>
      </c>
      <c r="B255" s="470">
        <v>3.2000000000000002E-3</v>
      </c>
      <c r="C255" s="467">
        <v>4377</v>
      </c>
      <c r="D255" s="471">
        <v>0.73599999999999999</v>
      </c>
      <c r="E255" s="467">
        <v>96</v>
      </c>
      <c r="F255" s="472">
        <v>2.1899999999999999E-2</v>
      </c>
      <c r="G255" s="467">
        <v>0</v>
      </c>
      <c r="H255" s="472">
        <v>0.14580000000000001</v>
      </c>
      <c r="I255" s="467">
        <v>29</v>
      </c>
      <c r="J255" s="486">
        <v>104</v>
      </c>
      <c r="M255" s="600">
        <v>45820</v>
      </c>
      <c r="N255" s="470">
        <v>2E-3</v>
      </c>
      <c r="O255" s="467">
        <v>10795</v>
      </c>
      <c r="P255" s="471">
        <v>0.67200000000000004</v>
      </c>
      <c r="Q255" s="467">
        <v>378</v>
      </c>
      <c r="R255" s="472">
        <v>3.5000000000000003E-2</v>
      </c>
      <c r="S255" s="467">
        <v>0</v>
      </c>
      <c r="T255" s="472">
        <v>5.8200000000000002E-2</v>
      </c>
      <c r="U255" s="467">
        <v>97</v>
      </c>
      <c r="V255" s="486">
        <v>69</v>
      </c>
    </row>
    <row r="256" spans="1:22">
      <c r="A256" s="600">
        <v>45821</v>
      </c>
      <c r="B256" s="470">
        <v>3.3E-3</v>
      </c>
      <c r="C256" s="467">
        <v>4244</v>
      </c>
      <c r="D256" s="471">
        <v>0.73799999999999999</v>
      </c>
      <c r="E256" s="467">
        <v>96</v>
      </c>
      <c r="F256" s="472">
        <v>2.2599999999999999E-2</v>
      </c>
      <c r="G256" s="467">
        <v>0</v>
      </c>
      <c r="H256" s="472">
        <v>0.14580000000000001</v>
      </c>
      <c r="I256" s="467">
        <v>30</v>
      </c>
      <c r="J256" s="486">
        <v>104</v>
      </c>
      <c r="M256" s="600">
        <v>45821</v>
      </c>
      <c r="N256" s="470">
        <v>1.9E-3</v>
      </c>
      <c r="O256" s="467">
        <v>11386</v>
      </c>
      <c r="P256" s="471">
        <v>0.67</v>
      </c>
      <c r="Q256" s="467">
        <v>417</v>
      </c>
      <c r="R256" s="472">
        <v>3.6600000000000001E-2</v>
      </c>
      <c r="S256" s="467">
        <v>0</v>
      </c>
      <c r="T256" s="472">
        <v>5.28E-2</v>
      </c>
      <c r="U256" s="467">
        <v>102</v>
      </c>
      <c r="V256" s="486">
        <v>69</v>
      </c>
    </row>
    <row r="257" spans="1:22">
      <c r="A257" s="600">
        <v>45822</v>
      </c>
      <c r="B257" s="470">
        <v>3.3E-3</v>
      </c>
      <c r="C257" s="467">
        <v>3985</v>
      </c>
      <c r="D257" s="471">
        <v>0.74</v>
      </c>
      <c r="E257" s="467">
        <v>87</v>
      </c>
      <c r="F257" s="472">
        <v>2.18E-2</v>
      </c>
      <c r="G257" s="467">
        <v>0</v>
      </c>
      <c r="H257" s="472">
        <v>0.14940000000000001</v>
      </c>
      <c r="I257" s="467">
        <v>29</v>
      </c>
      <c r="J257" s="486">
        <v>135</v>
      </c>
      <c r="M257" s="600">
        <v>45822</v>
      </c>
      <c r="N257" s="470">
        <v>1.8E-3</v>
      </c>
      <c r="O257" s="467">
        <v>11598</v>
      </c>
      <c r="P257" s="471">
        <v>0.67</v>
      </c>
      <c r="Q257" s="467">
        <v>444</v>
      </c>
      <c r="R257" s="472">
        <v>3.8300000000000001E-2</v>
      </c>
      <c r="S257" s="467">
        <v>0</v>
      </c>
      <c r="T257" s="472">
        <v>4.7300000000000002E-2</v>
      </c>
      <c r="U257" s="467">
        <v>99</v>
      </c>
      <c r="V257" s="486">
        <v>69</v>
      </c>
    </row>
    <row r="258" spans="1:22">
      <c r="A258" s="600">
        <v>45823</v>
      </c>
      <c r="B258" s="470">
        <v>3.3999999999999998E-3</v>
      </c>
      <c r="C258" s="467">
        <v>3859</v>
      </c>
      <c r="D258" s="471">
        <v>0.74199999999999999</v>
      </c>
      <c r="E258" s="467">
        <v>79</v>
      </c>
      <c r="F258" s="472">
        <v>2.0500000000000001E-2</v>
      </c>
      <c r="G258" s="467">
        <v>0</v>
      </c>
      <c r="H258" s="472">
        <v>0.1646</v>
      </c>
      <c r="I258" s="467">
        <v>28</v>
      </c>
      <c r="J258" s="486">
        <v>189</v>
      </c>
      <c r="M258" s="600">
        <v>45823</v>
      </c>
      <c r="N258" s="470">
        <v>1.6999999999999999E-3</v>
      </c>
      <c r="O258" s="467">
        <v>11557</v>
      </c>
      <c r="P258" s="471">
        <v>0.66900000000000004</v>
      </c>
      <c r="Q258" s="467">
        <v>445</v>
      </c>
      <c r="R258" s="472">
        <v>3.85E-2</v>
      </c>
      <c r="S258" s="467">
        <v>0</v>
      </c>
      <c r="T258" s="472">
        <v>4.4900000000000002E-2</v>
      </c>
      <c r="U258" s="467">
        <v>100</v>
      </c>
      <c r="V258" s="486">
        <v>69</v>
      </c>
    </row>
    <row r="259" spans="1:22">
      <c r="A259" s="600">
        <v>45824</v>
      </c>
      <c r="B259" s="470">
        <v>3.3999999999999998E-3</v>
      </c>
      <c r="C259" s="467">
        <v>3859</v>
      </c>
      <c r="D259" s="471">
        <v>0.747</v>
      </c>
      <c r="E259" s="467">
        <v>80</v>
      </c>
      <c r="F259" s="472">
        <v>2.07E-2</v>
      </c>
      <c r="G259" s="467">
        <v>0</v>
      </c>
      <c r="H259" s="472">
        <v>0.16250000000000001</v>
      </c>
      <c r="I259" s="467">
        <v>29</v>
      </c>
      <c r="J259" s="486">
        <v>153</v>
      </c>
      <c r="M259" s="600">
        <v>45824</v>
      </c>
      <c r="N259" s="470">
        <v>1.6999999999999999E-3</v>
      </c>
      <c r="O259" s="467">
        <v>11463</v>
      </c>
      <c r="P259" s="471">
        <v>0.66700000000000004</v>
      </c>
      <c r="Q259" s="467">
        <v>437</v>
      </c>
      <c r="R259" s="472">
        <v>3.8100000000000002E-2</v>
      </c>
      <c r="S259" s="467">
        <v>0</v>
      </c>
      <c r="T259" s="472">
        <v>4.3499999999999997E-2</v>
      </c>
      <c r="U259" s="467">
        <v>100</v>
      </c>
      <c r="V259" s="486">
        <v>69</v>
      </c>
    </row>
    <row r="260" spans="1:22">
      <c r="A260" s="600">
        <v>45825</v>
      </c>
      <c r="B260" s="470">
        <v>3.3999999999999998E-3</v>
      </c>
      <c r="C260" s="467">
        <v>3859</v>
      </c>
      <c r="D260" s="471">
        <v>0.752</v>
      </c>
      <c r="E260" s="467">
        <v>81</v>
      </c>
      <c r="F260" s="472">
        <v>2.1000000000000001E-2</v>
      </c>
      <c r="G260" s="467">
        <v>0</v>
      </c>
      <c r="H260" s="472">
        <v>0.1605</v>
      </c>
      <c r="I260" s="467">
        <v>33</v>
      </c>
      <c r="J260" s="486">
        <v>153</v>
      </c>
      <c r="M260" s="600">
        <v>45825</v>
      </c>
      <c r="N260" s="470">
        <v>1.6000000000000001E-3</v>
      </c>
      <c r="O260" s="467">
        <v>11343</v>
      </c>
      <c r="P260" s="471">
        <v>0.66500000000000004</v>
      </c>
      <c r="Q260" s="467">
        <v>429</v>
      </c>
      <c r="R260" s="472">
        <v>3.78E-2</v>
      </c>
      <c r="S260" s="467">
        <v>0</v>
      </c>
      <c r="T260" s="472">
        <v>4.2000000000000003E-2</v>
      </c>
      <c r="U260" s="467">
        <v>98</v>
      </c>
      <c r="V260" s="486">
        <v>69</v>
      </c>
    </row>
    <row r="261" spans="1:22">
      <c r="A261" s="600">
        <v>45826</v>
      </c>
      <c r="B261" s="470">
        <v>3.3999999999999998E-3</v>
      </c>
      <c r="C261" s="467">
        <v>3859</v>
      </c>
      <c r="D261" s="471">
        <v>0.754</v>
      </c>
      <c r="E261" s="467">
        <v>82</v>
      </c>
      <c r="F261" s="472">
        <v>2.12E-2</v>
      </c>
      <c r="G261" s="467">
        <v>0</v>
      </c>
      <c r="H261" s="472">
        <v>0.1585</v>
      </c>
      <c r="I261" s="467">
        <v>33</v>
      </c>
      <c r="J261" s="486">
        <v>153</v>
      </c>
      <c r="M261" s="600">
        <v>45826</v>
      </c>
      <c r="N261" s="470">
        <v>1.5E-3</v>
      </c>
      <c r="O261" s="467">
        <v>11270</v>
      </c>
      <c r="P261" s="471">
        <v>0.66500000000000004</v>
      </c>
      <c r="Q261" s="467">
        <v>421</v>
      </c>
      <c r="R261" s="472">
        <v>3.7400000000000003E-2</v>
      </c>
      <c r="S261" s="467">
        <v>0</v>
      </c>
      <c r="T261" s="472">
        <v>4.0399999999999998E-2</v>
      </c>
      <c r="U261" s="467">
        <v>96</v>
      </c>
      <c r="V261" s="486">
        <v>69</v>
      </c>
    </row>
    <row r="262" spans="1:22">
      <c r="A262" s="600">
        <v>45827</v>
      </c>
      <c r="B262" s="470">
        <v>3.3999999999999998E-3</v>
      </c>
      <c r="C262" s="467">
        <v>3859</v>
      </c>
      <c r="D262" s="471">
        <v>0.75700000000000001</v>
      </c>
      <c r="E262" s="467">
        <v>83</v>
      </c>
      <c r="F262" s="472">
        <v>2.1499999999999998E-2</v>
      </c>
      <c r="G262" s="467">
        <v>0</v>
      </c>
      <c r="H262" s="472">
        <v>0.15659999999999999</v>
      </c>
      <c r="I262" s="467">
        <v>32</v>
      </c>
      <c r="J262" s="486">
        <v>153</v>
      </c>
      <c r="M262" s="600">
        <v>45827</v>
      </c>
      <c r="N262" s="470">
        <v>1.6999999999999999E-3</v>
      </c>
      <c r="O262" s="467">
        <v>11303</v>
      </c>
      <c r="P262" s="471">
        <v>0.66500000000000004</v>
      </c>
      <c r="Q262" s="467">
        <v>429</v>
      </c>
      <c r="R262" s="472">
        <v>3.7999999999999999E-2</v>
      </c>
      <c r="S262" s="467">
        <v>0</v>
      </c>
      <c r="T262" s="472">
        <v>4.4299999999999999E-2</v>
      </c>
      <c r="U262" s="467">
        <v>98</v>
      </c>
      <c r="V262" s="486">
        <v>72</v>
      </c>
    </row>
    <row r="263" spans="1:22">
      <c r="A263" s="600">
        <v>45828</v>
      </c>
      <c r="B263" s="470">
        <v>3.3999999999999998E-3</v>
      </c>
      <c r="C263" s="467">
        <v>3859</v>
      </c>
      <c r="D263" s="471">
        <v>0.75800000000000001</v>
      </c>
      <c r="E263" s="467">
        <v>84</v>
      </c>
      <c r="F263" s="472">
        <v>2.18E-2</v>
      </c>
      <c r="G263" s="467">
        <v>0</v>
      </c>
      <c r="H263" s="472">
        <v>0.15479999999999999</v>
      </c>
      <c r="I263" s="467">
        <v>33</v>
      </c>
      <c r="J263" s="486">
        <v>153</v>
      </c>
      <c r="M263" s="600">
        <v>45828</v>
      </c>
      <c r="N263" s="470">
        <v>1.8E-3</v>
      </c>
      <c r="O263" s="467">
        <v>11428</v>
      </c>
      <c r="P263" s="471">
        <v>0.66500000000000004</v>
      </c>
      <c r="Q263" s="467">
        <v>451</v>
      </c>
      <c r="R263" s="472">
        <v>3.95E-2</v>
      </c>
      <c r="S263" s="467">
        <v>0</v>
      </c>
      <c r="T263" s="472">
        <v>4.6600000000000003E-2</v>
      </c>
      <c r="U263" s="467">
        <v>95</v>
      </c>
      <c r="V263" s="486">
        <v>72</v>
      </c>
    </row>
    <row r="264" spans="1:22">
      <c r="A264" s="600">
        <v>45829</v>
      </c>
      <c r="B264" s="470">
        <v>4.0000000000000001E-3</v>
      </c>
      <c r="C264" s="467">
        <v>3271</v>
      </c>
      <c r="D264" s="471">
        <v>0.75800000000000001</v>
      </c>
      <c r="E264" s="467">
        <v>85</v>
      </c>
      <c r="F264" s="472">
        <v>2.5999999999999999E-2</v>
      </c>
      <c r="G264" s="467">
        <v>0</v>
      </c>
      <c r="H264" s="472">
        <v>0.15290000000000001</v>
      </c>
      <c r="I264" s="467">
        <v>34</v>
      </c>
      <c r="J264" s="486">
        <v>153</v>
      </c>
      <c r="M264" s="600">
        <v>45829</v>
      </c>
      <c r="N264" s="470">
        <v>1.9E-3</v>
      </c>
      <c r="O264" s="467">
        <v>12226</v>
      </c>
      <c r="P264" s="471">
        <v>0.66400000000000003</v>
      </c>
      <c r="Q264" s="467">
        <v>480</v>
      </c>
      <c r="R264" s="472">
        <v>3.9300000000000002E-2</v>
      </c>
      <c r="S264" s="467">
        <v>0</v>
      </c>
      <c r="T264" s="472">
        <v>4.7899999999999998E-2</v>
      </c>
      <c r="U264" s="467">
        <v>96</v>
      </c>
      <c r="V264" s="486">
        <v>72</v>
      </c>
    </row>
    <row r="265" spans="1:22">
      <c r="A265" s="600">
        <v>45830</v>
      </c>
      <c r="B265" s="470">
        <v>6.4999999999999997E-3</v>
      </c>
      <c r="C265" s="467">
        <v>1985</v>
      </c>
      <c r="D265" s="471">
        <v>0.75900000000000001</v>
      </c>
      <c r="E265" s="467">
        <v>60</v>
      </c>
      <c r="F265" s="472">
        <v>3.0200000000000001E-2</v>
      </c>
      <c r="G265" s="467">
        <v>0</v>
      </c>
      <c r="H265" s="472">
        <v>0.2167</v>
      </c>
      <c r="I265" s="467">
        <v>35</v>
      </c>
      <c r="J265" s="486">
        <v>221</v>
      </c>
      <c r="M265" s="600">
        <v>45830</v>
      </c>
      <c r="N265" s="470">
        <v>1.9E-3</v>
      </c>
      <c r="O265" s="467">
        <v>13464</v>
      </c>
      <c r="P265" s="471">
        <v>0.66400000000000003</v>
      </c>
      <c r="Q265" s="467">
        <v>529</v>
      </c>
      <c r="R265" s="472">
        <v>3.9300000000000002E-2</v>
      </c>
      <c r="S265" s="467">
        <v>0</v>
      </c>
      <c r="T265" s="472">
        <v>4.9099999999999998E-2</v>
      </c>
      <c r="U265" s="467">
        <v>97</v>
      </c>
      <c r="V265" s="486">
        <v>64</v>
      </c>
    </row>
    <row r="266" spans="1:22">
      <c r="A266" s="600">
        <v>45831</v>
      </c>
      <c r="B266" s="470">
        <v>1.8599999999999998E-2</v>
      </c>
      <c r="C266" s="467">
        <v>699</v>
      </c>
      <c r="D266" s="471">
        <v>0.75900000000000001</v>
      </c>
      <c r="E266" s="467">
        <v>35</v>
      </c>
      <c r="F266" s="472">
        <v>5.0099999999999999E-2</v>
      </c>
      <c r="G266" s="467">
        <v>0</v>
      </c>
      <c r="H266" s="472">
        <v>0.37140000000000001</v>
      </c>
      <c r="I266" s="467">
        <v>37</v>
      </c>
      <c r="J266" s="486">
        <v>221</v>
      </c>
      <c r="M266" s="600">
        <v>45831</v>
      </c>
      <c r="N266" s="470">
        <v>2.0999999999999999E-3</v>
      </c>
      <c r="O266" s="467">
        <v>13974</v>
      </c>
      <c r="P266" s="471">
        <v>0.66400000000000003</v>
      </c>
      <c r="Q266" s="467">
        <v>569</v>
      </c>
      <c r="R266" s="472">
        <v>4.07E-2</v>
      </c>
      <c r="S266" s="467">
        <v>0</v>
      </c>
      <c r="T266" s="472">
        <v>5.0999999999999997E-2</v>
      </c>
      <c r="U266" s="467">
        <v>99</v>
      </c>
      <c r="V266" s="486">
        <v>64</v>
      </c>
    </row>
    <row r="267" spans="1:22">
      <c r="A267" s="600">
        <v>45832</v>
      </c>
      <c r="B267" s="470" t="s">
        <v>3377</v>
      </c>
      <c r="C267" s="467">
        <v>0</v>
      </c>
      <c r="D267" s="471">
        <v>0.75800000000000001</v>
      </c>
      <c r="E267" s="467">
        <v>10</v>
      </c>
      <c r="F267" s="472" t="s">
        <v>3377</v>
      </c>
      <c r="G267" s="467">
        <v>0</v>
      </c>
      <c r="H267" s="472">
        <v>1</v>
      </c>
      <c r="I267" s="467">
        <v>38</v>
      </c>
      <c r="J267" s="486">
        <v>221</v>
      </c>
      <c r="M267" s="600">
        <v>45832</v>
      </c>
      <c r="N267" s="470">
        <v>2.2000000000000001E-3</v>
      </c>
      <c r="O267" s="467">
        <v>13974</v>
      </c>
      <c r="P267" s="471">
        <v>0.66500000000000004</v>
      </c>
      <c r="Q267" s="467">
        <v>570</v>
      </c>
      <c r="R267" s="472">
        <v>4.0800000000000003E-2</v>
      </c>
      <c r="S267" s="467">
        <v>0</v>
      </c>
      <c r="T267" s="472">
        <v>5.4399999999999997E-2</v>
      </c>
      <c r="U267" s="467">
        <v>96</v>
      </c>
      <c r="V267" s="486">
        <v>74</v>
      </c>
    </row>
    <row r="268" spans="1:22">
      <c r="A268" s="600">
        <v>45833</v>
      </c>
      <c r="B268" s="470" t="s">
        <v>3377</v>
      </c>
      <c r="C268" s="467">
        <v>0</v>
      </c>
      <c r="D268" s="471">
        <v>0.75600000000000001</v>
      </c>
      <c r="E268" s="467">
        <v>11</v>
      </c>
      <c r="F268" s="472" t="s">
        <v>3377</v>
      </c>
      <c r="G268" s="467">
        <v>0</v>
      </c>
      <c r="H268" s="472">
        <v>1</v>
      </c>
      <c r="I268" s="467">
        <v>36</v>
      </c>
      <c r="J268" s="486">
        <v>221</v>
      </c>
      <c r="M268" s="600">
        <v>45833</v>
      </c>
      <c r="N268" s="470">
        <v>2.3E-3</v>
      </c>
      <c r="O268" s="467">
        <v>13945</v>
      </c>
      <c r="P268" s="471">
        <v>0.66500000000000004</v>
      </c>
      <c r="Q268" s="467">
        <v>571</v>
      </c>
      <c r="R268" s="472">
        <v>4.0899999999999999E-2</v>
      </c>
      <c r="S268" s="467">
        <v>0</v>
      </c>
      <c r="T268" s="472">
        <v>5.6000000000000001E-2</v>
      </c>
      <c r="U268" s="467">
        <v>94</v>
      </c>
      <c r="V268" s="486">
        <v>74</v>
      </c>
    </row>
    <row r="269" spans="1:22">
      <c r="A269" s="600">
        <v>45834</v>
      </c>
      <c r="B269" s="470" t="s">
        <v>3377</v>
      </c>
      <c r="C269" s="467">
        <v>0</v>
      </c>
      <c r="D269" s="471">
        <v>0.755</v>
      </c>
      <c r="E269" s="467">
        <v>12</v>
      </c>
      <c r="F269" s="472" t="s">
        <v>3377</v>
      </c>
      <c r="G269" s="467">
        <v>0</v>
      </c>
      <c r="H269" s="472">
        <v>1</v>
      </c>
      <c r="I269" s="467">
        <v>36</v>
      </c>
      <c r="J269" s="486">
        <v>221</v>
      </c>
      <c r="M269" s="600">
        <v>45834</v>
      </c>
      <c r="N269" s="470">
        <v>2.3999999999999998E-3</v>
      </c>
      <c r="O269" s="467">
        <v>13825</v>
      </c>
      <c r="P269" s="471">
        <v>0.66800000000000004</v>
      </c>
      <c r="Q269" s="467">
        <v>570</v>
      </c>
      <c r="R269" s="472">
        <v>4.1200000000000001E-2</v>
      </c>
      <c r="S269" s="467">
        <v>0</v>
      </c>
      <c r="T269" s="472">
        <v>5.79E-2</v>
      </c>
      <c r="U269" s="467">
        <v>94</v>
      </c>
      <c r="V269" s="486">
        <v>74</v>
      </c>
    </row>
    <row r="270" spans="1:22">
      <c r="A270" s="600">
        <v>45835</v>
      </c>
      <c r="B270" s="470" t="s">
        <v>3377</v>
      </c>
      <c r="C270" s="467">
        <v>0</v>
      </c>
      <c r="D270" s="471">
        <v>0.753</v>
      </c>
      <c r="E270" s="467">
        <v>13</v>
      </c>
      <c r="F270" s="472" t="s">
        <v>3377</v>
      </c>
      <c r="G270" s="467">
        <v>0</v>
      </c>
      <c r="H270" s="472">
        <v>1</v>
      </c>
      <c r="I270" s="467">
        <v>38</v>
      </c>
      <c r="J270" s="486">
        <v>221</v>
      </c>
      <c r="M270" s="600">
        <v>45835</v>
      </c>
      <c r="N270" s="470">
        <v>2.3999999999999998E-3</v>
      </c>
      <c r="O270" s="467">
        <v>13673</v>
      </c>
      <c r="P270" s="471">
        <v>0.66700000000000004</v>
      </c>
      <c r="Q270" s="467">
        <v>567</v>
      </c>
      <c r="R270" s="472">
        <v>4.1500000000000002E-2</v>
      </c>
      <c r="S270" s="467">
        <v>0</v>
      </c>
      <c r="T270" s="472">
        <v>5.8200000000000002E-2</v>
      </c>
      <c r="U270" s="467">
        <v>94</v>
      </c>
      <c r="V270" s="486">
        <v>73</v>
      </c>
    </row>
    <row r="271" spans="1:22">
      <c r="A271" s="600">
        <v>45836</v>
      </c>
      <c r="B271" s="470" t="s">
        <v>3377</v>
      </c>
      <c r="C271" s="467">
        <v>0</v>
      </c>
      <c r="D271" s="471">
        <v>0.749</v>
      </c>
      <c r="E271" s="467">
        <v>14</v>
      </c>
      <c r="F271" s="472" t="s">
        <v>3377</v>
      </c>
      <c r="G271" s="467">
        <v>0</v>
      </c>
      <c r="H271" s="472">
        <v>1</v>
      </c>
      <c r="I271" s="467">
        <v>42</v>
      </c>
      <c r="J271" s="486">
        <v>221</v>
      </c>
      <c r="M271" s="600">
        <v>45836</v>
      </c>
      <c r="N271" s="470">
        <v>2.3999999999999998E-3</v>
      </c>
      <c r="O271" s="467">
        <v>13541</v>
      </c>
      <c r="P271" s="471">
        <v>0.65500000000000003</v>
      </c>
      <c r="Q271" s="467">
        <v>564</v>
      </c>
      <c r="R271" s="472">
        <v>4.1700000000000001E-2</v>
      </c>
      <c r="S271" s="467">
        <v>0</v>
      </c>
      <c r="T271" s="472">
        <v>5.8500000000000003E-2</v>
      </c>
      <c r="U271" s="467">
        <v>90</v>
      </c>
      <c r="V271" s="486">
        <v>73</v>
      </c>
    </row>
    <row r="272" spans="1:22">
      <c r="A272" s="600">
        <v>45837</v>
      </c>
      <c r="B272" s="470" t="s">
        <v>3377</v>
      </c>
      <c r="C272" s="467">
        <v>0</v>
      </c>
      <c r="D272" s="471">
        <v>0.74399999999999999</v>
      </c>
      <c r="E272" s="467">
        <v>15</v>
      </c>
      <c r="F272" s="472" t="s">
        <v>3377</v>
      </c>
      <c r="G272" s="467">
        <v>0</v>
      </c>
      <c r="H272" s="472">
        <v>1</v>
      </c>
      <c r="I272" s="467">
        <v>43</v>
      </c>
      <c r="J272" s="486">
        <v>221</v>
      </c>
      <c r="M272" s="600">
        <v>45837</v>
      </c>
      <c r="N272" s="470">
        <v>2.3999999999999998E-3</v>
      </c>
      <c r="O272" s="467">
        <v>13488</v>
      </c>
      <c r="P272" s="471">
        <v>0.63600000000000001</v>
      </c>
      <c r="Q272" s="467">
        <v>562</v>
      </c>
      <c r="R272" s="472">
        <v>4.1700000000000001E-2</v>
      </c>
      <c r="S272" s="467">
        <v>0</v>
      </c>
      <c r="T272" s="472">
        <v>5.8700000000000002E-2</v>
      </c>
      <c r="U272" s="467">
        <v>88</v>
      </c>
      <c r="V272" s="486">
        <v>73</v>
      </c>
    </row>
    <row r="273" spans="1:22">
      <c r="A273" s="600">
        <v>45838</v>
      </c>
      <c r="B273" s="470" t="s">
        <v>3377</v>
      </c>
      <c r="C273" s="467">
        <v>0</v>
      </c>
      <c r="D273" s="471">
        <v>0.73899999999999999</v>
      </c>
      <c r="E273" s="467">
        <v>15</v>
      </c>
      <c r="F273" s="472" t="s">
        <v>3377</v>
      </c>
      <c r="G273" s="467">
        <v>0</v>
      </c>
      <c r="H273" s="472">
        <v>1</v>
      </c>
      <c r="I273" s="467">
        <v>44</v>
      </c>
      <c r="J273" s="486">
        <v>198</v>
      </c>
      <c r="M273" s="600">
        <v>45838</v>
      </c>
      <c r="N273" s="470">
        <v>2.3999999999999998E-3</v>
      </c>
      <c r="O273" s="467">
        <v>13488</v>
      </c>
      <c r="P273" s="471">
        <v>0.628</v>
      </c>
      <c r="Q273" s="467">
        <v>564</v>
      </c>
      <c r="R273" s="472">
        <v>4.1799999999999997E-2</v>
      </c>
      <c r="S273" s="467">
        <v>0</v>
      </c>
      <c r="T273" s="472">
        <v>5.67E-2</v>
      </c>
      <c r="U273" s="467">
        <v>85</v>
      </c>
      <c r="V273" s="486">
        <v>62</v>
      </c>
    </row>
    <row r="274" spans="1:22">
      <c r="A274" s="600">
        <v>45839</v>
      </c>
      <c r="B274" s="470" t="s">
        <v>3377</v>
      </c>
      <c r="C274" s="467">
        <v>0</v>
      </c>
      <c r="D274" s="471">
        <v>0.73599999999999999</v>
      </c>
      <c r="E274" s="467">
        <v>15</v>
      </c>
      <c r="F274" s="472" t="s">
        <v>3377</v>
      </c>
      <c r="G274" s="467">
        <v>0</v>
      </c>
      <c r="H274" s="472">
        <v>1</v>
      </c>
      <c r="I274" s="467">
        <v>46</v>
      </c>
      <c r="J274" s="486">
        <v>198</v>
      </c>
      <c r="M274" s="600">
        <v>45839</v>
      </c>
      <c r="N274" s="470">
        <v>2.3E-3</v>
      </c>
      <c r="O274" s="467">
        <v>13488</v>
      </c>
      <c r="P274" s="471">
        <v>0.63</v>
      </c>
      <c r="Q274" s="467">
        <v>565</v>
      </c>
      <c r="R274" s="472">
        <v>4.19E-2</v>
      </c>
      <c r="S274" s="467">
        <v>0</v>
      </c>
      <c r="T274" s="472">
        <v>5.4899999999999997E-2</v>
      </c>
      <c r="U274" s="467">
        <v>87</v>
      </c>
      <c r="V274" s="486">
        <v>62</v>
      </c>
    </row>
    <row r="275" spans="1:22">
      <c r="A275" s="600">
        <v>45840</v>
      </c>
      <c r="B275" s="470">
        <v>4.5999999999999999E-2</v>
      </c>
      <c r="C275" s="467">
        <v>457</v>
      </c>
      <c r="D275" s="471">
        <v>0.73399999999999999</v>
      </c>
      <c r="E275" s="467">
        <v>15</v>
      </c>
      <c r="F275" s="472">
        <v>3.2800000000000003E-2</v>
      </c>
      <c r="G275" s="467">
        <v>0</v>
      </c>
      <c r="H275" s="472">
        <v>1</v>
      </c>
      <c r="I275" s="467">
        <v>46</v>
      </c>
      <c r="J275" s="486">
        <v>198</v>
      </c>
      <c r="M275" s="600">
        <v>45840</v>
      </c>
      <c r="N275" s="470">
        <v>2.2000000000000001E-3</v>
      </c>
      <c r="O275" s="467">
        <v>13488</v>
      </c>
      <c r="P275" s="471">
        <v>0.63400000000000001</v>
      </c>
      <c r="Q275" s="467">
        <v>566</v>
      </c>
      <c r="R275" s="472">
        <v>4.2000000000000003E-2</v>
      </c>
      <c r="S275" s="467">
        <v>0</v>
      </c>
      <c r="T275" s="472">
        <v>5.2999999999999999E-2</v>
      </c>
      <c r="U275" s="467">
        <v>85</v>
      </c>
      <c r="V275" s="486">
        <v>62</v>
      </c>
    </row>
    <row r="276" spans="1:22">
      <c r="A276" s="600">
        <v>45841</v>
      </c>
      <c r="B276" s="470">
        <v>1.4999999999999999E-2</v>
      </c>
      <c r="C276" s="467">
        <v>1464</v>
      </c>
      <c r="D276" s="471">
        <v>0.73399999999999999</v>
      </c>
      <c r="E276" s="467">
        <v>48</v>
      </c>
      <c r="F276" s="472">
        <v>3.2800000000000003E-2</v>
      </c>
      <c r="G276" s="467">
        <v>0</v>
      </c>
      <c r="H276" s="472">
        <v>0.45829999999999999</v>
      </c>
      <c r="I276" s="467">
        <v>47</v>
      </c>
      <c r="J276" s="486">
        <v>152</v>
      </c>
      <c r="M276" s="600">
        <v>45841</v>
      </c>
      <c r="N276" s="470">
        <v>2.3E-3</v>
      </c>
      <c r="O276" s="467">
        <v>12854</v>
      </c>
      <c r="P276" s="471">
        <v>0.63400000000000001</v>
      </c>
      <c r="Q276" s="467">
        <v>567</v>
      </c>
      <c r="R276" s="472">
        <v>4.41E-2</v>
      </c>
      <c r="S276" s="467">
        <v>0</v>
      </c>
      <c r="T276" s="472">
        <v>5.11E-2</v>
      </c>
      <c r="U276" s="467">
        <v>79</v>
      </c>
      <c r="V276" s="486">
        <v>62</v>
      </c>
    </row>
    <row r="277" spans="1:22">
      <c r="A277" s="600">
        <v>45842</v>
      </c>
      <c r="B277" s="470">
        <v>1.12E-2</v>
      </c>
      <c r="C277" s="467">
        <v>2062</v>
      </c>
      <c r="D277" s="471">
        <v>0.73299999999999998</v>
      </c>
      <c r="E277" s="467">
        <v>85</v>
      </c>
      <c r="F277" s="472">
        <v>4.1200000000000001E-2</v>
      </c>
      <c r="G277" s="467">
        <v>0</v>
      </c>
      <c r="H277" s="472">
        <v>0.27060000000000001</v>
      </c>
      <c r="I277" s="467">
        <v>47</v>
      </c>
      <c r="J277" s="486">
        <v>152</v>
      </c>
      <c r="M277" s="600">
        <v>45842</v>
      </c>
      <c r="N277" s="470">
        <v>2.5000000000000001E-3</v>
      </c>
      <c r="O277" s="467">
        <v>11276</v>
      </c>
      <c r="P277" s="471">
        <v>0.63700000000000001</v>
      </c>
      <c r="Q277" s="467">
        <v>530</v>
      </c>
      <c r="R277" s="472">
        <v>4.7E-2</v>
      </c>
      <c r="S277" s="467">
        <v>0</v>
      </c>
      <c r="T277" s="472">
        <v>5.28E-2</v>
      </c>
      <c r="U277" s="467">
        <v>76</v>
      </c>
      <c r="V277" s="486">
        <v>75</v>
      </c>
    </row>
    <row r="278" spans="1:22">
      <c r="A278" s="600">
        <v>45843</v>
      </c>
      <c r="B278" s="470">
        <v>1.0999999999999999E-2</v>
      </c>
      <c r="C278" s="467">
        <v>2188</v>
      </c>
      <c r="D278" s="471">
        <v>0.73199999999999998</v>
      </c>
      <c r="E278" s="467">
        <v>100</v>
      </c>
      <c r="F278" s="472">
        <v>4.5699999999999998E-2</v>
      </c>
      <c r="G278" s="467">
        <v>0</v>
      </c>
      <c r="H278" s="472">
        <v>0.24</v>
      </c>
      <c r="I278" s="467">
        <v>46</v>
      </c>
      <c r="J278" s="486">
        <v>136</v>
      </c>
      <c r="M278" s="600">
        <v>45843</v>
      </c>
      <c r="N278" s="470">
        <v>2.8E-3</v>
      </c>
      <c r="O278" s="467">
        <v>9560</v>
      </c>
      <c r="P278" s="471">
        <v>0.63700000000000001</v>
      </c>
      <c r="Q278" s="467">
        <v>485</v>
      </c>
      <c r="R278" s="472">
        <v>5.0700000000000002E-2</v>
      </c>
      <c r="S278" s="467">
        <v>0</v>
      </c>
      <c r="T278" s="472">
        <v>5.57E-2</v>
      </c>
      <c r="U278" s="467">
        <v>77</v>
      </c>
      <c r="V278" s="486">
        <v>70</v>
      </c>
    </row>
    <row r="279" spans="1:22">
      <c r="A279" s="600">
        <v>45844</v>
      </c>
      <c r="B279" s="470">
        <v>1.09E-2</v>
      </c>
      <c r="C279" s="467">
        <v>2290</v>
      </c>
      <c r="D279" s="471">
        <v>0.73</v>
      </c>
      <c r="E279" s="467">
        <v>118</v>
      </c>
      <c r="F279" s="472">
        <v>5.1499999999999997E-2</v>
      </c>
      <c r="G279" s="467">
        <v>0</v>
      </c>
      <c r="H279" s="472">
        <v>0.21190000000000001</v>
      </c>
      <c r="I279" s="467">
        <v>49</v>
      </c>
      <c r="J279" s="486">
        <v>136</v>
      </c>
      <c r="M279" s="600">
        <v>45844</v>
      </c>
      <c r="N279" s="470">
        <v>3.2000000000000002E-3</v>
      </c>
      <c r="O279" s="467">
        <v>8019</v>
      </c>
      <c r="P279" s="471">
        <v>0.64</v>
      </c>
      <c r="Q279" s="467">
        <v>440</v>
      </c>
      <c r="R279" s="472">
        <v>5.4899999999999997E-2</v>
      </c>
      <c r="S279" s="467">
        <v>0</v>
      </c>
      <c r="T279" s="472">
        <v>5.91E-2</v>
      </c>
      <c r="U279" s="467">
        <v>77</v>
      </c>
      <c r="V279" s="486">
        <v>70</v>
      </c>
    </row>
    <row r="280" spans="1:22">
      <c r="A280" s="600">
        <v>45845</v>
      </c>
      <c r="B280" s="470">
        <v>9.2999999999999992E-3</v>
      </c>
      <c r="C280" s="467">
        <v>2794</v>
      </c>
      <c r="D280" s="471">
        <v>0.72899999999999998</v>
      </c>
      <c r="E280" s="467">
        <v>133</v>
      </c>
      <c r="F280" s="472">
        <v>4.7600000000000003E-2</v>
      </c>
      <c r="G280" s="467">
        <v>0</v>
      </c>
      <c r="H280" s="472">
        <v>0.19550000000000001</v>
      </c>
      <c r="I280" s="467">
        <v>48</v>
      </c>
      <c r="J280" s="486">
        <v>136</v>
      </c>
      <c r="M280" s="600">
        <v>45845</v>
      </c>
      <c r="N280" s="470">
        <v>3.3E-3</v>
      </c>
      <c r="O280" s="467">
        <v>7318</v>
      </c>
      <c r="P280" s="471">
        <v>0.64200000000000002</v>
      </c>
      <c r="Q280" s="467">
        <v>394</v>
      </c>
      <c r="R280" s="472">
        <v>5.3800000000000001E-2</v>
      </c>
      <c r="S280" s="467">
        <v>0</v>
      </c>
      <c r="T280" s="472">
        <v>6.0900000000000003E-2</v>
      </c>
      <c r="U280" s="467">
        <v>82</v>
      </c>
      <c r="V280" s="486">
        <v>70</v>
      </c>
    </row>
    <row r="281" spans="1:22">
      <c r="A281" s="600">
        <v>45846</v>
      </c>
      <c r="B281" s="470">
        <v>7.1999999999999998E-3</v>
      </c>
      <c r="C281" s="467">
        <v>3737</v>
      </c>
      <c r="D281" s="471">
        <v>0.72599999999999998</v>
      </c>
      <c r="E281" s="467">
        <v>176</v>
      </c>
      <c r="F281" s="472">
        <v>4.7100000000000003E-2</v>
      </c>
      <c r="G281" s="467">
        <v>0</v>
      </c>
      <c r="H281" s="472">
        <v>0.15340000000000001</v>
      </c>
      <c r="I281" s="467">
        <v>50</v>
      </c>
      <c r="J281" s="486">
        <v>116</v>
      </c>
      <c r="M281" s="600">
        <v>45846</v>
      </c>
      <c r="N281" s="470">
        <v>3.3E-3</v>
      </c>
      <c r="O281" s="467">
        <v>7318</v>
      </c>
      <c r="P281" s="471">
        <v>0.64400000000000002</v>
      </c>
      <c r="Q281" s="467">
        <v>395</v>
      </c>
      <c r="R281" s="472">
        <v>5.3999999999999999E-2</v>
      </c>
      <c r="S281" s="467">
        <v>0</v>
      </c>
      <c r="T281" s="472">
        <v>6.08E-2</v>
      </c>
      <c r="U281" s="467">
        <v>85</v>
      </c>
      <c r="V281" s="486">
        <v>70</v>
      </c>
    </row>
    <row r="282" spans="1:22">
      <c r="A282" s="600">
        <v>45847</v>
      </c>
      <c r="B282" s="470">
        <v>6.7999999999999996E-3</v>
      </c>
      <c r="C282" s="467">
        <v>4244</v>
      </c>
      <c r="D282" s="471">
        <v>0.72499999999999998</v>
      </c>
      <c r="E282" s="467">
        <v>215</v>
      </c>
      <c r="F282" s="472">
        <v>5.0700000000000002E-2</v>
      </c>
      <c r="G282" s="467">
        <v>0</v>
      </c>
      <c r="H282" s="472">
        <v>0.13489999999999999</v>
      </c>
      <c r="I282" s="467">
        <v>54</v>
      </c>
      <c r="J282" s="486">
        <v>116</v>
      </c>
      <c r="M282" s="600">
        <v>45847</v>
      </c>
      <c r="N282" s="470">
        <v>3.3E-3</v>
      </c>
      <c r="O282" s="467">
        <v>7318</v>
      </c>
      <c r="P282" s="471">
        <v>0.64500000000000002</v>
      </c>
      <c r="Q282" s="467">
        <v>396</v>
      </c>
      <c r="R282" s="472">
        <v>5.4100000000000002E-2</v>
      </c>
      <c r="S282" s="467">
        <v>0</v>
      </c>
      <c r="T282" s="472">
        <v>6.0600000000000001E-2</v>
      </c>
      <c r="U282" s="467">
        <v>85</v>
      </c>
      <c r="V282" s="486">
        <v>70</v>
      </c>
    </row>
    <row r="283" spans="1:22">
      <c r="A283" s="600">
        <v>45848</v>
      </c>
      <c r="B283" s="470">
        <v>7.1000000000000004E-3</v>
      </c>
      <c r="C283" s="467">
        <v>4244</v>
      </c>
      <c r="D283" s="471">
        <v>0.72599999999999998</v>
      </c>
      <c r="E283" s="467">
        <v>217</v>
      </c>
      <c r="F283" s="472">
        <v>5.11E-2</v>
      </c>
      <c r="G283" s="467">
        <v>0</v>
      </c>
      <c r="H283" s="472">
        <v>0.13819999999999999</v>
      </c>
      <c r="I283" s="467">
        <v>57</v>
      </c>
      <c r="J283" s="486">
        <v>116</v>
      </c>
      <c r="M283" s="600">
        <v>45848</v>
      </c>
      <c r="N283" s="470">
        <v>3.5000000000000001E-3</v>
      </c>
      <c r="O283" s="467">
        <v>7113</v>
      </c>
      <c r="P283" s="471">
        <v>0.64900000000000002</v>
      </c>
      <c r="Q283" s="467">
        <v>397</v>
      </c>
      <c r="R283" s="472">
        <v>5.5800000000000002E-2</v>
      </c>
      <c r="S283" s="467">
        <v>0</v>
      </c>
      <c r="T283" s="472">
        <v>6.3E-2</v>
      </c>
      <c r="U283" s="467">
        <v>83</v>
      </c>
      <c r="V283" s="486">
        <v>82</v>
      </c>
    </row>
    <row r="284" spans="1:22">
      <c r="A284" s="600">
        <v>45849</v>
      </c>
      <c r="B284" s="470">
        <v>7.3000000000000001E-3</v>
      </c>
      <c r="C284" s="467">
        <v>4244</v>
      </c>
      <c r="D284" s="471">
        <v>0.72199999999999998</v>
      </c>
      <c r="E284" s="467">
        <v>219</v>
      </c>
      <c r="F284" s="472">
        <v>5.16E-2</v>
      </c>
      <c r="G284" s="467">
        <v>0</v>
      </c>
      <c r="H284" s="472">
        <v>0.1416</v>
      </c>
      <c r="I284" s="467">
        <v>56</v>
      </c>
      <c r="J284" s="486">
        <v>116</v>
      </c>
      <c r="M284" s="600">
        <v>45849</v>
      </c>
      <c r="N284" s="470">
        <v>4.0000000000000001E-3</v>
      </c>
      <c r="O284" s="467">
        <v>6520</v>
      </c>
      <c r="P284" s="471">
        <v>0.65300000000000002</v>
      </c>
      <c r="Q284" s="467">
        <v>368</v>
      </c>
      <c r="R284" s="472">
        <v>5.6399999999999999E-2</v>
      </c>
      <c r="S284" s="467">
        <v>0</v>
      </c>
      <c r="T284" s="472">
        <v>7.0699999999999999E-2</v>
      </c>
      <c r="U284" s="467">
        <v>80</v>
      </c>
      <c r="V284" s="486">
        <v>82</v>
      </c>
    </row>
    <row r="285" spans="1:22">
      <c r="A285" s="600">
        <v>45850</v>
      </c>
      <c r="B285" s="470">
        <v>6.8999999999999999E-3</v>
      </c>
      <c r="C285" s="467">
        <v>4336</v>
      </c>
      <c r="D285" s="471">
        <v>0.71899999999999997</v>
      </c>
      <c r="E285" s="467">
        <v>219</v>
      </c>
      <c r="F285" s="472">
        <v>5.0500000000000003E-2</v>
      </c>
      <c r="G285" s="467">
        <v>0</v>
      </c>
      <c r="H285" s="472">
        <v>0.13700000000000001</v>
      </c>
      <c r="I285" s="467">
        <v>55</v>
      </c>
      <c r="J285" s="486">
        <v>121</v>
      </c>
      <c r="M285" s="600">
        <v>45850</v>
      </c>
      <c r="N285" s="470">
        <v>4.5999999999999999E-3</v>
      </c>
      <c r="O285" s="467">
        <v>5705</v>
      </c>
      <c r="P285" s="471">
        <v>0.65500000000000003</v>
      </c>
      <c r="Q285" s="467">
        <v>329</v>
      </c>
      <c r="R285" s="472">
        <v>5.7700000000000001E-2</v>
      </c>
      <c r="S285" s="467">
        <v>0</v>
      </c>
      <c r="T285" s="472">
        <v>7.9000000000000001E-2</v>
      </c>
      <c r="U285" s="467">
        <v>77</v>
      </c>
      <c r="V285" s="486">
        <v>86</v>
      </c>
    </row>
    <row r="286" spans="1:22">
      <c r="A286" s="600">
        <v>45851</v>
      </c>
      <c r="B286" s="470">
        <v>6.7999999999999996E-3</v>
      </c>
      <c r="C286" s="467">
        <v>4575</v>
      </c>
      <c r="D286" s="471">
        <v>0.71599999999999997</v>
      </c>
      <c r="E286" s="467">
        <v>225</v>
      </c>
      <c r="F286" s="472">
        <v>4.9200000000000001E-2</v>
      </c>
      <c r="G286" s="467">
        <v>0</v>
      </c>
      <c r="H286" s="472">
        <v>0.13780000000000001</v>
      </c>
      <c r="I286" s="467">
        <v>58</v>
      </c>
      <c r="J286" s="486">
        <v>110</v>
      </c>
      <c r="M286" s="600">
        <v>45851</v>
      </c>
      <c r="N286" s="470">
        <v>5.3E-3</v>
      </c>
      <c r="O286" s="467">
        <v>4898</v>
      </c>
      <c r="P286" s="471">
        <v>0.65600000000000003</v>
      </c>
      <c r="Q286" s="467">
        <v>282</v>
      </c>
      <c r="R286" s="472">
        <v>5.7599999999999998E-2</v>
      </c>
      <c r="S286" s="467">
        <v>0</v>
      </c>
      <c r="T286" s="472">
        <v>9.2200000000000004E-2</v>
      </c>
      <c r="U286" s="467">
        <v>75</v>
      </c>
      <c r="V286" s="486">
        <v>86</v>
      </c>
    </row>
    <row r="287" spans="1:22">
      <c r="A287" s="600">
        <v>45852</v>
      </c>
      <c r="B287" s="470">
        <v>6.6E-3</v>
      </c>
      <c r="C287" s="467">
        <v>4814</v>
      </c>
      <c r="D287" s="471">
        <v>0.71099999999999997</v>
      </c>
      <c r="E287" s="467">
        <v>231</v>
      </c>
      <c r="F287" s="472">
        <v>4.8000000000000001E-2</v>
      </c>
      <c r="G287" s="467">
        <v>0</v>
      </c>
      <c r="H287" s="472">
        <v>0.13850000000000001</v>
      </c>
      <c r="I287" s="467">
        <v>60</v>
      </c>
      <c r="J287" s="486">
        <v>110</v>
      </c>
      <c r="M287" s="600">
        <v>45852</v>
      </c>
      <c r="N287" s="470">
        <v>6.0000000000000001E-3</v>
      </c>
      <c r="O287" s="467">
        <v>4307</v>
      </c>
      <c r="P287" s="471">
        <v>0.65700000000000003</v>
      </c>
      <c r="Q287" s="467">
        <v>244</v>
      </c>
      <c r="R287" s="472">
        <v>5.67E-2</v>
      </c>
      <c r="S287" s="467">
        <v>0</v>
      </c>
      <c r="T287" s="472">
        <v>0.1066</v>
      </c>
      <c r="U287" s="467">
        <v>73</v>
      </c>
      <c r="V287" s="486">
        <v>86</v>
      </c>
    </row>
    <row r="288" spans="1:22">
      <c r="A288" s="600">
        <v>45853</v>
      </c>
      <c r="B288" s="470">
        <v>6.8999999999999999E-3</v>
      </c>
      <c r="C288" s="467">
        <v>4961</v>
      </c>
      <c r="D288" s="471">
        <v>0.71</v>
      </c>
      <c r="E288" s="467">
        <v>237</v>
      </c>
      <c r="F288" s="472">
        <v>4.7800000000000002E-2</v>
      </c>
      <c r="G288" s="467">
        <v>0</v>
      </c>
      <c r="H288" s="472">
        <v>0.14349999999999999</v>
      </c>
      <c r="I288" s="467">
        <v>61</v>
      </c>
      <c r="J288" s="486">
        <v>110</v>
      </c>
      <c r="M288" s="600">
        <v>45853</v>
      </c>
      <c r="N288" s="470">
        <v>6.3E-3</v>
      </c>
      <c r="O288" s="467">
        <v>4095</v>
      </c>
      <c r="P288" s="471">
        <v>0.65900000000000003</v>
      </c>
      <c r="Q288" s="467">
        <v>218</v>
      </c>
      <c r="R288" s="472">
        <v>5.3199999999999997E-2</v>
      </c>
      <c r="S288" s="467">
        <v>0</v>
      </c>
      <c r="T288" s="472">
        <v>0.1193</v>
      </c>
      <c r="U288" s="467">
        <v>74</v>
      </c>
      <c r="V288" s="486">
        <v>86</v>
      </c>
    </row>
    <row r="289" spans="1:22">
      <c r="A289" s="600">
        <v>45854</v>
      </c>
      <c r="B289" s="470">
        <v>6.8999999999999999E-3</v>
      </c>
      <c r="C289" s="467">
        <v>4961</v>
      </c>
      <c r="D289" s="471">
        <v>0.70599999999999996</v>
      </c>
      <c r="E289" s="467">
        <v>236</v>
      </c>
      <c r="F289" s="472">
        <v>4.7600000000000003E-2</v>
      </c>
      <c r="G289" s="467">
        <v>0</v>
      </c>
      <c r="H289" s="472">
        <v>0.14410000000000001</v>
      </c>
      <c r="I289" s="467">
        <v>64</v>
      </c>
      <c r="J289" s="486">
        <v>69</v>
      </c>
      <c r="M289" s="600">
        <v>45854</v>
      </c>
      <c r="N289" s="470">
        <v>6.3E-3</v>
      </c>
      <c r="O289" s="467">
        <v>4095</v>
      </c>
      <c r="P289" s="471">
        <v>0.66</v>
      </c>
      <c r="Q289" s="467">
        <v>218</v>
      </c>
      <c r="R289" s="472">
        <v>5.3199999999999997E-2</v>
      </c>
      <c r="S289" s="467">
        <v>0</v>
      </c>
      <c r="T289" s="472">
        <v>0.1193</v>
      </c>
      <c r="U289" s="467">
        <v>77</v>
      </c>
      <c r="V289" s="486">
        <v>86</v>
      </c>
    </row>
    <row r="290" spans="1:22">
      <c r="A290" s="600">
        <v>45855</v>
      </c>
      <c r="B290" s="470">
        <v>6.8999999999999999E-3</v>
      </c>
      <c r="C290" s="467">
        <v>4961</v>
      </c>
      <c r="D290" s="471">
        <v>0.70299999999999996</v>
      </c>
      <c r="E290" s="467">
        <v>235</v>
      </c>
      <c r="F290" s="472">
        <v>4.7399999999999998E-2</v>
      </c>
      <c r="G290" s="467">
        <v>0</v>
      </c>
      <c r="H290" s="472">
        <v>0.1447</v>
      </c>
      <c r="I290" s="467">
        <v>66</v>
      </c>
      <c r="J290" s="486">
        <v>69</v>
      </c>
      <c r="M290" s="600">
        <v>45855</v>
      </c>
      <c r="N290" s="470">
        <v>5.0000000000000001E-3</v>
      </c>
      <c r="O290" s="467">
        <v>5203</v>
      </c>
      <c r="P290" s="471">
        <v>0.66100000000000003</v>
      </c>
      <c r="Q290" s="467">
        <v>218</v>
      </c>
      <c r="R290" s="472">
        <v>4.19E-2</v>
      </c>
      <c r="S290" s="467">
        <v>0</v>
      </c>
      <c r="T290" s="472">
        <v>0.1193</v>
      </c>
      <c r="U290" s="467">
        <v>79</v>
      </c>
      <c r="V290" s="486">
        <v>86</v>
      </c>
    </row>
    <row r="291" spans="1:22">
      <c r="A291" s="600">
        <v>45856</v>
      </c>
      <c r="B291" s="470">
        <v>6.7999999999999996E-3</v>
      </c>
      <c r="C291" s="467">
        <v>4983</v>
      </c>
      <c r="D291" s="471">
        <v>0.69599999999999995</v>
      </c>
      <c r="E291" s="467">
        <v>234</v>
      </c>
      <c r="F291" s="472">
        <v>4.7E-2</v>
      </c>
      <c r="G291" s="467">
        <v>0</v>
      </c>
      <c r="H291" s="472">
        <v>0.14530000000000001</v>
      </c>
      <c r="I291" s="467">
        <v>64</v>
      </c>
      <c r="J291" s="486">
        <v>69</v>
      </c>
      <c r="M291" s="600">
        <v>45856</v>
      </c>
      <c r="N291" s="470">
        <v>3.8999999999999998E-3</v>
      </c>
      <c r="O291" s="467">
        <v>6967</v>
      </c>
      <c r="P291" s="471">
        <v>0.66100000000000003</v>
      </c>
      <c r="Q291" s="467">
        <v>261</v>
      </c>
      <c r="R291" s="472">
        <v>3.7499999999999999E-2</v>
      </c>
      <c r="S291" s="467">
        <v>0</v>
      </c>
      <c r="T291" s="472">
        <v>0.10340000000000001</v>
      </c>
      <c r="U291" s="467">
        <v>81</v>
      </c>
      <c r="V291" s="486">
        <v>72</v>
      </c>
    </row>
    <row r="292" spans="1:22">
      <c r="A292" s="600">
        <v>45857</v>
      </c>
      <c r="B292" s="470">
        <v>6.6E-3</v>
      </c>
      <c r="C292" s="467">
        <v>5029</v>
      </c>
      <c r="D292" s="471">
        <v>0.69199999999999995</v>
      </c>
      <c r="E292" s="467">
        <v>235</v>
      </c>
      <c r="F292" s="472">
        <v>4.6699999999999998E-2</v>
      </c>
      <c r="G292" s="467">
        <v>0</v>
      </c>
      <c r="H292" s="472">
        <v>0.1404</v>
      </c>
      <c r="I292" s="467">
        <v>63</v>
      </c>
      <c r="J292" s="486">
        <v>69</v>
      </c>
      <c r="M292" s="600">
        <v>45857</v>
      </c>
      <c r="N292" s="470">
        <v>3.7000000000000002E-3</v>
      </c>
      <c r="O292" s="467">
        <v>7617</v>
      </c>
      <c r="P292" s="471">
        <v>0.66100000000000003</v>
      </c>
      <c r="Q292" s="467">
        <v>303</v>
      </c>
      <c r="R292" s="472">
        <v>3.9800000000000002E-2</v>
      </c>
      <c r="S292" s="467">
        <v>0</v>
      </c>
      <c r="T292" s="472">
        <v>9.2399999999999996E-2</v>
      </c>
      <c r="U292" s="467">
        <v>81</v>
      </c>
      <c r="V292" s="486">
        <v>72</v>
      </c>
    </row>
    <row r="293" spans="1:22">
      <c r="A293" s="600">
        <v>45858</v>
      </c>
      <c r="B293" s="470">
        <v>6.3E-3</v>
      </c>
      <c r="C293" s="467">
        <v>5086</v>
      </c>
      <c r="D293" s="471">
        <v>0.68899999999999995</v>
      </c>
      <c r="E293" s="467">
        <v>236</v>
      </c>
      <c r="F293" s="472">
        <v>4.6399999999999997E-2</v>
      </c>
      <c r="G293" s="467">
        <v>0</v>
      </c>
      <c r="H293" s="472">
        <v>0.1356</v>
      </c>
      <c r="I293" s="467">
        <v>63</v>
      </c>
      <c r="J293" s="486">
        <v>69</v>
      </c>
      <c r="M293" s="600">
        <v>45858</v>
      </c>
      <c r="N293" s="470">
        <v>3.5999999999999999E-3</v>
      </c>
      <c r="O293" s="467">
        <v>7546</v>
      </c>
      <c r="P293" s="471">
        <v>0.66</v>
      </c>
      <c r="Q293" s="467">
        <v>294</v>
      </c>
      <c r="R293" s="472">
        <v>3.9E-2</v>
      </c>
      <c r="S293" s="467">
        <v>0</v>
      </c>
      <c r="T293" s="472">
        <v>9.1800000000000007E-2</v>
      </c>
      <c r="U293" s="467">
        <v>80</v>
      </c>
      <c r="V293" s="486">
        <v>103</v>
      </c>
    </row>
    <row r="294" spans="1:22">
      <c r="A294" s="600">
        <v>45859</v>
      </c>
      <c r="B294" s="470">
        <v>6.0000000000000001E-3</v>
      </c>
      <c r="C294" s="467">
        <v>5134</v>
      </c>
      <c r="D294" s="471">
        <v>0.68700000000000006</v>
      </c>
      <c r="E294" s="467">
        <v>238</v>
      </c>
      <c r="F294" s="472">
        <v>4.6399999999999997E-2</v>
      </c>
      <c r="G294" s="467">
        <v>0</v>
      </c>
      <c r="H294" s="472">
        <v>0.1303</v>
      </c>
      <c r="I294" s="467">
        <v>63</v>
      </c>
      <c r="J294" s="486">
        <v>69</v>
      </c>
      <c r="M294" s="600">
        <v>45859</v>
      </c>
      <c r="N294" s="470">
        <v>3.5000000000000001E-3</v>
      </c>
      <c r="O294" s="467">
        <v>7421</v>
      </c>
      <c r="P294" s="471">
        <v>0.65800000000000003</v>
      </c>
      <c r="Q294" s="467">
        <v>272</v>
      </c>
      <c r="R294" s="472">
        <v>3.6700000000000003E-2</v>
      </c>
      <c r="S294" s="467">
        <v>0</v>
      </c>
      <c r="T294" s="472">
        <v>9.5600000000000004E-2</v>
      </c>
      <c r="U294" s="467">
        <v>82</v>
      </c>
      <c r="V294" s="486">
        <v>103</v>
      </c>
    </row>
    <row r="295" spans="1:22">
      <c r="A295" s="600">
        <v>45860</v>
      </c>
      <c r="B295" s="470">
        <v>5.5999999999999999E-3</v>
      </c>
      <c r="C295" s="467">
        <v>5339</v>
      </c>
      <c r="D295" s="471">
        <v>0.68700000000000006</v>
      </c>
      <c r="E295" s="467">
        <v>240</v>
      </c>
      <c r="F295" s="472">
        <v>4.4999999999999998E-2</v>
      </c>
      <c r="G295" s="467">
        <v>0</v>
      </c>
      <c r="H295" s="472">
        <v>0.125</v>
      </c>
      <c r="I295" s="467">
        <v>63</v>
      </c>
      <c r="J295" s="486">
        <v>69</v>
      </c>
      <c r="M295" s="600">
        <v>45860</v>
      </c>
      <c r="N295" s="470">
        <v>3.8E-3</v>
      </c>
      <c r="O295" s="467">
        <v>6623</v>
      </c>
      <c r="P295" s="471">
        <v>0.65900000000000003</v>
      </c>
      <c r="Q295" s="467">
        <v>243</v>
      </c>
      <c r="R295" s="472">
        <v>3.6700000000000003E-2</v>
      </c>
      <c r="S295" s="467">
        <v>0</v>
      </c>
      <c r="T295" s="472">
        <v>0.10290000000000001</v>
      </c>
      <c r="U295" s="467">
        <v>79</v>
      </c>
      <c r="V295" s="486">
        <v>103</v>
      </c>
    </row>
    <row r="296" spans="1:22">
      <c r="A296" s="600">
        <v>45861</v>
      </c>
      <c r="B296" s="470">
        <v>5.1999999999999998E-3</v>
      </c>
      <c r="C296" s="467">
        <v>5737</v>
      </c>
      <c r="D296" s="471">
        <v>0.68300000000000005</v>
      </c>
      <c r="E296" s="467">
        <v>260</v>
      </c>
      <c r="F296" s="472">
        <v>4.53E-2</v>
      </c>
      <c r="G296" s="467">
        <v>0</v>
      </c>
      <c r="H296" s="472">
        <v>0.1154</v>
      </c>
      <c r="I296" s="467">
        <v>63</v>
      </c>
      <c r="J296" s="486">
        <v>61</v>
      </c>
      <c r="M296" s="600">
        <v>45861</v>
      </c>
      <c r="N296" s="470">
        <v>4.3E-3</v>
      </c>
      <c r="O296" s="467">
        <v>5385</v>
      </c>
      <c r="P296" s="471">
        <v>0.65700000000000003</v>
      </c>
      <c r="Q296" s="467">
        <v>194</v>
      </c>
      <c r="R296" s="472">
        <v>3.5999999999999997E-2</v>
      </c>
      <c r="S296" s="467">
        <v>0</v>
      </c>
      <c r="T296" s="472">
        <v>0.1186</v>
      </c>
      <c r="U296" s="467">
        <v>79</v>
      </c>
      <c r="V296" s="486">
        <v>119</v>
      </c>
    </row>
    <row r="297" spans="1:22">
      <c r="A297" s="600">
        <v>45862</v>
      </c>
      <c r="B297" s="470">
        <v>4.7999999999999996E-3</v>
      </c>
      <c r="C297" s="467">
        <v>6290</v>
      </c>
      <c r="D297" s="471">
        <v>0.68100000000000005</v>
      </c>
      <c r="E297" s="467">
        <v>296</v>
      </c>
      <c r="F297" s="472">
        <v>4.7100000000000003E-2</v>
      </c>
      <c r="G297" s="467">
        <v>0</v>
      </c>
      <c r="H297" s="472">
        <v>0.1014</v>
      </c>
      <c r="I297" s="467">
        <v>63</v>
      </c>
      <c r="J297" s="486">
        <v>61</v>
      </c>
      <c r="M297" s="600">
        <v>45862</v>
      </c>
      <c r="N297" s="470">
        <v>4.3E-3</v>
      </c>
      <c r="O297" s="467">
        <v>4875</v>
      </c>
      <c r="P297" s="471">
        <v>0.65600000000000003</v>
      </c>
      <c r="Q297" s="467">
        <v>154</v>
      </c>
      <c r="R297" s="472">
        <v>3.1600000000000003E-2</v>
      </c>
      <c r="S297" s="467">
        <v>0</v>
      </c>
      <c r="T297" s="472">
        <v>0.13639999999999999</v>
      </c>
      <c r="U297" s="467">
        <v>79</v>
      </c>
      <c r="V297" s="486">
        <v>119</v>
      </c>
    </row>
    <row r="298" spans="1:22">
      <c r="A298" s="600">
        <v>45863</v>
      </c>
      <c r="B298" s="470">
        <v>4.4000000000000003E-3</v>
      </c>
      <c r="C298" s="467">
        <v>6836</v>
      </c>
      <c r="D298" s="471">
        <v>0.67900000000000005</v>
      </c>
      <c r="E298" s="467">
        <v>339</v>
      </c>
      <c r="F298" s="472">
        <v>4.9599999999999998E-2</v>
      </c>
      <c r="G298" s="467">
        <v>0</v>
      </c>
      <c r="H298" s="472">
        <v>8.8499999999999995E-2</v>
      </c>
      <c r="I298" s="467">
        <v>65</v>
      </c>
      <c r="J298" s="486">
        <v>61</v>
      </c>
      <c r="M298" s="600">
        <v>45863</v>
      </c>
      <c r="N298" s="470">
        <v>4.1000000000000003E-3</v>
      </c>
      <c r="O298" s="467">
        <v>4875</v>
      </c>
      <c r="P298" s="471">
        <v>0.65500000000000003</v>
      </c>
      <c r="Q298" s="467">
        <v>154</v>
      </c>
      <c r="R298" s="472">
        <v>3.1600000000000003E-2</v>
      </c>
      <c r="S298" s="467">
        <v>0</v>
      </c>
      <c r="T298" s="472">
        <v>0.12989999999999999</v>
      </c>
      <c r="U298" s="467">
        <v>82</v>
      </c>
      <c r="V298" s="486">
        <v>116</v>
      </c>
    </row>
    <row r="299" spans="1:22">
      <c r="A299" s="600">
        <v>45864</v>
      </c>
      <c r="B299" s="470">
        <v>4.1000000000000003E-3</v>
      </c>
      <c r="C299" s="467">
        <v>7233</v>
      </c>
      <c r="D299" s="471">
        <v>0.67800000000000005</v>
      </c>
      <c r="E299" s="467">
        <v>379</v>
      </c>
      <c r="F299" s="472">
        <v>5.2400000000000002E-2</v>
      </c>
      <c r="G299" s="467">
        <v>0</v>
      </c>
      <c r="H299" s="472">
        <v>7.9200000000000007E-2</v>
      </c>
      <c r="I299" s="467">
        <v>67</v>
      </c>
      <c r="J299" s="486">
        <v>61</v>
      </c>
      <c r="M299" s="600">
        <v>45864</v>
      </c>
      <c r="N299" s="470">
        <v>4.0000000000000001E-3</v>
      </c>
      <c r="O299" s="467">
        <v>4973</v>
      </c>
      <c r="P299" s="471">
        <v>0.65500000000000003</v>
      </c>
      <c r="Q299" s="467">
        <v>154</v>
      </c>
      <c r="R299" s="472">
        <v>3.1E-2</v>
      </c>
      <c r="S299" s="467">
        <v>0</v>
      </c>
      <c r="T299" s="472">
        <v>0.12989999999999999</v>
      </c>
      <c r="U299" s="467">
        <v>82</v>
      </c>
      <c r="V299" s="486">
        <v>116</v>
      </c>
    </row>
    <row r="300" spans="1:22">
      <c r="A300" s="600">
        <v>45865</v>
      </c>
      <c r="B300" s="470">
        <v>4.1000000000000003E-3</v>
      </c>
      <c r="C300" s="467">
        <v>7384</v>
      </c>
      <c r="D300" s="471">
        <v>0.67700000000000005</v>
      </c>
      <c r="E300" s="467">
        <v>405</v>
      </c>
      <c r="F300" s="472">
        <v>5.4800000000000001E-2</v>
      </c>
      <c r="G300" s="467">
        <v>0</v>
      </c>
      <c r="H300" s="472">
        <v>7.4099999999999999E-2</v>
      </c>
      <c r="I300" s="467">
        <v>65</v>
      </c>
      <c r="J300" s="486">
        <v>61</v>
      </c>
      <c r="M300" s="600">
        <v>45865</v>
      </c>
      <c r="N300" s="470">
        <v>3.7000000000000002E-3</v>
      </c>
      <c r="O300" s="467">
        <v>5160</v>
      </c>
      <c r="P300" s="471">
        <v>0.65400000000000003</v>
      </c>
      <c r="Q300" s="467">
        <v>157</v>
      </c>
      <c r="R300" s="472">
        <v>3.04E-2</v>
      </c>
      <c r="S300" s="467">
        <v>0</v>
      </c>
      <c r="T300" s="472">
        <v>0.121</v>
      </c>
      <c r="U300" s="467">
        <v>79</v>
      </c>
      <c r="V300" s="486">
        <v>116</v>
      </c>
    </row>
    <row r="301" spans="1:22">
      <c r="A301" s="600">
        <v>45866</v>
      </c>
      <c r="B301" s="470">
        <v>4.1000000000000003E-3</v>
      </c>
      <c r="C301" s="467">
        <v>7384</v>
      </c>
      <c r="D301" s="471">
        <v>0.67800000000000005</v>
      </c>
      <c r="E301" s="467">
        <v>404</v>
      </c>
      <c r="F301" s="472">
        <v>5.4699999999999999E-2</v>
      </c>
      <c r="G301" s="467">
        <v>0</v>
      </c>
      <c r="H301" s="472">
        <v>7.4300000000000005E-2</v>
      </c>
      <c r="I301" s="467">
        <v>65</v>
      </c>
      <c r="J301" s="486">
        <v>68</v>
      </c>
      <c r="M301" s="600">
        <v>45866</v>
      </c>
      <c r="N301" s="470">
        <v>3.3999999999999998E-3</v>
      </c>
      <c r="O301" s="467">
        <v>5249</v>
      </c>
      <c r="P301" s="471">
        <v>0.65500000000000003</v>
      </c>
      <c r="Q301" s="467">
        <v>160</v>
      </c>
      <c r="R301" s="472">
        <v>3.0499999999999999E-2</v>
      </c>
      <c r="S301" s="467">
        <v>0</v>
      </c>
      <c r="T301" s="472">
        <v>0.1125</v>
      </c>
      <c r="U301" s="467">
        <v>79</v>
      </c>
      <c r="V301" s="486">
        <v>116</v>
      </c>
    </row>
    <row r="302" spans="1:22">
      <c r="A302" s="600">
        <v>45867</v>
      </c>
      <c r="B302" s="470">
        <v>4.1000000000000003E-3</v>
      </c>
      <c r="C302" s="467">
        <v>7384</v>
      </c>
      <c r="D302" s="471">
        <v>0.67700000000000005</v>
      </c>
      <c r="E302" s="467">
        <v>403</v>
      </c>
      <c r="F302" s="472">
        <v>5.4600000000000003E-2</v>
      </c>
      <c r="G302" s="467">
        <v>0</v>
      </c>
      <c r="H302" s="472">
        <v>7.4399999999999994E-2</v>
      </c>
      <c r="I302" s="467">
        <v>61</v>
      </c>
      <c r="J302" s="486">
        <v>68</v>
      </c>
      <c r="M302" s="600">
        <v>45867</v>
      </c>
      <c r="N302" s="470">
        <v>3.3999999999999998E-3</v>
      </c>
      <c r="O302" s="467">
        <v>5249</v>
      </c>
      <c r="P302" s="471">
        <v>0.65600000000000003</v>
      </c>
      <c r="Q302" s="467">
        <v>161</v>
      </c>
      <c r="R302" s="472">
        <v>3.0700000000000002E-2</v>
      </c>
      <c r="S302" s="467">
        <v>0</v>
      </c>
      <c r="T302" s="472">
        <v>0.1118</v>
      </c>
      <c r="U302" s="467">
        <v>84</v>
      </c>
      <c r="V302" s="486">
        <v>117</v>
      </c>
    </row>
    <row r="303" spans="1:22">
      <c r="A303" s="600">
        <v>45868</v>
      </c>
      <c r="B303" s="470">
        <v>4.0000000000000001E-3</v>
      </c>
      <c r="C303" s="467">
        <v>7513</v>
      </c>
      <c r="D303" s="471">
        <v>0.67900000000000005</v>
      </c>
      <c r="E303" s="467">
        <v>402</v>
      </c>
      <c r="F303" s="472">
        <v>5.3499999999999999E-2</v>
      </c>
      <c r="G303" s="467">
        <v>0</v>
      </c>
      <c r="H303" s="472">
        <v>7.46E-2</v>
      </c>
      <c r="I303" s="467">
        <v>62</v>
      </c>
      <c r="J303" s="486">
        <v>68</v>
      </c>
      <c r="M303" s="600">
        <v>45868</v>
      </c>
      <c r="N303" s="470">
        <v>3.3999999999999998E-3</v>
      </c>
      <c r="O303" s="467">
        <v>5249</v>
      </c>
      <c r="P303" s="471">
        <v>0.65700000000000003</v>
      </c>
      <c r="Q303" s="467">
        <v>161</v>
      </c>
      <c r="R303" s="472">
        <v>3.0700000000000002E-2</v>
      </c>
      <c r="S303" s="467">
        <v>0</v>
      </c>
      <c r="T303" s="472">
        <v>0.1118</v>
      </c>
      <c r="U303" s="467">
        <v>82</v>
      </c>
      <c r="V303" s="486">
        <v>117</v>
      </c>
    </row>
    <row r="304" spans="1:22">
      <c r="A304" s="600">
        <v>45869</v>
      </c>
      <c r="B304" s="470">
        <v>3.7000000000000002E-3</v>
      </c>
      <c r="C304" s="467">
        <v>7824</v>
      </c>
      <c r="D304" s="471">
        <v>0.68</v>
      </c>
      <c r="E304" s="467">
        <v>403</v>
      </c>
      <c r="F304" s="472">
        <v>5.1499999999999997E-2</v>
      </c>
      <c r="G304" s="467">
        <v>0</v>
      </c>
      <c r="H304" s="472">
        <v>7.1999999999999995E-2</v>
      </c>
      <c r="I304" s="467">
        <v>65</v>
      </c>
      <c r="J304" s="486">
        <v>57</v>
      </c>
      <c r="M304" s="600">
        <v>45869</v>
      </c>
      <c r="N304" s="470">
        <v>3.8E-3</v>
      </c>
      <c r="O304" s="467">
        <v>5249</v>
      </c>
      <c r="P304" s="471">
        <v>0.65600000000000003</v>
      </c>
      <c r="Q304" s="467">
        <v>160</v>
      </c>
      <c r="R304" s="472">
        <v>3.0499999999999999E-2</v>
      </c>
      <c r="S304" s="467">
        <v>0</v>
      </c>
      <c r="T304" s="472">
        <v>0.125</v>
      </c>
      <c r="U304" s="467">
        <v>83</v>
      </c>
      <c r="V304" s="486">
        <v>117</v>
      </c>
    </row>
    <row r="305" spans="1:22">
      <c r="A305" s="600">
        <v>45870</v>
      </c>
      <c r="B305" s="470">
        <v>3.5000000000000001E-3</v>
      </c>
      <c r="C305" s="467">
        <v>8007</v>
      </c>
      <c r="D305" s="471">
        <v>0.67900000000000005</v>
      </c>
      <c r="E305" s="467">
        <v>404</v>
      </c>
      <c r="F305" s="472">
        <v>5.0500000000000003E-2</v>
      </c>
      <c r="G305" s="467">
        <v>0</v>
      </c>
      <c r="H305" s="472">
        <v>6.93E-2</v>
      </c>
      <c r="I305" s="467">
        <v>65</v>
      </c>
      <c r="J305" s="486">
        <v>57</v>
      </c>
      <c r="M305" s="600">
        <v>45870</v>
      </c>
      <c r="N305" s="470">
        <v>4.1999999999999997E-3</v>
      </c>
      <c r="O305" s="467">
        <v>5249</v>
      </c>
      <c r="P305" s="471">
        <v>0.65500000000000003</v>
      </c>
      <c r="Q305" s="467">
        <v>160</v>
      </c>
      <c r="R305" s="472">
        <v>3.0499999999999999E-2</v>
      </c>
      <c r="S305" s="467">
        <v>0</v>
      </c>
      <c r="T305" s="472">
        <v>0.13750000000000001</v>
      </c>
      <c r="U305" s="467">
        <v>84</v>
      </c>
      <c r="V305" s="486">
        <v>117</v>
      </c>
    </row>
    <row r="306" spans="1:22">
      <c r="A306" s="600">
        <v>45871</v>
      </c>
      <c r="B306" s="470">
        <v>3.5999999999999999E-3</v>
      </c>
      <c r="C306" s="467">
        <v>7550</v>
      </c>
      <c r="D306" s="471">
        <v>0.67800000000000005</v>
      </c>
      <c r="E306" s="467">
        <v>404</v>
      </c>
      <c r="F306" s="472">
        <v>5.3499999999999999E-2</v>
      </c>
      <c r="G306" s="467">
        <v>0</v>
      </c>
      <c r="H306" s="472">
        <v>6.6799999999999998E-2</v>
      </c>
      <c r="I306" s="467">
        <v>63</v>
      </c>
      <c r="J306" s="486">
        <v>57</v>
      </c>
      <c r="M306" s="600">
        <v>45871</v>
      </c>
      <c r="N306" s="470">
        <v>4.4000000000000003E-3</v>
      </c>
      <c r="O306" s="467">
        <v>5249</v>
      </c>
      <c r="P306" s="471">
        <v>0.65500000000000003</v>
      </c>
      <c r="Q306" s="467">
        <v>160</v>
      </c>
      <c r="R306" s="472">
        <v>3.0499999999999999E-2</v>
      </c>
      <c r="S306" s="467">
        <v>0</v>
      </c>
      <c r="T306" s="472">
        <v>0.14369999999999999</v>
      </c>
      <c r="U306" s="467">
        <v>87</v>
      </c>
      <c r="V306" s="486">
        <v>117</v>
      </c>
    </row>
    <row r="307" spans="1:22">
      <c r="A307" s="600">
        <v>45872</v>
      </c>
      <c r="B307" s="470">
        <v>4.0000000000000001E-3</v>
      </c>
      <c r="C307" s="467">
        <v>6543</v>
      </c>
      <c r="D307" s="471">
        <v>0.67500000000000004</v>
      </c>
      <c r="E307" s="467">
        <v>371</v>
      </c>
      <c r="F307" s="472">
        <v>5.67E-2</v>
      </c>
      <c r="G307" s="467">
        <v>0</v>
      </c>
      <c r="H307" s="472">
        <v>7.0099999999999996E-2</v>
      </c>
      <c r="I307" s="467">
        <v>62</v>
      </c>
      <c r="J307" s="486">
        <v>64</v>
      </c>
      <c r="M307" s="600">
        <v>45872</v>
      </c>
      <c r="N307" s="470">
        <v>4.5999999999999999E-3</v>
      </c>
      <c r="O307" s="467">
        <v>5249</v>
      </c>
      <c r="P307" s="471">
        <v>0.65500000000000003</v>
      </c>
      <c r="Q307" s="467">
        <v>159</v>
      </c>
      <c r="R307" s="472">
        <v>3.0300000000000001E-2</v>
      </c>
      <c r="S307" s="467">
        <v>0</v>
      </c>
      <c r="T307" s="472">
        <v>0.15090000000000001</v>
      </c>
      <c r="U307" s="467">
        <v>86</v>
      </c>
      <c r="V307" s="486">
        <v>113</v>
      </c>
    </row>
    <row r="308" spans="1:22">
      <c r="A308" s="600">
        <v>45873</v>
      </c>
      <c r="B308" s="470">
        <v>4.1999999999999997E-3</v>
      </c>
      <c r="C308" s="467">
        <v>5945</v>
      </c>
      <c r="D308" s="471">
        <v>0.67</v>
      </c>
      <c r="E308" s="467">
        <v>334</v>
      </c>
      <c r="F308" s="472">
        <v>5.62E-2</v>
      </c>
      <c r="G308" s="467">
        <v>0</v>
      </c>
      <c r="H308" s="472">
        <v>7.4899999999999994E-2</v>
      </c>
      <c r="I308" s="467">
        <v>63</v>
      </c>
      <c r="J308" s="486">
        <v>64</v>
      </c>
      <c r="M308" s="600">
        <v>45873</v>
      </c>
      <c r="N308" s="470">
        <v>5.1000000000000004E-3</v>
      </c>
      <c r="O308" s="467">
        <v>4929</v>
      </c>
      <c r="P308" s="471">
        <v>0.65400000000000003</v>
      </c>
      <c r="Q308" s="467">
        <v>157</v>
      </c>
      <c r="R308" s="472">
        <v>3.1899999999999998E-2</v>
      </c>
      <c r="S308" s="467">
        <v>0</v>
      </c>
      <c r="T308" s="472">
        <v>0.15920000000000001</v>
      </c>
      <c r="U308" s="467">
        <v>88</v>
      </c>
      <c r="V308" s="486">
        <v>113</v>
      </c>
    </row>
    <row r="309" spans="1:22">
      <c r="A309" s="600">
        <v>45874</v>
      </c>
      <c r="B309" s="470">
        <v>4.1000000000000003E-3</v>
      </c>
      <c r="C309" s="467">
        <v>5819</v>
      </c>
      <c r="D309" s="471">
        <v>0.66900000000000004</v>
      </c>
      <c r="E309" s="467">
        <v>319</v>
      </c>
      <c r="F309" s="472">
        <v>5.4800000000000001E-2</v>
      </c>
      <c r="G309" s="467">
        <v>0</v>
      </c>
      <c r="H309" s="472">
        <v>7.5200000000000003E-2</v>
      </c>
      <c r="I309" s="467">
        <v>64</v>
      </c>
      <c r="J309" s="486">
        <v>62</v>
      </c>
      <c r="M309" s="600">
        <v>45874</v>
      </c>
      <c r="N309" s="470">
        <v>5.8999999999999999E-3</v>
      </c>
      <c r="O309" s="467">
        <v>4261</v>
      </c>
      <c r="P309" s="471">
        <v>0.65500000000000003</v>
      </c>
      <c r="Q309" s="467">
        <v>137</v>
      </c>
      <c r="R309" s="472">
        <v>3.2199999999999999E-2</v>
      </c>
      <c r="S309" s="467">
        <v>0</v>
      </c>
      <c r="T309" s="472">
        <v>0.1825</v>
      </c>
      <c r="U309" s="467">
        <v>89</v>
      </c>
      <c r="V309" s="486">
        <v>125</v>
      </c>
    </row>
    <row r="310" spans="1:22">
      <c r="A310" s="600">
        <v>45875</v>
      </c>
      <c r="B310" s="470">
        <v>3.8999999999999998E-3</v>
      </c>
      <c r="C310" s="467">
        <v>5867</v>
      </c>
      <c r="D310" s="471">
        <v>0.66900000000000004</v>
      </c>
      <c r="E310" s="467">
        <v>301</v>
      </c>
      <c r="F310" s="472">
        <v>5.1299999999999998E-2</v>
      </c>
      <c r="G310" s="467">
        <v>0</v>
      </c>
      <c r="H310" s="472">
        <v>7.6399999999999996E-2</v>
      </c>
      <c r="I310" s="467">
        <v>66</v>
      </c>
      <c r="J310" s="486">
        <v>62</v>
      </c>
      <c r="M310" s="600">
        <v>45875</v>
      </c>
      <c r="N310" s="470">
        <v>6.4000000000000003E-3</v>
      </c>
      <c r="O310" s="467">
        <v>3912</v>
      </c>
      <c r="P310" s="471">
        <v>0.65200000000000002</v>
      </c>
      <c r="Q310" s="467">
        <v>118</v>
      </c>
      <c r="R310" s="472">
        <v>3.0200000000000001E-2</v>
      </c>
      <c r="S310" s="467">
        <v>0</v>
      </c>
      <c r="T310" s="472">
        <v>0.21190000000000001</v>
      </c>
      <c r="U310" s="467">
        <v>89</v>
      </c>
      <c r="V310" s="486">
        <v>125</v>
      </c>
    </row>
    <row r="311" spans="1:22">
      <c r="A311" s="600">
        <v>45876</v>
      </c>
      <c r="B311" s="470">
        <v>3.8999999999999998E-3</v>
      </c>
      <c r="C311" s="467">
        <v>5689</v>
      </c>
      <c r="D311" s="471">
        <v>0.66800000000000004</v>
      </c>
      <c r="E311" s="467">
        <v>292</v>
      </c>
      <c r="F311" s="472">
        <v>5.1299999999999998E-2</v>
      </c>
      <c r="G311" s="467">
        <v>0</v>
      </c>
      <c r="H311" s="472">
        <v>7.5300000000000006E-2</v>
      </c>
      <c r="I311" s="467">
        <v>67</v>
      </c>
      <c r="J311" s="486">
        <v>62</v>
      </c>
      <c r="M311" s="600">
        <v>45876</v>
      </c>
      <c r="N311" s="470">
        <v>6.6E-3</v>
      </c>
      <c r="O311" s="467">
        <v>3912</v>
      </c>
      <c r="P311" s="471">
        <v>0.65100000000000002</v>
      </c>
      <c r="Q311" s="467">
        <v>117</v>
      </c>
      <c r="R311" s="472">
        <v>2.9899999999999999E-2</v>
      </c>
      <c r="S311" s="467">
        <v>0</v>
      </c>
      <c r="T311" s="472">
        <v>0.22220000000000001</v>
      </c>
      <c r="U311" s="467">
        <v>84</v>
      </c>
      <c r="V311" s="486">
        <v>125</v>
      </c>
    </row>
    <row r="312" spans="1:22">
      <c r="A312" s="600">
        <v>45877</v>
      </c>
      <c r="B312" s="470">
        <v>4.1999999999999997E-3</v>
      </c>
      <c r="C312" s="467">
        <v>4979</v>
      </c>
      <c r="D312" s="471">
        <v>0.66600000000000004</v>
      </c>
      <c r="E312" s="467">
        <v>259</v>
      </c>
      <c r="F312" s="472">
        <v>5.1999999999999998E-2</v>
      </c>
      <c r="G312" s="467">
        <v>0</v>
      </c>
      <c r="H312" s="472">
        <v>8.1100000000000005E-2</v>
      </c>
      <c r="I312" s="467">
        <v>65</v>
      </c>
      <c r="J312" s="486">
        <v>74</v>
      </c>
      <c r="M312" s="600">
        <v>45877</v>
      </c>
      <c r="N312" s="470">
        <v>6.8999999999999999E-3</v>
      </c>
      <c r="O312" s="467">
        <v>3912</v>
      </c>
      <c r="P312" s="471">
        <v>0.65</v>
      </c>
      <c r="Q312" s="467">
        <v>117</v>
      </c>
      <c r="R312" s="472">
        <v>2.9899999999999999E-2</v>
      </c>
      <c r="S312" s="467">
        <v>0</v>
      </c>
      <c r="T312" s="472">
        <v>0.23080000000000001</v>
      </c>
      <c r="U312" s="467">
        <v>81</v>
      </c>
      <c r="V312" s="486">
        <v>125</v>
      </c>
    </row>
    <row r="313" spans="1:22">
      <c r="A313" s="600">
        <v>45878</v>
      </c>
      <c r="B313" s="470">
        <v>4.1999999999999997E-3</v>
      </c>
      <c r="C313" s="467">
        <v>4535</v>
      </c>
      <c r="D313" s="471">
        <v>0.66700000000000004</v>
      </c>
      <c r="E313" s="467">
        <v>224</v>
      </c>
      <c r="F313" s="472">
        <v>4.9399999999999999E-2</v>
      </c>
      <c r="G313" s="467">
        <v>0</v>
      </c>
      <c r="H313" s="472">
        <v>8.48E-2</v>
      </c>
      <c r="I313" s="467">
        <v>60</v>
      </c>
      <c r="J313" s="486">
        <v>74</v>
      </c>
      <c r="M313" s="600">
        <v>45878</v>
      </c>
      <c r="N313" s="470">
        <v>7.1999999999999998E-3</v>
      </c>
      <c r="O313" s="467">
        <v>3912</v>
      </c>
      <c r="P313" s="471">
        <v>0.65</v>
      </c>
      <c r="Q313" s="467">
        <v>116</v>
      </c>
      <c r="R313" s="472">
        <v>2.9700000000000001E-2</v>
      </c>
      <c r="S313" s="467">
        <v>0</v>
      </c>
      <c r="T313" s="472">
        <v>0.2414</v>
      </c>
      <c r="U313" s="467">
        <v>82</v>
      </c>
      <c r="V313" s="486">
        <v>125</v>
      </c>
    </row>
    <row r="314" spans="1:22">
      <c r="A314" s="600">
        <v>45879</v>
      </c>
      <c r="B314" s="470">
        <v>4.0000000000000001E-3</v>
      </c>
      <c r="C314" s="467">
        <v>4535</v>
      </c>
      <c r="D314" s="471">
        <v>0.66600000000000004</v>
      </c>
      <c r="E314" s="467">
        <v>222</v>
      </c>
      <c r="F314" s="472">
        <v>4.9000000000000002E-2</v>
      </c>
      <c r="G314" s="467">
        <v>0</v>
      </c>
      <c r="H314" s="472">
        <v>8.1100000000000005E-2</v>
      </c>
      <c r="I314" s="467">
        <v>57</v>
      </c>
      <c r="J314" s="486">
        <v>74</v>
      </c>
      <c r="M314" s="600">
        <v>45879</v>
      </c>
      <c r="N314" s="470">
        <v>6.8999999999999999E-3</v>
      </c>
      <c r="O314" s="467">
        <v>3912</v>
      </c>
      <c r="P314" s="471">
        <v>0.65</v>
      </c>
      <c r="Q314" s="467">
        <v>116</v>
      </c>
      <c r="R314" s="472">
        <v>2.9700000000000001E-2</v>
      </c>
      <c r="S314" s="467">
        <v>0</v>
      </c>
      <c r="T314" s="472">
        <v>0.23280000000000001</v>
      </c>
      <c r="U314" s="467">
        <v>82</v>
      </c>
      <c r="V314" s="486">
        <v>121</v>
      </c>
    </row>
    <row r="315" spans="1:22">
      <c r="A315" s="600">
        <v>45880</v>
      </c>
      <c r="B315" s="470">
        <v>3.7000000000000002E-3</v>
      </c>
      <c r="C315" s="467">
        <v>4535</v>
      </c>
      <c r="D315" s="471">
        <v>0.66400000000000003</v>
      </c>
      <c r="E315" s="467">
        <v>220</v>
      </c>
      <c r="F315" s="472">
        <v>4.8500000000000001E-2</v>
      </c>
      <c r="G315" s="467">
        <v>0</v>
      </c>
      <c r="H315" s="472">
        <v>7.7299999999999994E-2</v>
      </c>
      <c r="I315" s="467">
        <v>55</v>
      </c>
      <c r="J315" s="486">
        <v>74</v>
      </c>
      <c r="M315" s="600">
        <v>45880</v>
      </c>
      <c r="N315" s="470">
        <v>6.6E-3</v>
      </c>
      <c r="O315" s="467">
        <v>3912</v>
      </c>
      <c r="P315" s="471">
        <v>0.65100000000000002</v>
      </c>
      <c r="Q315" s="467">
        <v>117</v>
      </c>
      <c r="R315" s="472">
        <v>2.9899999999999999E-2</v>
      </c>
      <c r="S315" s="467">
        <v>0</v>
      </c>
      <c r="T315" s="472">
        <v>0.22220000000000001</v>
      </c>
      <c r="U315" s="467">
        <v>77</v>
      </c>
      <c r="V315" s="486">
        <v>121</v>
      </c>
    </row>
    <row r="316" spans="1:22">
      <c r="A316" s="600">
        <v>45881</v>
      </c>
      <c r="B316" s="470">
        <v>3.7000000000000002E-3</v>
      </c>
      <c r="C316" s="467">
        <v>4548</v>
      </c>
      <c r="D316" s="471">
        <v>0.66500000000000004</v>
      </c>
      <c r="E316" s="467">
        <v>220</v>
      </c>
      <c r="F316" s="472">
        <v>4.8399999999999999E-2</v>
      </c>
      <c r="G316" s="467">
        <v>0</v>
      </c>
      <c r="H316" s="472">
        <v>7.7299999999999994E-2</v>
      </c>
      <c r="I316" s="467">
        <v>59</v>
      </c>
      <c r="J316" s="486">
        <v>74</v>
      </c>
      <c r="M316" s="600">
        <v>45881</v>
      </c>
      <c r="N316" s="470">
        <v>5.7999999999999996E-3</v>
      </c>
      <c r="O316" s="467">
        <v>4289</v>
      </c>
      <c r="P316" s="471">
        <v>0.65400000000000003</v>
      </c>
      <c r="Q316" s="467">
        <v>117</v>
      </c>
      <c r="R316" s="472">
        <v>2.7300000000000001E-2</v>
      </c>
      <c r="S316" s="467">
        <v>0</v>
      </c>
      <c r="T316" s="472">
        <v>0.2137</v>
      </c>
      <c r="U316" s="467">
        <v>78</v>
      </c>
      <c r="V316" s="486">
        <v>121</v>
      </c>
    </row>
    <row r="317" spans="1:22">
      <c r="A317" s="600">
        <v>45882</v>
      </c>
      <c r="B317" s="470">
        <v>3.2000000000000002E-3</v>
      </c>
      <c r="C317" s="467">
        <v>4703</v>
      </c>
      <c r="D317" s="471">
        <v>0.66500000000000004</v>
      </c>
      <c r="E317" s="467">
        <v>234</v>
      </c>
      <c r="F317" s="472">
        <v>4.9799999999999997E-2</v>
      </c>
      <c r="G317" s="467">
        <v>0</v>
      </c>
      <c r="H317" s="472">
        <v>6.4100000000000004E-2</v>
      </c>
      <c r="I317" s="467">
        <v>55</v>
      </c>
      <c r="J317" s="486">
        <v>78</v>
      </c>
      <c r="M317" s="600">
        <v>45882</v>
      </c>
      <c r="N317" s="470">
        <v>4.7999999999999996E-3</v>
      </c>
      <c r="O317" s="467">
        <v>5161</v>
      </c>
      <c r="P317" s="471">
        <v>0.65400000000000003</v>
      </c>
      <c r="Q317" s="467">
        <v>137</v>
      </c>
      <c r="R317" s="472">
        <v>2.6499999999999999E-2</v>
      </c>
      <c r="S317" s="467">
        <v>0</v>
      </c>
      <c r="T317" s="472">
        <v>0.1825</v>
      </c>
      <c r="U317" s="467">
        <v>81</v>
      </c>
      <c r="V317" s="486">
        <v>121</v>
      </c>
    </row>
    <row r="318" spans="1:22">
      <c r="A318" s="600">
        <v>45883</v>
      </c>
      <c r="B318" s="470">
        <v>2.8999999999999998E-3</v>
      </c>
      <c r="C318" s="467">
        <v>5165</v>
      </c>
      <c r="D318" s="471">
        <v>0.66900000000000004</v>
      </c>
      <c r="E318" s="467">
        <v>278</v>
      </c>
      <c r="F318" s="472">
        <v>5.3800000000000001E-2</v>
      </c>
      <c r="G318" s="467">
        <v>0</v>
      </c>
      <c r="H318" s="472">
        <v>5.3999999999999999E-2</v>
      </c>
      <c r="I318" s="467">
        <v>53</v>
      </c>
      <c r="J318" s="486">
        <v>66</v>
      </c>
      <c r="M318" s="600">
        <v>45883</v>
      </c>
      <c r="N318" s="470">
        <v>4.1999999999999997E-3</v>
      </c>
      <c r="O318" s="467">
        <v>6172</v>
      </c>
      <c r="P318" s="471">
        <v>0.65500000000000003</v>
      </c>
      <c r="Q318" s="467">
        <v>168</v>
      </c>
      <c r="R318" s="472">
        <v>2.7199999999999998E-2</v>
      </c>
      <c r="S318" s="467">
        <v>0</v>
      </c>
      <c r="T318" s="472">
        <v>0.15479999999999999</v>
      </c>
      <c r="U318" s="467">
        <v>83</v>
      </c>
      <c r="V318" s="486">
        <v>121</v>
      </c>
    </row>
    <row r="319" spans="1:22">
      <c r="A319" s="600">
        <v>45884</v>
      </c>
      <c r="B319" s="470">
        <v>2.5999999999999999E-3</v>
      </c>
      <c r="C319" s="467">
        <v>5818</v>
      </c>
      <c r="D319" s="471">
        <v>0.66600000000000004</v>
      </c>
      <c r="E319" s="467">
        <v>334</v>
      </c>
      <c r="F319" s="472">
        <v>5.74E-2</v>
      </c>
      <c r="G319" s="467">
        <v>0</v>
      </c>
      <c r="H319" s="472">
        <v>4.4900000000000002E-2</v>
      </c>
      <c r="I319" s="467">
        <v>53</v>
      </c>
      <c r="J319" s="486">
        <v>66</v>
      </c>
      <c r="M319" s="600">
        <v>45884</v>
      </c>
      <c r="N319" s="470">
        <v>4.0000000000000001E-3</v>
      </c>
      <c r="O319" s="467">
        <v>7008</v>
      </c>
      <c r="P319" s="471">
        <v>0.65500000000000003</v>
      </c>
      <c r="Q319" s="467">
        <v>203</v>
      </c>
      <c r="R319" s="472">
        <v>2.9000000000000001E-2</v>
      </c>
      <c r="S319" s="467">
        <v>0</v>
      </c>
      <c r="T319" s="472">
        <v>0.13789999999999999</v>
      </c>
      <c r="U319" s="467">
        <v>86</v>
      </c>
      <c r="V319" s="486">
        <v>121</v>
      </c>
    </row>
    <row r="320" spans="1:22">
      <c r="A320" s="600">
        <v>45885</v>
      </c>
      <c r="B320" s="470">
        <v>2.3E-3</v>
      </c>
      <c r="C320" s="467">
        <v>6999</v>
      </c>
      <c r="D320" s="471">
        <v>0.66700000000000004</v>
      </c>
      <c r="E320" s="467">
        <v>394</v>
      </c>
      <c r="F320" s="472">
        <v>5.6300000000000003E-2</v>
      </c>
      <c r="G320" s="467">
        <v>0</v>
      </c>
      <c r="H320" s="472">
        <v>4.0599999999999997E-2</v>
      </c>
      <c r="I320" s="467">
        <v>51</v>
      </c>
      <c r="J320" s="486">
        <v>54</v>
      </c>
      <c r="M320" s="600">
        <v>45885</v>
      </c>
      <c r="N320" s="470">
        <v>3.8999999999999998E-3</v>
      </c>
      <c r="O320" s="467">
        <v>7636</v>
      </c>
      <c r="P320" s="471">
        <v>0.65600000000000003</v>
      </c>
      <c r="Q320" s="467">
        <v>236</v>
      </c>
      <c r="R320" s="472">
        <v>3.09E-2</v>
      </c>
      <c r="S320" s="467">
        <v>0</v>
      </c>
      <c r="T320" s="472">
        <v>0.12709999999999999</v>
      </c>
      <c r="U320" s="467">
        <v>80</v>
      </c>
      <c r="V320" s="486">
        <v>100</v>
      </c>
    </row>
    <row r="321" spans="1:22">
      <c r="A321" s="600">
        <v>45886</v>
      </c>
      <c r="B321" s="470">
        <v>1.9E-3</v>
      </c>
      <c r="C321" s="467">
        <v>8380</v>
      </c>
      <c r="D321" s="471">
        <v>0.66700000000000004</v>
      </c>
      <c r="E321" s="467">
        <v>476</v>
      </c>
      <c r="F321" s="472">
        <v>5.6800000000000003E-2</v>
      </c>
      <c r="G321" s="467">
        <v>0</v>
      </c>
      <c r="H321" s="472">
        <v>3.3599999999999998E-2</v>
      </c>
      <c r="I321" s="467">
        <v>49</v>
      </c>
      <c r="J321" s="486">
        <v>54</v>
      </c>
      <c r="M321" s="600">
        <v>45886</v>
      </c>
      <c r="N321" s="470">
        <v>4.5999999999999999E-3</v>
      </c>
      <c r="O321" s="467">
        <v>6752</v>
      </c>
      <c r="P321" s="471">
        <v>0.65700000000000003</v>
      </c>
      <c r="Q321" s="467">
        <v>260</v>
      </c>
      <c r="R321" s="472">
        <v>3.85E-2</v>
      </c>
      <c r="S321" s="467">
        <v>0</v>
      </c>
      <c r="T321" s="472">
        <v>0.1192</v>
      </c>
      <c r="U321" s="467">
        <v>81</v>
      </c>
      <c r="V321" s="486">
        <v>100</v>
      </c>
    </row>
    <row r="322" spans="1:22">
      <c r="A322" s="600">
        <v>45887</v>
      </c>
      <c r="B322" s="470">
        <v>1.6999999999999999E-3</v>
      </c>
      <c r="C322" s="467">
        <v>9300</v>
      </c>
      <c r="D322" s="471">
        <v>0.66900000000000004</v>
      </c>
      <c r="E322" s="467">
        <v>541</v>
      </c>
      <c r="F322" s="472">
        <v>5.8200000000000002E-2</v>
      </c>
      <c r="G322" s="467">
        <v>0</v>
      </c>
      <c r="H322" s="472">
        <v>2.9600000000000001E-2</v>
      </c>
      <c r="I322" s="467">
        <v>47</v>
      </c>
      <c r="J322" s="486">
        <v>54</v>
      </c>
      <c r="M322" s="600">
        <v>45887</v>
      </c>
      <c r="N322" s="470">
        <v>6.1999999999999998E-3</v>
      </c>
      <c r="O322" s="467">
        <v>4988</v>
      </c>
      <c r="P322" s="471">
        <v>0.65800000000000003</v>
      </c>
      <c r="Q322" s="467">
        <v>217</v>
      </c>
      <c r="R322" s="472">
        <v>4.3499999999999997E-2</v>
      </c>
      <c r="S322" s="467">
        <v>0</v>
      </c>
      <c r="T322" s="472">
        <v>0.1429</v>
      </c>
      <c r="U322" s="467">
        <v>80</v>
      </c>
      <c r="V322" s="486">
        <v>136</v>
      </c>
    </row>
    <row r="323" spans="1:22">
      <c r="A323" s="600">
        <v>45888</v>
      </c>
      <c r="B323" s="470">
        <v>1.6000000000000001E-3</v>
      </c>
      <c r="C323" s="467">
        <v>9805</v>
      </c>
      <c r="D323" s="471">
        <v>0.67</v>
      </c>
      <c r="E323" s="467">
        <v>576</v>
      </c>
      <c r="F323" s="472">
        <v>5.8700000000000002E-2</v>
      </c>
      <c r="G323" s="467">
        <v>0</v>
      </c>
      <c r="H323" s="472">
        <v>2.7799999999999998E-2</v>
      </c>
      <c r="I323" s="467">
        <v>47</v>
      </c>
      <c r="J323" s="486">
        <v>54</v>
      </c>
      <c r="M323" s="600">
        <v>45888</v>
      </c>
      <c r="N323" s="470">
        <v>7.1999999999999998E-3</v>
      </c>
      <c r="O323" s="467">
        <v>4322</v>
      </c>
      <c r="P323" s="471">
        <v>0.65800000000000003</v>
      </c>
      <c r="Q323" s="467">
        <v>175</v>
      </c>
      <c r="R323" s="472">
        <v>4.0500000000000001E-2</v>
      </c>
      <c r="S323" s="467">
        <v>0</v>
      </c>
      <c r="T323" s="472">
        <v>0.17710000000000001</v>
      </c>
      <c r="U323" s="467">
        <v>84</v>
      </c>
      <c r="V323" s="486">
        <v>136</v>
      </c>
    </row>
    <row r="324" spans="1:22">
      <c r="A324" s="600">
        <v>45889</v>
      </c>
      <c r="B324" s="470">
        <v>1.6000000000000001E-3</v>
      </c>
      <c r="C324" s="467">
        <v>10117</v>
      </c>
      <c r="D324" s="471">
        <v>0.67</v>
      </c>
      <c r="E324" s="467">
        <v>607</v>
      </c>
      <c r="F324" s="472">
        <v>0.06</v>
      </c>
      <c r="G324" s="467">
        <v>0</v>
      </c>
      <c r="H324" s="472">
        <v>2.64E-2</v>
      </c>
      <c r="I324" s="467">
        <v>47</v>
      </c>
      <c r="J324" s="486">
        <v>54</v>
      </c>
      <c r="M324" s="600">
        <v>45889</v>
      </c>
      <c r="N324" s="470">
        <v>7.1999999999999998E-3</v>
      </c>
      <c r="O324" s="467">
        <v>4322</v>
      </c>
      <c r="P324" s="471">
        <v>0.65900000000000003</v>
      </c>
      <c r="Q324" s="467">
        <v>176</v>
      </c>
      <c r="R324" s="472">
        <v>4.07E-2</v>
      </c>
      <c r="S324" s="467">
        <v>0</v>
      </c>
      <c r="T324" s="472">
        <v>0.17610000000000001</v>
      </c>
      <c r="U324" s="467">
        <v>84</v>
      </c>
      <c r="V324" s="486">
        <v>102</v>
      </c>
    </row>
    <row r="325" spans="1:22">
      <c r="A325" s="600">
        <v>45890</v>
      </c>
      <c r="B325" s="470">
        <v>1.6000000000000001E-3</v>
      </c>
      <c r="C325" s="467">
        <v>10215</v>
      </c>
      <c r="D325" s="471">
        <v>0.67200000000000004</v>
      </c>
      <c r="E325" s="467">
        <v>626</v>
      </c>
      <c r="F325" s="472">
        <v>6.13E-2</v>
      </c>
      <c r="G325" s="467">
        <v>0</v>
      </c>
      <c r="H325" s="472">
        <v>2.5600000000000001E-2</v>
      </c>
      <c r="I325" s="467">
        <v>46</v>
      </c>
      <c r="J325" s="486">
        <v>54</v>
      </c>
      <c r="M325" s="600">
        <v>45890</v>
      </c>
      <c r="N325" s="470">
        <v>6.4000000000000003E-3</v>
      </c>
      <c r="O325" s="467">
        <v>4874</v>
      </c>
      <c r="P325" s="471">
        <v>0.66</v>
      </c>
      <c r="Q325" s="467">
        <v>177</v>
      </c>
      <c r="R325" s="472">
        <v>3.6299999999999999E-2</v>
      </c>
      <c r="S325" s="467">
        <v>0</v>
      </c>
      <c r="T325" s="472">
        <v>0.17510000000000001</v>
      </c>
      <c r="U325" s="467">
        <v>83</v>
      </c>
      <c r="V325" s="486">
        <v>102</v>
      </c>
    </row>
    <row r="326" spans="1:22">
      <c r="A326" s="600">
        <v>45891</v>
      </c>
      <c r="B326" s="470">
        <v>1.6999999999999999E-3</v>
      </c>
      <c r="C326" s="467">
        <v>10018</v>
      </c>
      <c r="D326" s="471">
        <v>0.67</v>
      </c>
      <c r="E326" s="467">
        <v>627</v>
      </c>
      <c r="F326" s="472">
        <v>6.2600000000000003E-2</v>
      </c>
      <c r="G326" s="467">
        <v>0</v>
      </c>
      <c r="H326" s="472">
        <v>2.7099999999999999E-2</v>
      </c>
      <c r="I326" s="467">
        <v>44</v>
      </c>
      <c r="J326" s="486">
        <v>50</v>
      </c>
      <c r="M326" s="600">
        <v>45891</v>
      </c>
      <c r="N326" s="470">
        <v>5.1999999999999998E-3</v>
      </c>
      <c r="O326" s="467">
        <v>5748</v>
      </c>
      <c r="P326" s="471">
        <v>0.66</v>
      </c>
      <c r="Q326" s="467">
        <v>206</v>
      </c>
      <c r="R326" s="472">
        <v>3.5799999999999998E-2</v>
      </c>
      <c r="S326" s="467">
        <v>0</v>
      </c>
      <c r="T326" s="472">
        <v>0.14560000000000001</v>
      </c>
      <c r="U326" s="467">
        <v>87</v>
      </c>
      <c r="V326" s="486">
        <v>102</v>
      </c>
    </row>
    <row r="327" spans="1:22">
      <c r="A327" s="600">
        <v>45892</v>
      </c>
      <c r="B327" s="470">
        <v>1.8E-3</v>
      </c>
      <c r="C327" s="467">
        <v>9626</v>
      </c>
      <c r="D327" s="471">
        <v>0.67</v>
      </c>
      <c r="E327" s="467">
        <v>610</v>
      </c>
      <c r="F327" s="472">
        <v>6.3399999999999998E-2</v>
      </c>
      <c r="G327" s="467">
        <v>0</v>
      </c>
      <c r="H327" s="472">
        <v>2.7900000000000001E-2</v>
      </c>
      <c r="I327" s="467">
        <v>42</v>
      </c>
      <c r="J327" s="486">
        <v>63</v>
      </c>
      <c r="M327" s="600">
        <v>45892</v>
      </c>
      <c r="N327" s="470">
        <v>4.7999999999999996E-3</v>
      </c>
      <c r="O327" s="467">
        <v>6076</v>
      </c>
      <c r="P327" s="471">
        <v>0.66100000000000003</v>
      </c>
      <c r="Q327" s="467">
        <v>235</v>
      </c>
      <c r="R327" s="472">
        <v>3.8699999999999998E-2</v>
      </c>
      <c r="S327" s="467">
        <v>0</v>
      </c>
      <c r="T327" s="472">
        <v>0.1234</v>
      </c>
      <c r="U327" s="467">
        <v>85</v>
      </c>
      <c r="V327" s="486">
        <v>102</v>
      </c>
    </row>
    <row r="328" spans="1:22">
      <c r="A328" s="600">
        <v>45893</v>
      </c>
      <c r="B328" s="470">
        <v>1.9E-3</v>
      </c>
      <c r="C328" s="467">
        <v>9081</v>
      </c>
      <c r="D328" s="471">
        <v>0.67200000000000004</v>
      </c>
      <c r="E328" s="467">
        <v>577</v>
      </c>
      <c r="F328" s="472">
        <v>6.3500000000000001E-2</v>
      </c>
      <c r="G328" s="467">
        <v>0</v>
      </c>
      <c r="H328" s="472">
        <v>2.9499999999999998E-2</v>
      </c>
      <c r="I328" s="467">
        <v>40</v>
      </c>
      <c r="J328" s="486">
        <v>63</v>
      </c>
      <c r="M328" s="600">
        <v>45893</v>
      </c>
      <c r="N328" s="470">
        <v>4.7999999999999996E-3</v>
      </c>
      <c r="O328" s="467">
        <v>6076</v>
      </c>
      <c r="P328" s="471">
        <v>0.66100000000000003</v>
      </c>
      <c r="Q328" s="467">
        <v>236</v>
      </c>
      <c r="R328" s="472">
        <v>3.8800000000000001E-2</v>
      </c>
      <c r="S328" s="467">
        <v>0</v>
      </c>
      <c r="T328" s="472">
        <v>0.1229</v>
      </c>
      <c r="U328" s="467">
        <v>85</v>
      </c>
      <c r="V328" s="486">
        <v>101</v>
      </c>
    </row>
    <row r="329" spans="1:22">
      <c r="A329" s="600">
        <v>45894</v>
      </c>
      <c r="B329" s="470">
        <v>2E-3</v>
      </c>
      <c r="C329" s="467">
        <v>8593</v>
      </c>
      <c r="D329" s="471">
        <v>0.67100000000000004</v>
      </c>
      <c r="E329" s="467">
        <v>536</v>
      </c>
      <c r="F329" s="472">
        <v>6.2399999999999997E-2</v>
      </c>
      <c r="G329" s="467">
        <v>0</v>
      </c>
      <c r="H329" s="472">
        <v>3.1699999999999999E-2</v>
      </c>
      <c r="I329" s="467">
        <v>37</v>
      </c>
      <c r="J329" s="486">
        <v>63</v>
      </c>
      <c r="M329" s="600">
        <v>45894</v>
      </c>
      <c r="N329" s="470">
        <v>4.7999999999999996E-3</v>
      </c>
      <c r="O329" s="467">
        <v>6076</v>
      </c>
      <c r="P329" s="471">
        <v>0.66100000000000003</v>
      </c>
      <c r="Q329" s="467">
        <v>236</v>
      </c>
      <c r="R329" s="472">
        <v>3.8800000000000001E-2</v>
      </c>
      <c r="S329" s="467">
        <v>0</v>
      </c>
      <c r="T329" s="472">
        <v>0.1229</v>
      </c>
      <c r="U329" s="467">
        <v>90</v>
      </c>
      <c r="V329" s="486">
        <v>101</v>
      </c>
    </row>
    <row r="330" spans="1:22">
      <c r="A330" s="600">
        <v>45895</v>
      </c>
      <c r="B330" s="470">
        <v>2E-3</v>
      </c>
      <c r="C330" s="467">
        <v>8335</v>
      </c>
      <c r="D330" s="471">
        <v>0.67400000000000004</v>
      </c>
      <c r="E330" s="467">
        <v>498</v>
      </c>
      <c r="F330" s="472">
        <v>5.9700000000000003E-2</v>
      </c>
      <c r="G330" s="467">
        <v>0</v>
      </c>
      <c r="H330" s="472">
        <v>3.4099999999999998E-2</v>
      </c>
      <c r="I330" s="467">
        <v>36</v>
      </c>
      <c r="J330" s="486">
        <v>63</v>
      </c>
      <c r="M330" s="600">
        <v>45895</v>
      </c>
      <c r="N330" s="470">
        <v>4.8999999999999998E-3</v>
      </c>
      <c r="O330" s="467">
        <v>5978</v>
      </c>
      <c r="P330" s="471">
        <v>0.66</v>
      </c>
      <c r="Q330" s="467">
        <v>237</v>
      </c>
      <c r="R330" s="472">
        <v>3.9600000000000003E-2</v>
      </c>
      <c r="S330" s="467">
        <v>0</v>
      </c>
      <c r="T330" s="472">
        <v>0.12239999999999999</v>
      </c>
      <c r="U330" s="467">
        <v>89</v>
      </c>
      <c r="V330" s="486">
        <v>101</v>
      </c>
    </row>
    <row r="331" spans="1:22">
      <c r="A331" s="600">
        <v>45896</v>
      </c>
      <c r="B331" s="470">
        <v>2E-3</v>
      </c>
      <c r="C331" s="467">
        <v>8326</v>
      </c>
      <c r="D331" s="471">
        <v>0.67600000000000005</v>
      </c>
      <c r="E331" s="467">
        <v>474</v>
      </c>
      <c r="F331" s="472">
        <v>5.6899999999999999E-2</v>
      </c>
      <c r="G331" s="467">
        <v>0</v>
      </c>
      <c r="H331" s="472">
        <v>3.5900000000000001E-2</v>
      </c>
      <c r="I331" s="467">
        <v>38</v>
      </c>
      <c r="J331" s="486">
        <v>63</v>
      </c>
      <c r="M331" s="600">
        <v>45896</v>
      </c>
      <c r="N331" s="470">
        <v>5.1999999999999998E-3</v>
      </c>
      <c r="O331" s="467">
        <v>5791</v>
      </c>
      <c r="P331" s="471">
        <v>0.66100000000000003</v>
      </c>
      <c r="Q331" s="467">
        <v>235</v>
      </c>
      <c r="R331" s="472">
        <v>4.0599999999999997E-2</v>
      </c>
      <c r="S331" s="467">
        <v>0</v>
      </c>
      <c r="T331" s="472">
        <v>0.12770000000000001</v>
      </c>
      <c r="U331" s="467">
        <v>90</v>
      </c>
      <c r="V331" s="486">
        <v>101</v>
      </c>
    </row>
    <row r="332" spans="1:22">
      <c r="A332" s="600">
        <v>45897</v>
      </c>
      <c r="B332" s="470">
        <v>1.9E-3</v>
      </c>
      <c r="C332" s="467">
        <v>8419</v>
      </c>
      <c r="D332" s="471">
        <v>0.67500000000000004</v>
      </c>
      <c r="E332" s="467">
        <v>474</v>
      </c>
      <c r="F332" s="472">
        <v>5.6300000000000003E-2</v>
      </c>
      <c r="G332" s="467">
        <v>0</v>
      </c>
      <c r="H332" s="472">
        <v>3.3799999999999997E-2</v>
      </c>
      <c r="I332" s="467">
        <v>36</v>
      </c>
      <c r="J332" s="486">
        <v>34</v>
      </c>
      <c r="M332" s="600">
        <v>45897</v>
      </c>
      <c r="N332" s="470">
        <v>5.4000000000000003E-3</v>
      </c>
      <c r="O332" s="467">
        <v>5702</v>
      </c>
      <c r="P332" s="471">
        <v>0.66100000000000003</v>
      </c>
      <c r="Q332" s="467">
        <v>233</v>
      </c>
      <c r="R332" s="472">
        <v>4.0899999999999999E-2</v>
      </c>
      <c r="S332" s="467">
        <v>0</v>
      </c>
      <c r="T332" s="472">
        <v>0.13300000000000001</v>
      </c>
      <c r="U332" s="467">
        <v>88</v>
      </c>
      <c r="V332" s="486">
        <v>101</v>
      </c>
    </row>
    <row r="333" spans="1:22">
      <c r="A333" s="600">
        <v>45898</v>
      </c>
      <c r="B333" s="470">
        <v>1.9E-3</v>
      </c>
      <c r="C333" s="467">
        <v>8438</v>
      </c>
      <c r="D333" s="471">
        <v>0.67700000000000005</v>
      </c>
      <c r="E333" s="467">
        <v>479</v>
      </c>
      <c r="F333" s="472">
        <v>5.6800000000000003E-2</v>
      </c>
      <c r="G333" s="467">
        <v>0</v>
      </c>
      <c r="H333" s="472">
        <v>3.3399999999999999E-2</v>
      </c>
      <c r="I333" s="467">
        <v>38</v>
      </c>
      <c r="J333" s="486">
        <v>50</v>
      </c>
      <c r="M333" s="600">
        <v>45898</v>
      </c>
      <c r="N333" s="470">
        <v>4.7999999999999996E-3</v>
      </c>
      <c r="O333" s="467">
        <v>6483</v>
      </c>
      <c r="P333" s="471">
        <v>0.66100000000000003</v>
      </c>
      <c r="Q333" s="467">
        <v>233</v>
      </c>
      <c r="R333" s="472">
        <v>3.5900000000000001E-2</v>
      </c>
      <c r="S333" s="467">
        <v>0</v>
      </c>
      <c r="T333" s="472">
        <v>0.13300000000000001</v>
      </c>
      <c r="U333" s="467">
        <v>85</v>
      </c>
      <c r="V333" s="486">
        <v>96</v>
      </c>
    </row>
    <row r="334" spans="1:22">
      <c r="A334" s="600">
        <v>45899</v>
      </c>
      <c r="B334" s="470">
        <v>1.9E-3</v>
      </c>
      <c r="C334" s="467">
        <v>8327</v>
      </c>
      <c r="D334" s="471">
        <v>0.67600000000000005</v>
      </c>
      <c r="E334" s="467">
        <v>484</v>
      </c>
      <c r="F334" s="472">
        <v>5.8099999999999999E-2</v>
      </c>
      <c r="G334" s="467">
        <v>1</v>
      </c>
      <c r="H334" s="472">
        <v>3.3099999999999997E-2</v>
      </c>
      <c r="I334" s="467">
        <v>34</v>
      </c>
      <c r="J334" s="486">
        <v>50</v>
      </c>
      <c r="M334" s="600">
        <v>45899</v>
      </c>
      <c r="N334" s="470">
        <v>4.0000000000000001E-3</v>
      </c>
      <c r="O334" s="467">
        <v>7733</v>
      </c>
      <c r="P334" s="471">
        <v>0.66100000000000003</v>
      </c>
      <c r="Q334" s="467">
        <v>337</v>
      </c>
      <c r="R334" s="472">
        <v>4.36E-2</v>
      </c>
      <c r="S334" s="467">
        <v>5</v>
      </c>
      <c r="T334" s="472">
        <v>9.1999999999999998E-2</v>
      </c>
      <c r="U334" s="467">
        <v>85</v>
      </c>
      <c r="V334" s="486">
        <v>96</v>
      </c>
    </row>
    <row r="335" spans="1:22">
      <c r="A335" s="600">
        <v>45901</v>
      </c>
      <c r="B335" s="470">
        <v>2.0999999999999999E-3</v>
      </c>
      <c r="C335" s="467">
        <v>8038</v>
      </c>
      <c r="D335" s="471">
        <v>0.68200000000000005</v>
      </c>
      <c r="E335" s="467">
        <v>488</v>
      </c>
      <c r="F335" s="472">
        <v>6.0699999999999997E-2</v>
      </c>
      <c r="G335" s="467">
        <v>1</v>
      </c>
      <c r="H335" s="472">
        <v>3.4799999999999998E-2</v>
      </c>
      <c r="I335" s="467">
        <v>36</v>
      </c>
      <c r="J335" s="486">
        <v>50</v>
      </c>
      <c r="M335" s="600">
        <v>45901</v>
      </c>
      <c r="N335" s="470">
        <v>3.5999999999999999E-3</v>
      </c>
      <c r="O335" s="467">
        <v>8221</v>
      </c>
      <c r="P335" s="471">
        <v>0.66</v>
      </c>
      <c r="Q335" s="467">
        <v>445</v>
      </c>
      <c r="R335" s="472">
        <v>5.4100000000000002E-2</v>
      </c>
      <c r="S335" s="467">
        <v>5</v>
      </c>
      <c r="T335" s="472">
        <v>6.7400000000000002E-2</v>
      </c>
      <c r="U335" s="467">
        <v>84</v>
      </c>
      <c r="V335" s="486">
        <v>96</v>
      </c>
    </row>
    <row r="336" spans="1:22">
      <c r="A336" s="600">
        <v>45902</v>
      </c>
      <c r="B336" s="470">
        <v>2.0999999999999999E-3</v>
      </c>
      <c r="C336" s="467">
        <v>8038</v>
      </c>
      <c r="D336" s="471">
        <v>0.68200000000000005</v>
      </c>
      <c r="E336" s="467">
        <v>488</v>
      </c>
      <c r="F336" s="472">
        <v>6.0699999999999997E-2</v>
      </c>
      <c r="G336" s="467">
        <v>1</v>
      </c>
      <c r="H336" s="472">
        <v>3.4799999999999998E-2</v>
      </c>
      <c r="I336" s="467">
        <v>36</v>
      </c>
      <c r="J336" s="486">
        <v>50</v>
      </c>
      <c r="M336" s="600">
        <v>45902</v>
      </c>
      <c r="N336" s="470">
        <v>3.5999999999999999E-3</v>
      </c>
      <c r="O336" s="467">
        <v>8221</v>
      </c>
      <c r="P336" s="471">
        <v>0.66</v>
      </c>
      <c r="Q336" s="467">
        <v>445</v>
      </c>
      <c r="R336" s="472">
        <v>5.4100000000000002E-2</v>
      </c>
      <c r="S336" s="467">
        <v>5</v>
      </c>
      <c r="T336" s="472">
        <v>6.7400000000000002E-2</v>
      </c>
      <c r="U336" s="467">
        <v>84</v>
      </c>
      <c r="V336" s="486">
        <v>96</v>
      </c>
    </row>
    <row r="337" spans="1:22">
      <c r="A337" s="600">
        <v>45903</v>
      </c>
      <c r="B337" s="470">
        <v>2.3E-3</v>
      </c>
      <c r="C337" s="467">
        <v>7878</v>
      </c>
      <c r="D337" s="471">
        <v>0.69099999999999995</v>
      </c>
      <c r="E337" s="467">
        <v>492</v>
      </c>
      <c r="F337" s="472">
        <v>6.25E-2</v>
      </c>
      <c r="G337" s="467">
        <v>1</v>
      </c>
      <c r="H337" s="472">
        <v>3.6600000000000001E-2</v>
      </c>
      <c r="I337" s="467">
        <v>39</v>
      </c>
      <c r="J337" s="486">
        <v>50</v>
      </c>
      <c r="M337" s="600">
        <v>45903</v>
      </c>
      <c r="N337" s="470">
        <v>3.5000000000000001E-3</v>
      </c>
      <c r="O337" s="467">
        <v>8256</v>
      </c>
      <c r="P337" s="471">
        <v>0.66100000000000003</v>
      </c>
      <c r="Q337" s="467">
        <v>447</v>
      </c>
      <c r="R337" s="472">
        <v>5.4100000000000002E-2</v>
      </c>
      <c r="S337" s="467">
        <v>5</v>
      </c>
      <c r="T337" s="472">
        <v>6.4899999999999999E-2</v>
      </c>
      <c r="U337" s="467">
        <v>83</v>
      </c>
      <c r="V337" s="486">
        <v>93</v>
      </c>
    </row>
    <row r="338" spans="1:22">
      <c r="A338" s="600">
        <v>45904</v>
      </c>
      <c r="B338" s="470">
        <v>2.3999999999999998E-3</v>
      </c>
      <c r="C338" s="467">
        <v>7897</v>
      </c>
      <c r="D338" s="471">
        <v>0.69699999999999995</v>
      </c>
      <c r="E338" s="467">
        <v>497</v>
      </c>
      <c r="F338" s="472">
        <v>6.2899999999999998E-2</v>
      </c>
      <c r="G338" s="467">
        <v>1</v>
      </c>
      <c r="H338" s="472">
        <v>3.8199999999999998E-2</v>
      </c>
      <c r="I338" s="467">
        <v>42</v>
      </c>
      <c r="J338" s="486">
        <v>50</v>
      </c>
      <c r="M338" s="600">
        <v>45904</v>
      </c>
      <c r="N338" s="470">
        <v>3.5000000000000001E-3</v>
      </c>
      <c r="O338" s="467">
        <v>8285</v>
      </c>
      <c r="P338" s="471">
        <v>0.66</v>
      </c>
      <c r="Q338" s="467">
        <v>450</v>
      </c>
      <c r="R338" s="472">
        <v>5.4300000000000001E-2</v>
      </c>
      <c r="S338" s="467">
        <v>5</v>
      </c>
      <c r="T338" s="472">
        <v>6.4399999999999999E-2</v>
      </c>
      <c r="U338" s="467">
        <v>78</v>
      </c>
      <c r="V338" s="486">
        <v>93</v>
      </c>
    </row>
    <row r="339" spans="1:22">
      <c r="A339" s="600">
        <v>45905</v>
      </c>
      <c r="B339" s="470">
        <v>2.5000000000000001E-3</v>
      </c>
      <c r="C339" s="467">
        <v>7906</v>
      </c>
      <c r="D339" s="471">
        <v>0.69899999999999995</v>
      </c>
      <c r="E339" s="467">
        <v>502</v>
      </c>
      <c r="F339" s="472">
        <v>6.3500000000000001E-2</v>
      </c>
      <c r="G339" s="467">
        <v>1</v>
      </c>
      <c r="H339" s="472">
        <v>3.9800000000000002E-2</v>
      </c>
      <c r="I339" s="467">
        <v>46</v>
      </c>
      <c r="J339" s="486">
        <v>50</v>
      </c>
      <c r="M339" s="600">
        <v>45905</v>
      </c>
      <c r="N339" s="470">
        <v>3.5000000000000001E-3</v>
      </c>
      <c r="O339" s="467">
        <v>8302</v>
      </c>
      <c r="P339" s="471">
        <v>0.66100000000000003</v>
      </c>
      <c r="Q339" s="467">
        <v>455</v>
      </c>
      <c r="R339" s="472">
        <v>5.4800000000000001E-2</v>
      </c>
      <c r="S339" s="467">
        <v>5</v>
      </c>
      <c r="T339" s="472">
        <v>6.3700000000000007E-2</v>
      </c>
      <c r="U339" s="467">
        <v>79</v>
      </c>
      <c r="V339" s="486">
        <v>93</v>
      </c>
    </row>
    <row r="340" spans="1:22">
      <c r="A340" s="600">
        <v>45906</v>
      </c>
      <c r="B340" s="470">
        <v>2.5999999999999999E-3</v>
      </c>
      <c r="C340" s="467">
        <v>7756</v>
      </c>
      <c r="D340" s="471">
        <v>0.70099999999999996</v>
      </c>
      <c r="E340" s="467">
        <v>503</v>
      </c>
      <c r="F340" s="472">
        <v>6.4899999999999999E-2</v>
      </c>
      <c r="G340" s="467">
        <v>0</v>
      </c>
      <c r="H340" s="472">
        <v>3.9800000000000002E-2</v>
      </c>
      <c r="I340" s="467">
        <v>42</v>
      </c>
      <c r="J340" s="486">
        <v>50</v>
      </c>
      <c r="M340" s="600">
        <v>45906</v>
      </c>
      <c r="N340" s="470">
        <v>3.3E-3</v>
      </c>
      <c r="O340" s="467">
        <v>9227</v>
      </c>
      <c r="P340" s="471">
        <v>0.66100000000000003</v>
      </c>
      <c r="Q340" s="467">
        <v>483</v>
      </c>
      <c r="R340" s="472">
        <v>5.2299999999999999E-2</v>
      </c>
      <c r="S340" s="467">
        <v>0</v>
      </c>
      <c r="T340" s="472">
        <v>6.2100000000000002E-2</v>
      </c>
      <c r="U340" s="467">
        <v>68</v>
      </c>
      <c r="V340" s="486">
        <v>82</v>
      </c>
    </row>
    <row r="341" spans="1:22">
      <c r="A341" s="600">
        <v>45907</v>
      </c>
      <c r="B341" s="470">
        <v>2.5000000000000001E-3</v>
      </c>
      <c r="C341" s="467">
        <v>7960</v>
      </c>
      <c r="D341" s="471">
        <v>0.70099999999999996</v>
      </c>
      <c r="E341" s="467">
        <v>498</v>
      </c>
      <c r="F341" s="472">
        <v>6.2600000000000003E-2</v>
      </c>
      <c r="G341" s="467">
        <v>0</v>
      </c>
      <c r="H341" s="472">
        <v>4.02E-2</v>
      </c>
      <c r="I341" s="467">
        <v>42</v>
      </c>
      <c r="J341" s="486">
        <v>50</v>
      </c>
      <c r="M341" s="600">
        <v>45907</v>
      </c>
      <c r="N341" s="470">
        <v>3.0999999999999999E-3</v>
      </c>
      <c r="O341" s="467">
        <v>9905</v>
      </c>
      <c r="P341" s="471">
        <v>0.66200000000000003</v>
      </c>
      <c r="Q341" s="467">
        <v>508</v>
      </c>
      <c r="R341" s="472">
        <v>5.1299999999999998E-2</v>
      </c>
      <c r="S341" s="467">
        <v>0</v>
      </c>
      <c r="T341" s="472">
        <v>6.0999999999999999E-2</v>
      </c>
      <c r="U341" s="467">
        <v>68</v>
      </c>
      <c r="V341" s="486">
        <v>82</v>
      </c>
    </row>
    <row r="342" spans="1:22">
      <c r="A342" s="600">
        <v>45908</v>
      </c>
      <c r="B342" s="470">
        <v>2.2000000000000001E-3</v>
      </c>
      <c r="C342" s="467">
        <v>8921</v>
      </c>
      <c r="D342" s="471">
        <v>0.70199999999999996</v>
      </c>
      <c r="E342" s="467">
        <v>515</v>
      </c>
      <c r="F342" s="472">
        <v>5.7700000000000001E-2</v>
      </c>
      <c r="G342" s="467">
        <v>0</v>
      </c>
      <c r="H342" s="472">
        <v>3.8800000000000001E-2</v>
      </c>
      <c r="I342" s="467">
        <v>53</v>
      </c>
      <c r="J342" s="486">
        <v>50</v>
      </c>
      <c r="M342" s="600">
        <v>45908</v>
      </c>
      <c r="N342" s="470">
        <v>3.0999999999999999E-3</v>
      </c>
      <c r="O342" s="467">
        <v>10462</v>
      </c>
      <c r="P342" s="471">
        <v>0.66100000000000003</v>
      </c>
      <c r="Q342" s="467">
        <v>537</v>
      </c>
      <c r="R342" s="472">
        <v>5.1299999999999998E-2</v>
      </c>
      <c r="S342" s="467">
        <v>0</v>
      </c>
      <c r="T342" s="472">
        <v>5.96E-2</v>
      </c>
      <c r="U342" s="467">
        <v>68</v>
      </c>
      <c r="V342" s="486">
        <v>82</v>
      </c>
    </row>
    <row r="343" spans="1:22">
      <c r="A343" s="600">
        <v>45909</v>
      </c>
      <c r="B343" s="470">
        <v>2E-3</v>
      </c>
      <c r="C343" s="467">
        <v>10217</v>
      </c>
      <c r="D343" s="471">
        <v>0.70099999999999996</v>
      </c>
      <c r="E343" s="467">
        <v>556</v>
      </c>
      <c r="F343" s="472">
        <v>5.4399999999999997E-2</v>
      </c>
      <c r="G343" s="467">
        <v>0</v>
      </c>
      <c r="H343" s="472">
        <v>3.5999999999999997E-2</v>
      </c>
      <c r="I343" s="467">
        <v>57</v>
      </c>
      <c r="J343" s="486">
        <v>50</v>
      </c>
      <c r="M343" s="600">
        <v>45909</v>
      </c>
      <c r="N343" s="470">
        <v>2.8999999999999998E-3</v>
      </c>
      <c r="O343" s="467">
        <v>10886</v>
      </c>
      <c r="P343" s="471">
        <v>0.66200000000000003</v>
      </c>
      <c r="Q343" s="467">
        <v>561</v>
      </c>
      <c r="R343" s="472">
        <v>5.1499999999999997E-2</v>
      </c>
      <c r="S343" s="467">
        <v>0</v>
      </c>
      <c r="T343" s="472">
        <v>5.7000000000000002E-2</v>
      </c>
      <c r="U343" s="467">
        <v>68</v>
      </c>
      <c r="V343" s="486">
        <v>78</v>
      </c>
    </row>
    <row r="344" spans="1:22">
      <c r="A344" s="600">
        <v>45910</v>
      </c>
      <c r="B344" s="470">
        <v>1.8E-3</v>
      </c>
      <c r="C344" s="467">
        <v>11217</v>
      </c>
      <c r="D344" s="471">
        <v>0.70299999999999996</v>
      </c>
      <c r="E344" s="467">
        <v>605</v>
      </c>
      <c r="F344" s="472">
        <v>5.3900000000000003E-2</v>
      </c>
      <c r="G344" s="467">
        <v>0</v>
      </c>
      <c r="H344" s="472">
        <v>3.3099999999999997E-2</v>
      </c>
      <c r="I344" s="467">
        <v>61</v>
      </c>
      <c r="J344" s="486">
        <v>50</v>
      </c>
      <c r="M344" s="600">
        <v>45910</v>
      </c>
      <c r="N344" s="470">
        <v>2.8999999999999998E-3</v>
      </c>
      <c r="O344" s="467">
        <v>11299</v>
      </c>
      <c r="P344" s="471">
        <v>0.65900000000000003</v>
      </c>
      <c r="Q344" s="467">
        <v>588</v>
      </c>
      <c r="R344" s="472">
        <v>5.1999999999999998E-2</v>
      </c>
      <c r="S344" s="467">
        <v>0</v>
      </c>
      <c r="T344" s="472">
        <v>5.6099999999999997E-2</v>
      </c>
      <c r="U344" s="467">
        <v>68</v>
      </c>
      <c r="V344" s="486">
        <v>78</v>
      </c>
    </row>
    <row r="345" spans="1:22">
      <c r="A345" s="600">
        <v>45911</v>
      </c>
      <c r="B345" s="470">
        <v>1.6999999999999999E-3</v>
      </c>
      <c r="C345" s="467">
        <v>11727</v>
      </c>
      <c r="D345" s="471">
        <v>0.70499999999999996</v>
      </c>
      <c r="E345" s="467">
        <v>656</v>
      </c>
      <c r="F345" s="472">
        <v>5.5899999999999998E-2</v>
      </c>
      <c r="G345" s="467">
        <v>2</v>
      </c>
      <c r="H345" s="472">
        <v>3.0499999999999999E-2</v>
      </c>
      <c r="I345" s="467">
        <v>60</v>
      </c>
      <c r="J345" s="486">
        <v>50</v>
      </c>
      <c r="M345" s="600">
        <v>45911</v>
      </c>
      <c r="N345" s="470">
        <v>2.8999999999999998E-3</v>
      </c>
      <c r="O345" s="467">
        <v>11668</v>
      </c>
      <c r="P345" s="471">
        <v>0.65700000000000003</v>
      </c>
      <c r="Q345" s="467">
        <v>611</v>
      </c>
      <c r="R345" s="472">
        <v>5.2400000000000002E-2</v>
      </c>
      <c r="S345" s="467">
        <v>5</v>
      </c>
      <c r="T345" s="472">
        <v>5.5599999999999997E-2</v>
      </c>
      <c r="U345" s="467">
        <v>67</v>
      </c>
      <c r="V345" s="486">
        <v>78</v>
      </c>
    </row>
    <row r="346" spans="1:22">
      <c r="A346" s="600">
        <v>45912</v>
      </c>
      <c r="B346" s="470">
        <v>1.8E-3</v>
      </c>
      <c r="C346" s="467">
        <v>11883</v>
      </c>
      <c r="D346" s="471">
        <v>0.70599999999999996</v>
      </c>
      <c r="E346" s="467">
        <v>686</v>
      </c>
      <c r="F346" s="472">
        <v>5.7700000000000001E-2</v>
      </c>
      <c r="G346" s="467">
        <v>0</v>
      </c>
      <c r="H346" s="472">
        <v>3.0599999999999999E-2</v>
      </c>
      <c r="I346" s="467">
        <v>55</v>
      </c>
      <c r="J346" s="486">
        <v>52</v>
      </c>
      <c r="M346" s="600">
        <v>45912</v>
      </c>
      <c r="N346" s="470">
        <v>2.8999999999999998E-3</v>
      </c>
      <c r="O346" s="467">
        <v>11608</v>
      </c>
      <c r="P346" s="471">
        <v>0.65300000000000002</v>
      </c>
      <c r="Q346" s="467">
        <v>631</v>
      </c>
      <c r="R346" s="472">
        <v>5.4399999999999997E-2</v>
      </c>
      <c r="S346" s="467">
        <v>0</v>
      </c>
      <c r="T346" s="472">
        <v>5.3900000000000003E-2</v>
      </c>
      <c r="U346" s="467">
        <v>64</v>
      </c>
      <c r="V346" s="486">
        <v>78</v>
      </c>
    </row>
    <row r="347" spans="1:22">
      <c r="A347" s="600">
        <v>45913</v>
      </c>
      <c r="B347" s="470">
        <v>1.9E-3</v>
      </c>
      <c r="C347" s="467">
        <v>11793</v>
      </c>
      <c r="D347" s="471">
        <v>0.70699999999999996</v>
      </c>
      <c r="E347" s="467">
        <v>696</v>
      </c>
      <c r="F347" s="472">
        <v>5.8999999999999997E-2</v>
      </c>
      <c r="G347" s="467">
        <v>0</v>
      </c>
      <c r="H347" s="472">
        <v>3.1600000000000003E-2</v>
      </c>
      <c r="I347" s="467">
        <v>57</v>
      </c>
      <c r="J347" s="486">
        <v>52</v>
      </c>
      <c r="M347" s="600">
        <v>45913</v>
      </c>
      <c r="N347" s="470">
        <v>3.0999999999999999E-3</v>
      </c>
      <c r="O347" s="467">
        <v>11018</v>
      </c>
      <c r="P347" s="471">
        <v>0.65400000000000003</v>
      </c>
      <c r="Q347" s="467">
        <v>626</v>
      </c>
      <c r="R347" s="472">
        <v>5.6800000000000003E-2</v>
      </c>
      <c r="S347" s="467">
        <v>0</v>
      </c>
      <c r="T347" s="472">
        <v>5.4300000000000001E-2</v>
      </c>
      <c r="U347" s="467">
        <v>59</v>
      </c>
      <c r="V347" s="486">
        <v>77</v>
      </c>
    </row>
    <row r="348" spans="1:22">
      <c r="A348" s="600">
        <v>45914</v>
      </c>
      <c r="B348" s="470">
        <v>1.6999999999999999E-3</v>
      </c>
      <c r="C348" s="467">
        <v>12058</v>
      </c>
      <c r="D348" s="471">
        <v>0.70699999999999996</v>
      </c>
      <c r="E348" s="467">
        <v>675</v>
      </c>
      <c r="F348" s="472">
        <v>5.6000000000000001E-2</v>
      </c>
      <c r="G348" s="467">
        <v>1</v>
      </c>
      <c r="H348" s="472">
        <v>3.1099999999999999E-2</v>
      </c>
      <c r="I348" s="467">
        <v>56</v>
      </c>
      <c r="J348" s="486">
        <v>59</v>
      </c>
      <c r="M348" s="600">
        <v>45914</v>
      </c>
      <c r="N348" s="470">
        <v>3.2000000000000002E-3</v>
      </c>
      <c r="O348" s="467">
        <v>10266</v>
      </c>
      <c r="P348" s="471">
        <v>0.65200000000000002</v>
      </c>
      <c r="Q348" s="467">
        <v>605</v>
      </c>
      <c r="R348" s="472">
        <v>5.8900000000000001E-2</v>
      </c>
      <c r="S348" s="467">
        <v>5</v>
      </c>
      <c r="T348" s="472">
        <v>5.45E-2</v>
      </c>
      <c r="U348" s="467">
        <v>54</v>
      </c>
      <c r="V348" s="486">
        <v>77</v>
      </c>
    </row>
    <row r="349" spans="1:22">
      <c r="A349" s="600">
        <v>45915</v>
      </c>
      <c r="B349" s="470">
        <v>1.5E-3</v>
      </c>
      <c r="C349" s="467">
        <v>12516</v>
      </c>
      <c r="D349" s="471">
        <v>0.71499999999999997</v>
      </c>
      <c r="E349" s="467">
        <v>648</v>
      </c>
      <c r="F349" s="472">
        <v>5.1799999999999999E-2</v>
      </c>
      <c r="G349" s="467">
        <v>0</v>
      </c>
      <c r="H349" s="472">
        <v>2.93E-2</v>
      </c>
      <c r="I349" s="467">
        <v>61</v>
      </c>
      <c r="J349" s="486">
        <v>59</v>
      </c>
      <c r="M349" s="600">
        <v>45915</v>
      </c>
      <c r="N349" s="470">
        <v>3.3E-3</v>
      </c>
      <c r="O349" s="467">
        <v>9616</v>
      </c>
      <c r="P349" s="471">
        <v>0.64700000000000002</v>
      </c>
      <c r="Q349" s="467">
        <v>576</v>
      </c>
      <c r="R349" s="472">
        <v>5.9900000000000002E-2</v>
      </c>
      <c r="S349" s="467">
        <v>0</v>
      </c>
      <c r="T349" s="472">
        <v>5.5599999999999997E-2</v>
      </c>
      <c r="U349" s="467">
        <v>54</v>
      </c>
      <c r="V349" s="486">
        <v>77</v>
      </c>
    </row>
    <row r="350" spans="1:22">
      <c r="A350" s="600">
        <v>45916</v>
      </c>
      <c r="B350" s="470">
        <v>1.4E-3</v>
      </c>
      <c r="C350" s="467">
        <v>11794</v>
      </c>
      <c r="D350" s="471">
        <v>0.71399999999999997</v>
      </c>
      <c r="E350" s="467">
        <v>615</v>
      </c>
      <c r="F350" s="472">
        <v>5.21E-2</v>
      </c>
      <c r="G350" s="467">
        <v>0</v>
      </c>
      <c r="H350" s="472">
        <v>2.76E-2</v>
      </c>
      <c r="I350" s="467">
        <v>63</v>
      </c>
      <c r="J350" s="486">
        <v>59</v>
      </c>
      <c r="M350" s="600">
        <v>45916</v>
      </c>
      <c r="N350" s="470">
        <v>3.3999999999999998E-3</v>
      </c>
      <c r="O350" s="467">
        <v>9061</v>
      </c>
      <c r="P350" s="471">
        <v>0.64400000000000002</v>
      </c>
      <c r="Q350" s="467">
        <v>547</v>
      </c>
      <c r="R350" s="472">
        <v>6.0400000000000002E-2</v>
      </c>
      <c r="S350" s="467">
        <v>0</v>
      </c>
      <c r="T350" s="472">
        <v>5.67E-2</v>
      </c>
      <c r="U350" s="467">
        <v>56</v>
      </c>
      <c r="V350" s="486">
        <v>87</v>
      </c>
    </row>
    <row r="351" spans="1:22">
      <c r="A351" s="600">
        <v>45917</v>
      </c>
      <c r="B351" s="470">
        <v>1.5E-3</v>
      </c>
      <c r="C351" s="467">
        <v>10413</v>
      </c>
      <c r="D351" s="471">
        <v>0.71599999999999997</v>
      </c>
      <c r="E351" s="467">
        <v>533</v>
      </c>
      <c r="F351" s="472">
        <v>5.1200000000000002E-2</v>
      </c>
      <c r="G351" s="467">
        <v>0</v>
      </c>
      <c r="H351" s="472">
        <v>0.03</v>
      </c>
      <c r="I351" s="467">
        <v>62</v>
      </c>
      <c r="J351" s="486">
        <v>59</v>
      </c>
      <c r="M351" s="600">
        <v>45917</v>
      </c>
      <c r="N351" s="470">
        <v>3.5999999999999999E-3</v>
      </c>
      <c r="O351" s="467">
        <v>8837</v>
      </c>
      <c r="P351" s="471">
        <v>0.64300000000000002</v>
      </c>
      <c r="Q351" s="467">
        <v>523</v>
      </c>
      <c r="R351" s="472">
        <v>5.9200000000000003E-2</v>
      </c>
      <c r="S351" s="467">
        <v>0</v>
      </c>
      <c r="T351" s="472">
        <v>6.1199999999999997E-2</v>
      </c>
      <c r="U351" s="467">
        <v>52</v>
      </c>
      <c r="V351" s="486">
        <v>89</v>
      </c>
    </row>
    <row r="352" spans="1:22">
      <c r="A352" s="600">
        <v>45918</v>
      </c>
      <c r="B352" s="470">
        <v>1.6000000000000001E-3</v>
      </c>
      <c r="C352" s="467">
        <v>9471</v>
      </c>
      <c r="D352" s="471">
        <v>0.71599999999999997</v>
      </c>
      <c r="E352" s="467">
        <v>468</v>
      </c>
      <c r="F352" s="472">
        <v>4.9399999999999999E-2</v>
      </c>
      <c r="G352" s="467">
        <v>0</v>
      </c>
      <c r="H352" s="472">
        <v>3.2099999999999997E-2</v>
      </c>
      <c r="I352" s="467">
        <v>62</v>
      </c>
      <c r="J352" s="486">
        <v>59</v>
      </c>
      <c r="M352" s="600">
        <v>45918</v>
      </c>
      <c r="N352" s="470">
        <v>3.7000000000000002E-3</v>
      </c>
      <c r="O352" s="467">
        <v>8837</v>
      </c>
      <c r="P352" s="471">
        <v>0.64300000000000002</v>
      </c>
      <c r="Q352" s="467">
        <v>523</v>
      </c>
      <c r="R352" s="472">
        <v>5.9200000000000003E-2</v>
      </c>
      <c r="S352" s="467">
        <v>0</v>
      </c>
      <c r="T352" s="472">
        <v>6.3100000000000003E-2</v>
      </c>
      <c r="U352" s="467">
        <v>50</v>
      </c>
      <c r="V352" s="486">
        <v>74</v>
      </c>
    </row>
    <row r="353" spans="1:22">
      <c r="A353" s="600">
        <v>45919</v>
      </c>
      <c r="B353" s="470">
        <v>1.6999999999999999E-3</v>
      </c>
      <c r="C353" s="467">
        <v>8920</v>
      </c>
      <c r="D353" s="471">
        <v>0.71799999999999997</v>
      </c>
      <c r="E353" s="467">
        <v>431</v>
      </c>
      <c r="F353" s="472">
        <v>4.8300000000000003E-2</v>
      </c>
      <c r="G353" s="467">
        <v>0</v>
      </c>
      <c r="H353" s="472">
        <v>3.4799999999999998E-2</v>
      </c>
      <c r="I353" s="467">
        <v>62</v>
      </c>
      <c r="J353" s="486">
        <v>59</v>
      </c>
      <c r="M353" s="600">
        <v>45919</v>
      </c>
      <c r="N353" s="470">
        <v>3.8E-3</v>
      </c>
      <c r="O353" s="467">
        <v>8837</v>
      </c>
      <c r="P353" s="471">
        <v>0.64400000000000002</v>
      </c>
      <c r="Q353" s="467">
        <v>523</v>
      </c>
      <c r="R353" s="472">
        <v>5.9200000000000003E-2</v>
      </c>
      <c r="S353" s="467">
        <v>0</v>
      </c>
      <c r="T353" s="472">
        <v>6.5000000000000002E-2</v>
      </c>
      <c r="U353" s="467">
        <v>47</v>
      </c>
      <c r="V353" s="486">
        <v>74</v>
      </c>
    </row>
    <row r="354" spans="1:22">
      <c r="A354" s="600">
        <v>45920</v>
      </c>
      <c r="B354" s="470">
        <v>1.9E-3</v>
      </c>
      <c r="C354" s="467">
        <v>8551</v>
      </c>
      <c r="D354" s="471">
        <v>0.72</v>
      </c>
      <c r="E354" s="467">
        <v>398</v>
      </c>
      <c r="F354" s="472">
        <v>4.65E-2</v>
      </c>
      <c r="G354" s="467">
        <v>0</v>
      </c>
      <c r="H354" s="472">
        <v>4.02E-2</v>
      </c>
      <c r="I354" s="467">
        <v>61</v>
      </c>
      <c r="J354" s="486">
        <v>98</v>
      </c>
      <c r="M354" s="600">
        <v>45920</v>
      </c>
      <c r="N354" s="470">
        <v>4.0000000000000001E-3</v>
      </c>
      <c r="O354" s="467">
        <v>8837</v>
      </c>
      <c r="P354" s="471">
        <v>0.64900000000000002</v>
      </c>
      <c r="Q354" s="467">
        <v>525</v>
      </c>
      <c r="R354" s="472">
        <v>5.9400000000000001E-2</v>
      </c>
      <c r="S354" s="467">
        <v>0</v>
      </c>
      <c r="T354" s="472">
        <v>6.6699999999999995E-2</v>
      </c>
      <c r="U354" s="467">
        <v>45</v>
      </c>
      <c r="V354" s="486">
        <v>74</v>
      </c>
    </row>
    <row r="355" spans="1:22">
      <c r="A355" s="600">
        <v>45921</v>
      </c>
      <c r="B355" s="470">
        <v>2E-3</v>
      </c>
      <c r="C355" s="467">
        <v>8405</v>
      </c>
      <c r="D355" s="471">
        <v>0.72</v>
      </c>
      <c r="E355" s="467">
        <v>376</v>
      </c>
      <c r="F355" s="472">
        <v>4.4699999999999997E-2</v>
      </c>
      <c r="G355" s="467">
        <v>0</v>
      </c>
      <c r="H355" s="472">
        <v>4.5199999999999997E-2</v>
      </c>
      <c r="I355" s="467">
        <v>61</v>
      </c>
      <c r="J355" s="486">
        <v>98</v>
      </c>
      <c r="M355" s="600">
        <v>45921</v>
      </c>
      <c r="N355" s="470">
        <v>4.3E-3</v>
      </c>
      <c r="O355" s="467">
        <v>8285</v>
      </c>
      <c r="P355" s="471">
        <v>0.65100000000000002</v>
      </c>
      <c r="Q355" s="467">
        <v>527</v>
      </c>
      <c r="R355" s="472">
        <v>6.3600000000000004E-2</v>
      </c>
      <c r="S355" s="467">
        <v>0</v>
      </c>
      <c r="T355" s="472">
        <v>6.83E-2</v>
      </c>
      <c r="U355" s="467">
        <v>44</v>
      </c>
      <c r="V355" s="486">
        <v>74</v>
      </c>
    </row>
    <row r="356" spans="1:22">
      <c r="A356" s="600">
        <v>45922</v>
      </c>
      <c r="B356" s="470">
        <v>2E-3</v>
      </c>
      <c r="C356" s="467">
        <v>8397</v>
      </c>
      <c r="D356" s="471">
        <v>0.72099999999999997</v>
      </c>
      <c r="E356" s="467">
        <v>372</v>
      </c>
      <c r="F356" s="472">
        <v>4.4299999999999999E-2</v>
      </c>
      <c r="G356" s="467">
        <v>1</v>
      </c>
      <c r="H356" s="472">
        <v>4.5699999999999998E-2</v>
      </c>
      <c r="I356" s="467">
        <v>64</v>
      </c>
      <c r="J356" s="486">
        <v>118</v>
      </c>
      <c r="M356" s="600">
        <v>45922</v>
      </c>
      <c r="N356" s="470">
        <v>5.0000000000000001E-3</v>
      </c>
      <c r="O356" s="467">
        <v>7411</v>
      </c>
      <c r="P356" s="471">
        <v>0.65400000000000003</v>
      </c>
      <c r="Q356" s="467">
        <v>500</v>
      </c>
      <c r="R356" s="472">
        <v>6.7500000000000004E-2</v>
      </c>
      <c r="S356" s="467">
        <v>5</v>
      </c>
      <c r="T356" s="472">
        <v>7.3999999999999996E-2</v>
      </c>
      <c r="U356" s="467">
        <v>41</v>
      </c>
      <c r="V356" s="486">
        <v>78</v>
      </c>
    </row>
    <row r="357" spans="1:22">
      <c r="A357" s="600">
        <v>45923</v>
      </c>
      <c r="B357" s="470">
        <v>2E-3</v>
      </c>
      <c r="C357" s="467">
        <v>8391</v>
      </c>
      <c r="D357" s="471">
        <v>0.72099999999999997</v>
      </c>
      <c r="E357" s="467">
        <v>368</v>
      </c>
      <c r="F357" s="472">
        <v>4.3900000000000002E-2</v>
      </c>
      <c r="G357" s="467">
        <v>0</v>
      </c>
      <c r="H357" s="472">
        <v>4.6199999999999998E-2</v>
      </c>
      <c r="I357" s="467">
        <v>66</v>
      </c>
      <c r="J357" s="486">
        <v>118</v>
      </c>
      <c r="M357" s="600">
        <v>45923</v>
      </c>
      <c r="N357" s="470">
        <v>5.4000000000000003E-3</v>
      </c>
      <c r="O357" s="467">
        <v>7083</v>
      </c>
      <c r="P357" s="471">
        <v>0.67</v>
      </c>
      <c r="Q357" s="467">
        <v>472</v>
      </c>
      <c r="R357" s="472">
        <v>6.6600000000000006E-2</v>
      </c>
      <c r="S357" s="467">
        <v>0</v>
      </c>
      <c r="T357" s="472">
        <v>8.0500000000000002E-2</v>
      </c>
      <c r="U357" s="467">
        <v>48</v>
      </c>
      <c r="V357" s="486">
        <v>78</v>
      </c>
    </row>
    <row r="358" spans="1:22">
      <c r="A358" s="600">
        <v>45924</v>
      </c>
      <c r="B358" s="470">
        <v>2E-3</v>
      </c>
      <c r="C358" s="467">
        <v>8383</v>
      </c>
      <c r="D358" s="471">
        <v>0.72199999999999998</v>
      </c>
      <c r="E358" s="467">
        <v>364</v>
      </c>
      <c r="F358" s="472">
        <v>4.3400000000000001E-2</v>
      </c>
      <c r="G358" s="467">
        <v>0</v>
      </c>
      <c r="H358" s="472">
        <v>4.6699999999999998E-2</v>
      </c>
      <c r="I358" s="467">
        <v>68</v>
      </c>
      <c r="J358" s="486">
        <v>118</v>
      </c>
      <c r="M358" s="600">
        <v>45924</v>
      </c>
      <c r="N358" s="470">
        <v>5.4000000000000003E-3</v>
      </c>
      <c r="O358" s="467">
        <v>7083</v>
      </c>
      <c r="P358" s="471">
        <v>0.67</v>
      </c>
      <c r="Q358" s="467">
        <v>472</v>
      </c>
      <c r="R358" s="472">
        <v>6.6600000000000006E-2</v>
      </c>
      <c r="S358" s="467">
        <v>0</v>
      </c>
      <c r="T358" s="472">
        <v>8.0500000000000002E-2</v>
      </c>
      <c r="U358" s="467">
        <v>46</v>
      </c>
      <c r="V358" s="486">
        <v>75</v>
      </c>
    </row>
    <row r="359" spans="1:22">
      <c r="A359" s="600">
        <v>45925</v>
      </c>
      <c r="B359" s="470">
        <v>2E-3</v>
      </c>
      <c r="C359" s="467">
        <v>8325</v>
      </c>
      <c r="D359" s="471">
        <v>0.72399999999999998</v>
      </c>
      <c r="E359" s="467">
        <v>361</v>
      </c>
      <c r="F359" s="472">
        <v>4.3400000000000001E-2</v>
      </c>
      <c r="G359" s="467">
        <v>0</v>
      </c>
      <c r="H359" s="472">
        <v>4.7100000000000003E-2</v>
      </c>
      <c r="I359" s="467">
        <v>68</v>
      </c>
      <c r="J359" s="486">
        <v>118</v>
      </c>
      <c r="M359" s="600">
        <v>45925</v>
      </c>
      <c r="N359" s="470">
        <v>5.4000000000000003E-3</v>
      </c>
      <c r="O359" s="467">
        <v>7083</v>
      </c>
      <c r="P359" s="471">
        <v>0.67200000000000004</v>
      </c>
      <c r="Q359" s="467">
        <v>472</v>
      </c>
      <c r="R359" s="472">
        <v>6.6600000000000006E-2</v>
      </c>
      <c r="S359" s="467">
        <v>0</v>
      </c>
      <c r="T359" s="472">
        <v>8.0500000000000002E-2</v>
      </c>
      <c r="U359" s="467">
        <v>38</v>
      </c>
      <c r="V359" s="486">
        <v>75</v>
      </c>
    </row>
    <row r="360" spans="1:22">
      <c r="A360" s="600">
        <v>45926</v>
      </c>
      <c r="B360" s="470">
        <v>2.0999999999999999E-3</v>
      </c>
      <c r="C360" s="467">
        <v>8186</v>
      </c>
      <c r="D360" s="471">
        <v>0.72299999999999998</v>
      </c>
      <c r="E360" s="467">
        <v>358</v>
      </c>
      <c r="F360" s="472">
        <v>4.3700000000000003E-2</v>
      </c>
      <c r="G360" s="467">
        <v>0</v>
      </c>
      <c r="H360" s="472">
        <v>4.7500000000000001E-2</v>
      </c>
      <c r="I360" s="467">
        <v>69</v>
      </c>
      <c r="J360" s="486">
        <v>118</v>
      </c>
      <c r="M360" s="600">
        <v>45926</v>
      </c>
      <c r="N360" s="470">
        <v>5.4000000000000003E-3</v>
      </c>
      <c r="O360" s="467">
        <v>7083</v>
      </c>
      <c r="P360" s="471">
        <v>0.66900000000000004</v>
      </c>
      <c r="Q360" s="467">
        <v>472</v>
      </c>
      <c r="R360" s="472">
        <v>6.6600000000000006E-2</v>
      </c>
      <c r="S360" s="467">
        <v>0</v>
      </c>
      <c r="T360" s="472">
        <v>8.0500000000000002E-2</v>
      </c>
      <c r="U360" s="467">
        <v>37</v>
      </c>
      <c r="V360" s="486">
        <v>75</v>
      </c>
    </row>
    <row r="361" spans="1:22">
      <c r="A361" s="600">
        <v>45927</v>
      </c>
      <c r="B361" s="470">
        <v>2.0999999999999999E-3</v>
      </c>
      <c r="C361" s="467">
        <v>8044</v>
      </c>
      <c r="D361" s="471">
        <v>0.72299999999999998</v>
      </c>
      <c r="E361" s="467">
        <v>355</v>
      </c>
      <c r="F361" s="472">
        <v>4.41E-2</v>
      </c>
      <c r="G361" s="467">
        <v>0</v>
      </c>
      <c r="H361" s="472">
        <v>4.7899999999999998E-2</v>
      </c>
      <c r="I361" s="467">
        <v>68</v>
      </c>
      <c r="J361" s="486">
        <v>118</v>
      </c>
      <c r="M361" s="600">
        <v>45927</v>
      </c>
      <c r="N361" s="470">
        <v>4.3E-3</v>
      </c>
      <c r="O361" s="467">
        <v>8751</v>
      </c>
      <c r="P361" s="471">
        <v>0.66600000000000004</v>
      </c>
      <c r="Q361" s="467">
        <v>472</v>
      </c>
      <c r="R361" s="472">
        <v>5.3900000000000003E-2</v>
      </c>
      <c r="S361" s="467">
        <v>0</v>
      </c>
      <c r="T361" s="472">
        <v>8.0500000000000002E-2</v>
      </c>
      <c r="U361" s="467">
        <v>35</v>
      </c>
      <c r="V361" s="486">
        <v>75</v>
      </c>
    </row>
    <row r="362" spans="1:22">
      <c r="A362" s="600">
        <v>45928</v>
      </c>
      <c r="B362" s="470">
        <v>2.3E-3</v>
      </c>
      <c r="C362" s="467">
        <v>7951</v>
      </c>
      <c r="D362" s="471">
        <v>0.72399999999999998</v>
      </c>
      <c r="E362" s="467">
        <v>355</v>
      </c>
      <c r="F362" s="472">
        <v>4.4600000000000001E-2</v>
      </c>
      <c r="G362" s="467">
        <v>0</v>
      </c>
      <c r="H362" s="472">
        <v>5.0700000000000002E-2</v>
      </c>
      <c r="I362" s="467">
        <v>66</v>
      </c>
      <c r="J362" s="486">
        <v>118</v>
      </c>
      <c r="M362" s="600">
        <v>45928</v>
      </c>
      <c r="N362" s="470">
        <v>3.3E-3</v>
      </c>
      <c r="O362" s="467">
        <v>11277</v>
      </c>
      <c r="P362" s="471">
        <v>0.66400000000000003</v>
      </c>
      <c r="Q362" s="467">
        <v>522</v>
      </c>
      <c r="R362" s="472">
        <v>4.6300000000000001E-2</v>
      </c>
      <c r="S362" s="467">
        <v>0</v>
      </c>
      <c r="T362" s="472">
        <v>7.0900000000000005E-2</v>
      </c>
      <c r="U362" s="467">
        <v>35</v>
      </c>
      <c r="V362" s="486">
        <v>75</v>
      </c>
    </row>
    <row r="363" spans="1:22">
      <c r="A363" s="600">
        <v>45929</v>
      </c>
      <c r="B363" s="470">
        <v>2.3E-3</v>
      </c>
      <c r="C363" s="467">
        <v>7932</v>
      </c>
      <c r="D363" s="471">
        <v>0.72399999999999998</v>
      </c>
      <c r="E363" s="467">
        <v>350</v>
      </c>
      <c r="F363" s="472">
        <v>4.41E-2</v>
      </c>
      <c r="G363" s="467">
        <v>0</v>
      </c>
      <c r="H363" s="472">
        <v>5.1400000000000001E-2</v>
      </c>
      <c r="I363" s="467">
        <v>70</v>
      </c>
      <c r="J363" s="486">
        <v>137</v>
      </c>
      <c r="M363" s="600">
        <v>45929</v>
      </c>
      <c r="N363" s="470">
        <v>3.0000000000000001E-3</v>
      </c>
      <c r="O363" s="467">
        <v>11823</v>
      </c>
      <c r="P363" s="471">
        <v>0.65800000000000003</v>
      </c>
      <c r="Q363" s="467">
        <v>578</v>
      </c>
      <c r="R363" s="472">
        <v>4.8899999999999999E-2</v>
      </c>
      <c r="S363" s="467">
        <v>0</v>
      </c>
      <c r="T363" s="472">
        <v>6.2300000000000001E-2</v>
      </c>
      <c r="U363" s="467">
        <v>38</v>
      </c>
      <c r="V363" s="486">
        <v>75</v>
      </c>
    </row>
    <row r="364" spans="1:22">
      <c r="A364" s="600">
        <v>45930</v>
      </c>
      <c r="B364" s="470">
        <v>2.3E-3</v>
      </c>
      <c r="C364" s="467">
        <v>7914</v>
      </c>
      <c r="D364" s="471">
        <v>0.72399999999999998</v>
      </c>
      <c r="E364" s="467">
        <v>345</v>
      </c>
      <c r="F364" s="472">
        <v>4.36E-2</v>
      </c>
      <c r="G364" s="467">
        <v>1</v>
      </c>
      <c r="H364" s="472">
        <v>5.2200000000000003E-2</v>
      </c>
      <c r="I364" s="467">
        <v>67</v>
      </c>
      <c r="J364" s="486">
        <v>137</v>
      </c>
      <c r="M364" s="600">
        <v>45930</v>
      </c>
      <c r="N364" s="470">
        <v>3.2000000000000002E-3</v>
      </c>
      <c r="O364" s="467">
        <v>11382</v>
      </c>
      <c r="P364" s="471">
        <v>0.65900000000000003</v>
      </c>
      <c r="Q364" s="467">
        <v>506</v>
      </c>
      <c r="R364" s="472">
        <v>4.4499999999999998E-2</v>
      </c>
      <c r="S364" s="467">
        <v>5</v>
      </c>
      <c r="T364" s="472">
        <v>7.1099999999999997E-2</v>
      </c>
      <c r="U364" s="467">
        <v>38</v>
      </c>
      <c r="V364" s="486">
        <v>72</v>
      </c>
    </row>
    <row r="365" spans="1:22">
      <c r="A365" s="600">
        <v>45931</v>
      </c>
      <c r="B365" s="470">
        <v>2.3E-3</v>
      </c>
      <c r="C365" s="467">
        <v>7892</v>
      </c>
      <c r="D365" s="471">
        <v>0.72299999999999998</v>
      </c>
      <c r="E365" s="467">
        <v>340</v>
      </c>
      <c r="F365" s="472">
        <v>4.3099999999999999E-2</v>
      </c>
      <c r="G365" s="467">
        <v>0</v>
      </c>
      <c r="H365" s="472">
        <v>5.2900000000000003E-2</v>
      </c>
      <c r="I365" s="467">
        <v>69</v>
      </c>
      <c r="J365" s="486">
        <v>137</v>
      </c>
      <c r="M365" s="600">
        <v>45931</v>
      </c>
      <c r="N365" s="470">
        <v>3.0999999999999999E-3</v>
      </c>
      <c r="O365" s="467">
        <v>11487</v>
      </c>
      <c r="P365" s="471">
        <v>0.65500000000000003</v>
      </c>
      <c r="Q365" s="467">
        <v>426</v>
      </c>
      <c r="R365" s="472">
        <v>3.7100000000000001E-2</v>
      </c>
      <c r="S365" s="467">
        <v>0</v>
      </c>
      <c r="T365" s="472">
        <v>8.4500000000000006E-2</v>
      </c>
      <c r="U365" s="467">
        <v>39</v>
      </c>
      <c r="V365" s="486">
        <v>72</v>
      </c>
    </row>
    <row r="366" spans="1:22">
      <c r="A366" s="600">
        <v>45932</v>
      </c>
      <c r="B366" s="470">
        <v>2.3E-3</v>
      </c>
      <c r="C366" s="467">
        <v>7869</v>
      </c>
      <c r="D366" s="471">
        <v>0.72</v>
      </c>
      <c r="E366" s="467">
        <v>335</v>
      </c>
      <c r="F366" s="472">
        <v>4.2599999999999999E-2</v>
      </c>
      <c r="G366" s="467">
        <v>0</v>
      </c>
      <c r="H366" s="472">
        <v>5.3699999999999998E-2</v>
      </c>
      <c r="I366" s="467">
        <v>67</v>
      </c>
      <c r="J366" s="486">
        <v>137</v>
      </c>
      <c r="M366" s="600">
        <v>45932</v>
      </c>
      <c r="N366" s="470">
        <v>3.0999999999999999E-3</v>
      </c>
      <c r="O366" s="467">
        <v>11709</v>
      </c>
      <c r="P366" s="471">
        <v>0.65600000000000003</v>
      </c>
      <c r="Q366" s="467">
        <v>440</v>
      </c>
      <c r="R366" s="472">
        <v>3.7600000000000001E-2</v>
      </c>
      <c r="S366" s="467">
        <v>0</v>
      </c>
      <c r="T366" s="472">
        <v>8.1799999999999998E-2</v>
      </c>
      <c r="U366" s="467">
        <v>36</v>
      </c>
      <c r="V366" s="486">
        <v>71</v>
      </c>
    </row>
    <row r="367" spans="1:22">
      <c r="A367" s="600">
        <v>45933</v>
      </c>
      <c r="B367" s="470">
        <v>2.3E-3</v>
      </c>
      <c r="C367" s="467">
        <v>7850</v>
      </c>
      <c r="D367" s="471">
        <v>0.72</v>
      </c>
      <c r="E367" s="467">
        <v>330</v>
      </c>
      <c r="F367" s="472">
        <v>4.2000000000000003E-2</v>
      </c>
      <c r="G367" s="467">
        <v>0</v>
      </c>
      <c r="H367" s="472">
        <v>5.45E-2</v>
      </c>
      <c r="I367" s="467">
        <v>65</v>
      </c>
      <c r="J367" s="486">
        <v>137</v>
      </c>
      <c r="M367" s="600">
        <v>45933</v>
      </c>
      <c r="N367" s="470">
        <v>3.0000000000000001E-3</v>
      </c>
      <c r="O367" s="467">
        <v>11680</v>
      </c>
      <c r="P367" s="471">
        <v>0.65400000000000003</v>
      </c>
      <c r="Q367" s="467">
        <v>436</v>
      </c>
      <c r="R367" s="472">
        <v>3.73E-2</v>
      </c>
      <c r="S367" s="467">
        <v>0</v>
      </c>
      <c r="T367" s="472">
        <v>8.0299999999999996E-2</v>
      </c>
      <c r="U367" s="467">
        <v>37</v>
      </c>
      <c r="V367" s="486">
        <v>71</v>
      </c>
    </row>
    <row r="368" spans="1:22">
      <c r="A368" s="600">
        <v>45934</v>
      </c>
      <c r="B368" s="470">
        <v>2.3E-3</v>
      </c>
      <c r="C368" s="467">
        <v>7841</v>
      </c>
      <c r="D368" s="471">
        <v>0.72099999999999997</v>
      </c>
      <c r="E368" s="467">
        <v>325</v>
      </c>
      <c r="F368" s="472">
        <v>4.1399999999999999E-2</v>
      </c>
      <c r="G368" s="467">
        <v>0</v>
      </c>
      <c r="H368" s="472">
        <v>5.5399999999999998E-2</v>
      </c>
      <c r="I368" s="467">
        <v>60</v>
      </c>
      <c r="J368" s="486">
        <v>137</v>
      </c>
      <c r="M368" s="600">
        <v>45934</v>
      </c>
      <c r="N368" s="470">
        <v>2.8999999999999998E-3</v>
      </c>
      <c r="O368" s="467">
        <v>11663</v>
      </c>
      <c r="P368" s="471">
        <v>0.65</v>
      </c>
      <c r="Q368" s="467">
        <v>431</v>
      </c>
      <c r="R368" s="472">
        <v>3.6999999999999998E-2</v>
      </c>
      <c r="S368" s="467">
        <v>0</v>
      </c>
      <c r="T368" s="472">
        <v>7.8899999999999998E-2</v>
      </c>
      <c r="U368" s="467">
        <v>37</v>
      </c>
      <c r="V368" s="486">
        <v>71</v>
      </c>
    </row>
    <row r="369" spans="1:22">
      <c r="A369" s="600">
        <v>45935</v>
      </c>
      <c r="B369" s="470">
        <v>2.3999999999999998E-3</v>
      </c>
      <c r="C369" s="467">
        <v>7841</v>
      </c>
      <c r="D369" s="471">
        <v>0.72299999999999998</v>
      </c>
      <c r="E369" s="467">
        <v>325</v>
      </c>
      <c r="F369" s="472">
        <v>4.1399999999999999E-2</v>
      </c>
      <c r="G369" s="467">
        <v>0</v>
      </c>
      <c r="H369" s="472">
        <v>5.8500000000000003E-2</v>
      </c>
      <c r="I369" s="467">
        <v>57</v>
      </c>
      <c r="J369" s="486">
        <v>137</v>
      </c>
      <c r="M369" s="600">
        <v>45935</v>
      </c>
      <c r="N369" s="470">
        <v>2.8E-3</v>
      </c>
      <c r="O369" s="467">
        <v>11655</v>
      </c>
      <c r="P369" s="471">
        <v>0.64800000000000002</v>
      </c>
      <c r="Q369" s="467">
        <v>427</v>
      </c>
      <c r="R369" s="472">
        <v>3.6600000000000001E-2</v>
      </c>
      <c r="S369" s="467">
        <v>0</v>
      </c>
      <c r="T369" s="472">
        <v>7.7299999999999994E-2</v>
      </c>
      <c r="U369" s="467">
        <v>37</v>
      </c>
      <c r="V369" s="486">
        <v>71</v>
      </c>
    </row>
    <row r="370" spans="1:22">
      <c r="A370" s="600">
        <v>45936</v>
      </c>
      <c r="B370" s="470">
        <v>2.3999999999999998E-3</v>
      </c>
      <c r="C370" s="467">
        <v>7841</v>
      </c>
      <c r="D370" s="471">
        <v>0.72199999999999998</v>
      </c>
      <c r="E370" s="467">
        <v>325</v>
      </c>
      <c r="F370" s="472">
        <v>4.1399999999999999E-2</v>
      </c>
      <c r="G370" s="467">
        <v>0</v>
      </c>
      <c r="H370" s="472">
        <v>5.8500000000000003E-2</v>
      </c>
      <c r="I370" s="467">
        <v>59</v>
      </c>
      <c r="J370" s="486">
        <v>137</v>
      </c>
      <c r="M370" s="600">
        <v>45936</v>
      </c>
      <c r="N370" s="470">
        <v>2.7000000000000001E-3</v>
      </c>
      <c r="O370" s="467">
        <v>11678</v>
      </c>
      <c r="P370" s="471">
        <v>0.64300000000000002</v>
      </c>
      <c r="Q370" s="467">
        <v>423</v>
      </c>
      <c r="R370" s="472">
        <v>3.6200000000000003E-2</v>
      </c>
      <c r="S370" s="467">
        <v>0</v>
      </c>
      <c r="T370" s="472">
        <v>7.5700000000000003E-2</v>
      </c>
      <c r="U370" s="467">
        <v>44</v>
      </c>
      <c r="V370" s="486">
        <v>71</v>
      </c>
    </row>
    <row r="371" spans="1:22">
      <c r="A371" s="600">
        <v>45937</v>
      </c>
      <c r="B371" s="470">
        <v>2.3999999999999998E-3</v>
      </c>
      <c r="C371" s="467">
        <v>7841</v>
      </c>
      <c r="D371" s="471">
        <v>0.72399999999999998</v>
      </c>
      <c r="E371" s="467">
        <v>324</v>
      </c>
      <c r="F371" s="472">
        <v>4.1300000000000003E-2</v>
      </c>
      <c r="G371" s="467">
        <v>0</v>
      </c>
      <c r="H371" s="472">
        <v>5.8599999999999999E-2</v>
      </c>
      <c r="I371" s="467">
        <v>57</v>
      </c>
      <c r="J371" s="486">
        <v>137</v>
      </c>
      <c r="M371" s="600">
        <v>45937</v>
      </c>
      <c r="N371" s="470">
        <v>2.7000000000000001E-3</v>
      </c>
      <c r="O371" s="467">
        <v>11832</v>
      </c>
      <c r="P371" s="471">
        <v>0.64200000000000002</v>
      </c>
      <c r="Q371" s="467">
        <v>444</v>
      </c>
      <c r="R371" s="472">
        <v>3.7499999999999999E-2</v>
      </c>
      <c r="S371" s="467">
        <v>0</v>
      </c>
      <c r="T371" s="472">
        <v>7.2099999999999997E-2</v>
      </c>
      <c r="U371" s="467">
        <v>48</v>
      </c>
      <c r="V371" s="486">
        <v>73</v>
      </c>
    </row>
    <row r="372" spans="1:22">
      <c r="A372" s="600">
        <v>45938</v>
      </c>
      <c r="B372" s="470">
        <v>2.5999999999999999E-3</v>
      </c>
      <c r="C372" s="467">
        <v>7311</v>
      </c>
      <c r="D372" s="471">
        <v>0.72599999999999998</v>
      </c>
      <c r="E372" s="467">
        <v>323</v>
      </c>
      <c r="F372" s="472">
        <v>4.4200000000000003E-2</v>
      </c>
      <c r="G372" s="467">
        <v>0</v>
      </c>
      <c r="H372" s="472">
        <v>5.8799999999999998E-2</v>
      </c>
      <c r="I372" s="467">
        <v>56</v>
      </c>
      <c r="J372" s="486">
        <v>137</v>
      </c>
      <c r="M372" s="600">
        <v>45938</v>
      </c>
      <c r="N372" s="470">
        <v>2.5999999999999999E-3</v>
      </c>
      <c r="O372" s="467">
        <v>12089</v>
      </c>
      <c r="P372" s="471">
        <v>0.63900000000000001</v>
      </c>
      <c r="Q372" s="467">
        <v>474</v>
      </c>
      <c r="R372" s="472">
        <v>3.9199999999999999E-2</v>
      </c>
      <c r="S372" s="467">
        <v>0</v>
      </c>
      <c r="T372" s="472">
        <v>6.7500000000000004E-2</v>
      </c>
      <c r="U372" s="467">
        <v>50</v>
      </c>
      <c r="V372" s="486">
        <v>73</v>
      </c>
    </row>
    <row r="373" spans="1:22">
      <c r="A373" s="600">
        <v>45939</v>
      </c>
      <c r="B373" s="470">
        <v>3.0999999999999999E-3</v>
      </c>
      <c r="C373" s="467">
        <v>6117</v>
      </c>
      <c r="D373" s="471">
        <v>0.72799999999999998</v>
      </c>
      <c r="E373" s="467">
        <v>296</v>
      </c>
      <c r="F373" s="472">
        <v>4.8399999999999999E-2</v>
      </c>
      <c r="G373" s="467">
        <v>1</v>
      </c>
      <c r="H373" s="472">
        <v>6.4199999999999993E-2</v>
      </c>
      <c r="I373" s="467">
        <v>51</v>
      </c>
      <c r="J373" s="486">
        <v>137</v>
      </c>
      <c r="M373" s="600">
        <v>45939</v>
      </c>
      <c r="N373" s="470">
        <v>2.5999999999999999E-3</v>
      </c>
      <c r="O373" s="467">
        <v>12519</v>
      </c>
      <c r="P373" s="471">
        <v>0.64100000000000001</v>
      </c>
      <c r="Q373" s="467">
        <v>524</v>
      </c>
      <c r="R373" s="472">
        <v>4.19E-2</v>
      </c>
      <c r="S373" s="467">
        <v>5</v>
      </c>
      <c r="T373" s="472">
        <v>6.1100000000000002E-2</v>
      </c>
      <c r="U373" s="467">
        <v>50</v>
      </c>
      <c r="V373" s="486">
        <v>73</v>
      </c>
    </row>
    <row r="374" spans="1:22">
      <c r="A374" s="600">
        <v>45940</v>
      </c>
      <c r="B374" s="470">
        <v>4.0000000000000001E-3</v>
      </c>
      <c r="C374" s="467">
        <v>4758</v>
      </c>
      <c r="D374" s="471">
        <v>0.72799999999999998</v>
      </c>
      <c r="E374" s="467">
        <v>251</v>
      </c>
      <c r="F374" s="472">
        <v>5.28E-2</v>
      </c>
      <c r="G374" s="467">
        <v>1</v>
      </c>
      <c r="H374" s="472">
        <v>7.5700000000000003E-2</v>
      </c>
      <c r="I374" s="467">
        <v>47</v>
      </c>
      <c r="J374" s="486">
        <v>137</v>
      </c>
      <c r="M374" s="600">
        <v>45940</v>
      </c>
      <c r="N374" s="470">
        <v>2.5000000000000001E-3</v>
      </c>
      <c r="O374" s="467">
        <v>13109</v>
      </c>
      <c r="P374" s="471">
        <v>0.64</v>
      </c>
      <c r="Q374" s="467">
        <v>589</v>
      </c>
      <c r="R374" s="472">
        <v>4.4900000000000002E-2</v>
      </c>
      <c r="S374" s="467">
        <v>5</v>
      </c>
      <c r="T374" s="472">
        <v>5.6000000000000001E-2</v>
      </c>
      <c r="U374" s="467">
        <v>47</v>
      </c>
      <c r="V374" s="486">
        <v>76</v>
      </c>
    </row>
    <row r="375" spans="1:22">
      <c r="A375" s="600">
        <v>45941</v>
      </c>
      <c r="B375" s="470">
        <v>5.1000000000000004E-3</v>
      </c>
      <c r="C375" s="467">
        <v>3758</v>
      </c>
      <c r="D375" s="471">
        <v>0.72599999999999998</v>
      </c>
      <c r="E375" s="467">
        <v>202</v>
      </c>
      <c r="F375" s="472">
        <v>5.3800000000000001E-2</v>
      </c>
      <c r="G375" s="467">
        <v>1</v>
      </c>
      <c r="H375" s="472">
        <v>9.4100000000000003E-2</v>
      </c>
      <c r="I375" s="467">
        <v>46</v>
      </c>
      <c r="J375" s="486">
        <v>137</v>
      </c>
      <c r="M375" s="600">
        <v>45941</v>
      </c>
      <c r="N375" s="470">
        <v>2.3999999999999998E-3</v>
      </c>
      <c r="O375" s="467">
        <v>13633</v>
      </c>
      <c r="P375" s="471">
        <v>0.64</v>
      </c>
      <c r="Q375" s="467">
        <v>642</v>
      </c>
      <c r="R375" s="472">
        <v>4.7100000000000003E-2</v>
      </c>
      <c r="S375" s="467">
        <v>5</v>
      </c>
      <c r="T375" s="472">
        <v>5.1400000000000001E-2</v>
      </c>
      <c r="U375" s="467">
        <v>49</v>
      </c>
      <c r="V375" s="486">
        <v>76</v>
      </c>
    </row>
    <row r="376" spans="1:22">
      <c r="A376" s="600">
        <v>45942</v>
      </c>
      <c r="B376" s="470">
        <v>5.7999999999999996E-3</v>
      </c>
      <c r="C376" s="467">
        <v>3248</v>
      </c>
      <c r="D376" s="471">
        <v>0.72199999999999998</v>
      </c>
      <c r="E376" s="467">
        <v>151</v>
      </c>
      <c r="F376" s="472">
        <v>4.65E-2</v>
      </c>
      <c r="G376" s="467">
        <v>0</v>
      </c>
      <c r="H376" s="472">
        <v>0.1258</v>
      </c>
      <c r="I376" s="467">
        <v>49</v>
      </c>
      <c r="J376" s="486">
        <v>137</v>
      </c>
      <c r="M376" s="600">
        <v>45942</v>
      </c>
      <c r="N376" s="470">
        <v>2.3999999999999998E-3</v>
      </c>
      <c r="O376" s="467">
        <v>13932</v>
      </c>
      <c r="P376" s="471">
        <v>0.64</v>
      </c>
      <c r="Q376" s="467">
        <v>679</v>
      </c>
      <c r="R376" s="472">
        <v>4.87E-2</v>
      </c>
      <c r="S376" s="467">
        <v>0</v>
      </c>
      <c r="T376" s="472">
        <v>4.8599999999999997E-2</v>
      </c>
      <c r="U376" s="467">
        <v>49</v>
      </c>
      <c r="V376" s="486">
        <v>76</v>
      </c>
    </row>
    <row r="377" spans="1:22">
      <c r="A377" s="600">
        <v>45943</v>
      </c>
      <c r="B377" s="470">
        <v>4.7999999999999996E-3</v>
      </c>
      <c r="C377" s="467">
        <v>3723</v>
      </c>
      <c r="D377" s="471">
        <v>0.71599999999999997</v>
      </c>
      <c r="E377" s="467">
        <v>121</v>
      </c>
      <c r="F377" s="472">
        <v>3.2500000000000001E-2</v>
      </c>
      <c r="G377" s="467">
        <v>0</v>
      </c>
      <c r="H377" s="472">
        <v>0.14879999999999999</v>
      </c>
      <c r="I377" s="467">
        <v>54</v>
      </c>
      <c r="J377" s="486">
        <v>215</v>
      </c>
      <c r="M377" s="600">
        <v>45943</v>
      </c>
      <c r="N377" s="470">
        <v>2.3999999999999998E-3</v>
      </c>
      <c r="O377" s="467">
        <v>13890</v>
      </c>
      <c r="P377" s="471">
        <v>0.64200000000000002</v>
      </c>
      <c r="Q377" s="467">
        <v>695</v>
      </c>
      <c r="R377" s="472">
        <v>0.05</v>
      </c>
      <c r="S377" s="467">
        <v>0</v>
      </c>
      <c r="T377" s="472">
        <v>4.8899999999999999E-2</v>
      </c>
      <c r="U377" s="467">
        <v>53</v>
      </c>
      <c r="V377" s="486">
        <v>76</v>
      </c>
    </row>
    <row r="378" spans="1:22">
      <c r="A378" s="600">
        <v>45944</v>
      </c>
      <c r="B378" s="470">
        <v>3.8E-3</v>
      </c>
      <c r="C378" s="467">
        <v>4474</v>
      </c>
      <c r="D378" s="471">
        <v>0.71399999999999997</v>
      </c>
      <c r="E378" s="467">
        <v>98</v>
      </c>
      <c r="F378" s="472">
        <v>2.1899999999999999E-2</v>
      </c>
      <c r="G378" s="467">
        <v>0</v>
      </c>
      <c r="H378" s="472">
        <v>0.17349999999999999</v>
      </c>
      <c r="I378" s="467">
        <v>53</v>
      </c>
      <c r="J378" s="486">
        <v>215</v>
      </c>
      <c r="M378" s="600">
        <v>45944</v>
      </c>
      <c r="N378" s="470">
        <v>2.5000000000000001E-3</v>
      </c>
      <c r="O378" s="467">
        <v>13608</v>
      </c>
      <c r="P378" s="471">
        <v>0.64</v>
      </c>
      <c r="Q378" s="467">
        <v>681</v>
      </c>
      <c r="R378" s="472">
        <v>0.05</v>
      </c>
      <c r="S378" s="467">
        <v>0</v>
      </c>
      <c r="T378" s="472">
        <v>4.99E-2</v>
      </c>
      <c r="U378" s="467">
        <v>55</v>
      </c>
      <c r="V378" s="486">
        <v>93</v>
      </c>
    </row>
    <row r="379" spans="1:22">
      <c r="A379" s="600">
        <v>45945</v>
      </c>
      <c r="B379" s="470">
        <v>4.1999999999999997E-3</v>
      </c>
      <c r="C379" s="467">
        <v>3833</v>
      </c>
      <c r="D379" s="471">
        <v>0.71199999999999997</v>
      </c>
      <c r="E379" s="467">
        <v>76</v>
      </c>
      <c r="F379" s="472">
        <v>1.9800000000000002E-2</v>
      </c>
      <c r="G379" s="467">
        <v>0</v>
      </c>
      <c r="H379" s="472">
        <v>0.21049999999999999</v>
      </c>
      <c r="I379" s="467">
        <v>55</v>
      </c>
      <c r="J379" s="486">
        <v>215</v>
      </c>
      <c r="M379" s="600">
        <v>45945</v>
      </c>
      <c r="N379" s="470">
        <v>2.5000000000000001E-3</v>
      </c>
      <c r="O379" s="467">
        <v>13349</v>
      </c>
      <c r="P379" s="471">
        <v>0.64100000000000001</v>
      </c>
      <c r="Q379" s="467">
        <v>672</v>
      </c>
      <c r="R379" s="472">
        <v>5.0299999999999997E-2</v>
      </c>
      <c r="S379" s="467">
        <v>0</v>
      </c>
      <c r="T379" s="472">
        <v>5.0599999999999999E-2</v>
      </c>
      <c r="U379" s="467">
        <v>60</v>
      </c>
      <c r="V379" s="486">
        <v>93</v>
      </c>
    </row>
    <row r="380" spans="1:22">
      <c r="A380" s="600">
        <v>45946</v>
      </c>
      <c r="B380" s="470">
        <v>6.6E-3</v>
      </c>
      <c r="C380" s="467">
        <v>2575</v>
      </c>
      <c r="D380" s="471">
        <v>0.71099999999999997</v>
      </c>
      <c r="E380" s="467">
        <v>41</v>
      </c>
      <c r="F380" s="472">
        <v>1.5900000000000001E-2</v>
      </c>
      <c r="G380" s="467">
        <v>1</v>
      </c>
      <c r="H380" s="472">
        <v>0.41460000000000002</v>
      </c>
      <c r="I380" s="467">
        <v>51</v>
      </c>
      <c r="J380" s="486">
        <v>159</v>
      </c>
      <c r="M380" s="600">
        <v>45946</v>
      </c>
      <c r="N380" s="470">
        <v>2.5999999999999999E-3</v>
      </c>
      <c r="O380" s="467">
        <v>13163</v>
      </c>
      <c r="P380" s="471">
        <v>0.64100000000000001</v>
      </c>
      <c r="Q380" s="467">
        <v>666</v>
      </c>
      <c r="R380" s="472">
        <v>5.0599999999999999E-2</v>
      </c>
      <c r="S380" s="467">
        <v>5</v>
      </c>
      <c r="T380" s="472">
        <v>5.11E-2</v>
      </c>
      <c r="U380" s="467">
        <v>60</v>
      </c>
      <c r="V380" s="486">
        <v>93</v>
      </c>
    </row>
    <row r="381" spans="1:22">
      <c r="A381" s="600">
        <v>45947</v>
      </c>
      <c r="B381" s="470">
        <v>8.5000000000000006E-3</v>
      </c>
      <c r="C381" s="467">
        <v>2116</v>
      </c>
      <c r="D381" s="471">
        <v>0.70899999999999996</v>
      </c>
      <c r="E381" s="467">
        <v>16</v>
      </c>
      <c r="F381" s="472">
        <v>7.6E-3</v>
      </c>
      <c r="G381" s="467">
        <v>0</v>
      </c>
      <c r="H381" s="472">
        <v>1</v>
      </c>
      <c r="I381" s="467">
        <v>52</v>
      </c>
      <c r="J381" s="486">
        <v>159</v>
      </c>
      <c r="M381" s="600">
        <v>45947</v>
      </c>
      <c r="N381" s="470">
        <v>2.5999999999999999E-3</v>
      </c>
      <c r="O381" s="467">
        <v>13098</v>
      </c>
      <c r="P381" s="471">
        <v>0.64100000000000001</v>
      </c>
      <c r="Q381" s="467">
        <v>662</v>
      </c>
      <c r="R381" s="472">
        <v>5.0500000000000003E-2</v>
      </c>
      <c r="S381" s="467">
        <v>0</v>
      </c>
      <c r="T381" s="472">
        <v>5.1400000000000001E-2</v>
      </c>
      <c r="U381" s="467">
        <v>57</v>
      </c>
      <c r="V381" s="486">
        <v>93</v>
      </c>
    </row>
    <row r="382" spans="1:22">
      <c r="A382" s="600">
        <v>45948</v>
      </c>
      <c r="B382" s="470">
        <v>8.9999999999999993E-3</v>
      </c>
      <c r="C382" s="467">
        <v>2116</v>
      </c>
      <c r="D382" s="471">
        <v>0.70699999999999996</v>
      </c>
      <c r="E382" s="467">
        <v>17</v>
      </c>
      <c r="F382" s="472">
        <v>8.0000000000000002E-3</v>
      </c>
      <c r="G382" s="467">
        <v>0</v>
      </c>
      <c r="H382" s="472">
        <v>1</v>
      </c>
      <c r="I382" s="467">
        <v>52</v>
      </c>
      <c r="J382" s="486">
        <v>159</v>
      </c>
      <c r="M382" s="600">
        <v>45948</v>
      </c>
      <c r="N382" s="470">
        <v>2.3999999999999998E-3</v>
      </c>
      <c r="O382" s="467">
        <v>13114</v>
      </c>
      <c r="P382" s="471">
        <v>0.64100000000000001</v>
      </c>
      <c r="Q382" s="467">
        <v>662</v>
      </c>
      <c r="R382" s="472">
        <v>5.0500000000000003E-2</v>
      </c>
      <c r="S382" s="467">
        <v>0</v>
      </c>
      <c r="T382" s="472">
        <v>4.8300000000000003E-2</v>
      </c>
      <c r="U382" s="467">
        <v>59</v>
      </c>
      <c r="V382" s="486">
        <v>91</v>
      </c>
    </row>
    <row r="383" spans="1:22">
      <c r="A383" s="600">
        <v>45949</v>
      </c>
      <c r="B383" s="470">
        <v>9.4999999999999998E-3</v>
      </c>
      <c r="C383" s="467">
        <v>2116</v>
      </c>
      <c r="D383" s="471">
        <v>0.70699999999999996</v>
      </c>
      <c r="E383" s="467">
        <v>18</v>
      </c>
      <c r="F383" s="472">
        <v>8.5000000000000006E-3</v>
      </c>
      <c r="G383" s="467">
        <v>0</v>
      </c>
      <c r="H383" s="472">
        <v>1</v>
      </c>
      <c r="I383" s="467">
        <v>50</v>
      </c>
      <c r="J383" s="486">
        <v>159</v>
      </c>
      <c r="M383" s="600">
        <v>45949</v>
      </c>
      <c r="N383" s="470">
        <v>2.3999999999999998E-3</v>
      </c>
      <c r="O383" s="467">
        <v>13132</v>
      </c>
      <c r="P383" s="471">
        <v>0.64</v>
      </c>
      <c r="Q383" s="467">
        <v>661</v>
      </c>
      <c r="R383" s="472">
        <v>5.0299999999999997E-2</v>
      </c>
      <c r="S383" s="467">
        <v>0</v>
      </c>
      <c r="T383" s="472">
        <v>4.6899999999999997E-2</v>
      </c>
      <c r="U383" s="467">
        <v>59</v>
      </c>
      <c r="V383" s="486">
        <v>89</v>
      </c>
    </row>
    <row r="384" spans="1:22">
      <c r="A384" s="600">
        <v>45950</v>
      </c>
      <c r="B384" s="470">
        <v>9.9000000000000008E-3</v>
      </c>
      <c r="C384" s="467">
        <v>2116</v>
      </c>
      <c r="D384" s="471">
        <v>0.70399999999999996</v>
      </c>
      <c r="E384" s="467">
        <v>23</v>
      </c>
      <c r="F384" s="472">
        <v>1.09E-2</v>
      </c>
      <c r="G384" s="467">
        <v>0</v>
      </c>
      <c r="H384" s="472">
        <v>0.91300000000000003</v>
      </c>
      <c r="I384" s="467">
        <v>58</v>
      </c>
      <c r="J384" s="486">
        <v>159</v>
      </c>
      <c r="M384" s="600">
        <v>45950</v>
      </c>
      <c r="N384" s="470">
        <v>2.3E-3</v>
      </c>
      <c r="O384" s="467">
        <v>13145</v>
      </c>
      <c r="P384" s="471">
        <v>0.64400000000000002</v>
      </c>
      <c r="Q384" s="467">
        <v>660</v>
      </c>
      <c r="R384" s="472">
        <v>5.0200000000000002E-2</v>
      </c>
      <c r="S384" s="467">
        <v>0</v>
      </c>
      <c r="T384" s="472">
        <v>4.5499999999999999E-2</v>
      </c>
      <c r="U384" s="467">
        <v>65</v>
      </c>
      <c r="V384" s="486">
        <v>89</v>
      </c>
    </row>
    <row r="385" spans="1:22">
      <c r="A385" s="600">
        <v>45951</v>
      </c>
      <c r="B385" s="470">
        <v>9.9000000000000008E-3</v>
      </c>
      <c r="C385" s="467">
        <v>2116</v>
      </c>
      <c r="D385" s="471">
        <v>0.70499999999999996</v>
      </c>
      <c r="E385" s="467">
        <v>24</v>
      </c>
      <c r="F385" s="472">
        <v>1.1299999999999999E-2</v>
      </c>
      <c r="G385" s="467">
        <v>0</v>
      </c>
      <c r="H385" s="472">
        <v>0.875</v>
      </c>
      <c r="I385" s="467">
        <v>63</v>
      </c>
      <c r="J385" s="486">
        <v>104</v>
      </c>
      <c r="M385" s="600">
        <v>45951</v>
      </c>
      <c r="N385" s="470">
        <v>2.2000000000000001E-3</v>
      </c>
      <c r="O385" s="467">
        <v>13154</v>
      </c>
      <c r="P385" s="471">
        <v>0.63800000000000001</v>
      </c>
      <c r="Q385" s="467">
        <v>657</v>
      </c>
      <c r="R385" s="472">
        <v>4.99E-2</v>
      </c>
      <c r="S385" s="467">
        <v>0</v>
      </c>
      <c r="T385" s="472">
        <v>4.41E-2</v>
      </c>
      <c r="U385" s="467">
        <v>66</v>
      </c>
      <c r="V385" s="486">
        <v>89</v>
      </c>
    </row>
    <row r="386" spans="1:22">
      <c r="A386" s="600">
        <v>45952</v>
      </c>
      <c r="B386" s="470">
        <v>8.9999999999999993E-3</v>
      </c>
      <c r="C386" s="467">
        <v>2335</v>
      </c>
      <c r="D386" s="471">
        <v>0.70499999999999996</v>
      </c>
      <c r="E386" s="467">
        <v>25</v>
      </c>
      <c r="F386" s="472">
        <v>1.0699999999999999E-2</v>
      </c>
      <c r="G386" s="467">
        <v>1</v>
      </c>
      <c r="H386" s="472">
        <v>0.84</v>
      </c>
      <c r="I386" s="467">
        <v>62</v>
      </c>
      <c r="J386" s="486">
        <v>104</v>
      </c>
      <c r="M386" s="600">
        <v>45952</v>
      </c>
      <c r="N386" s="470">
        <v>2.0999999999999999E-3</v>
      </c>
      <c r="O386" s="467">
        <v>13158</v>
      </c>
      <c r="P386" s="471">
        <v>0.63400000000000001</v>
      </c>
      <c r="Q386" s="467">
        <v>654</v>
      </c>
      <c r="R386" s="472">
        <v>4.9700000000000001E-2</v>
      </c>
      <c r="S386" s="467">
        <v>5</v>
      </c>
      <c r="T386" s="472">
        <v>4.2799999999999998E-2</v>
      </c>
      <c r="U386" s="467">
        <v>63</v>
      </c>
      <c r="V386" s="486">
        <v>89</v>
      </c>
    </row>
    <row r="387" spans="1:22">
      <c r="A387" s="600">
        <v>45953</v>
      </c>
      <c r="B387" s="470">
        <v>7.3000000000000001E-3</v>
      </c>
      <c r="C387" s="467">
        <v>2726</v>
      </c>
      <c r="D387" s="471">
        <v>0.70499999999999996</v>
      </c>
      <c r="E387" s="467">
        <v>39</v>
      </c>
      <c r="F387" s="472">
        <v>1.43E-2</v>
      </c>
      <c r="G387" s="467">
        <v>0</v>
      </c>
      <c r="H387" s="472">
        <v>0.51280000000000003</v>
      </c>
      <c r="I387" s="467">
        <v>64</v>
      </c>
      <c r="J387" s="486">
        <v>104</v>
      </c>
      <c r="M387" s="600">
        <v>45953</v>
      </c>
      <c r="N387" s="470">
        <v>2.0999999999999999E-3</v>
      </c>
      <c r="O387" s="467">
        <v>13160</v>
      </c>
      <c r="P387" s="471">
        <v>0.627</v>
      </c>
      <c r="Q387" s="467">
        <v>652</v>
      </c>
      <c r="R387" s="472">
        <v>4.9500000000000002E-2</v>
      </c>
      <c r="S387" s="467">
        <v>0</v>
      </c>
      <c r="T387" s="472">
        <v>4.2900000000000001E-2</v>
      </c>
      <c r="U387" s="467">
        <v>60</v>
      </c>
      <c r="V387" s="486">
        <v>85</v>
      </c>
    </row>
    <row r="388" spans="1:22">
      <c r="A388" s="600">
        <v>45954</v>
      </c>
      <c r="B388" s="470">
        <v>6.1000000000000004E-3</v>
      </c>
      <c r="C388" s="467">
        <v>3125</v>
      </c>
      <c r="D388" s="471">
        <v>0.70599999999999996</v>
      </c>
      <c r="E388" s="467">
        <v>54</v>
      </c>
      <c r="F388" s="472">
        <v>1.7299999999999999E-2</v>
      </c>
      <c r="G388" s="467">
        <v>0</v>
      </c>
      <c r="H388" s="472">
        <v>0.35189999999999999</v>
      </c>
      <c r="I388" s="467">
        <v>68</v>
      </c>
      <c r="J388" s="486">
        <v>104</v>
      </c>
      <c r="M388" s="600">
        <v>45954</v>
      </c>
      <c r="N388" s="470">
        <v>2.0999999999999999E-3</v>
      </c>
      <c r="O388" s="467">
        <v>13160</v>
      </c>
      <c r="P388" s="471">
        <v>0.625</v>
      </c>
      <c r="Q388" s="467">
        <v>651</v>
      </c>
      <c r="R388" s="472">
        <v>4.9500000000000002E-2</v>
      </c>
      <c r="S388" s="467">
        <v>0</v>
      </c>
      <c r="T388" s="472">
        <v>4.2999999999999997E-2</v>
      </c>
      <c r="U388" s="467">
        <v>62</v>
      </c>
      <c r="V388" s="486">
        <v>85</v>
      </c>
    </row>
    <row r="389" spans="1:22">
      <c r="A389" s="600">
        <v>45955</v>
      </c>
      <c r="B389" s="470">
        <v>5.1999999999999998E-3</v>
      </c>
      <c r="C389" s="467">
        <v>3477</v>
      </c>
      <c r="D389" s="471">
        <v>0.70599999999999996</v>
      </c>
      <c r="E389" s="467">
        <v>73</v>
      </c>
      <c r="F389" s="472">
        <v>2.1000000000000001E-2</v>
      </c>
      <c r="G389" s="467">
        <v>0</v>
      </c>
      <c r="H389" s="472">
        <v>0.24660000000000001</v>
      </c>
      <c r="I389" s="467">
        <v>69</v>
      </c>
      <c r="J389" s="486">
        <v>104</v>
      </c>
      <c r="M389" s="600">
        <v>45955</v>
      </c>
      <c r="N389" s="470">
        <v>2.0999999999999999E-3</v>
      </c>
      <c r="O389" s="467">
        <v>13480</v>
      </c>
      <c r="P389" s="471">
        <v>0.625</v>
      </c>
      <c r="Q389" s="467">
        <v>650</v>
      </c>
      <c r="R389" s="472">
        <v>4.82E-2</v>
      </c>
      <c r="S389" s="467">
        <v>0</v>
      </c>
      <c r="T389" s="472">
        <v>4.3099999999999999E-2</v>
      </c>
      <c r="U389" s="467">
        <v>65</v>
      </c>
      <c r="V389" s="486">
        <v>85</v>
      </c>
    </row>
    <row r="390" spans="1:22">
      <c r="A390" s="600">
        <v>45956</v>
      </c>
      <c r="B390" s="470">
        <v>4.4999999999999997E-3</v>
      </c>
      <c r="C390" s="467">
        <v>3772</v>
      </c>
      <c r="D390" s="471">
        <v>0.70499999999999996</v>
      </c>
      <c r="E390" s="467">
        <v>92</v>
      </c>
      <c r="F390" s="472">
        <v>2.4400000000000002E-2</v>
      </c>
      <c r="G390" s="467">
        <v>1</v>
      </c>
      <c r="H390" s="472">
        <v>0.18479999999999999</v>
      </c>
      <c r="I390" s="467">
        <v>67</v>
      </c>
      <c r="J390" s="486">
        <v>104</v>
      </c>
      <c r="M390" s="600">
        <v>45956</v>
      </c>
      <c r="N390" s="470">
        <v>2E-3</v>
      </c>
      <c r="O390" s="467">
        <v>14117</v>
      </c>
      <c r="P390" s="471">
        <v>0.626</v>
      </c>
      <c r="Q390" s="467">
        <v>670</v>
      </c>
      <c r="R390" s="472">
        <v>4.7500000000000001E-2</v>
      </c>
      <c r="S390" s="467">
        <v>5</v>
      </c>
      <c r="T390" s="472">
        <v>4.1799999999999997E-2</v>
      </c>
      <c r="U390" s="467">
        <v>65</v>
      </c>
      <c r="V390" s="486">
        <v>75</v>
      </c>
    </row>
    <row r="391" spans="1:22">
      <c r="A391" s="600">
        <v>45957</v>
      </c>
      <c r="B391" s="470">
        <v>5.1999999999999998E-3</v>
      </c>
      <c r="C391" s="467">
        <v>3477</v>
      </c>
      <c r="D391" s="471">
        <v>0.70599999999999996</v>
      </c>
      <c r="E391" s="467">
        <v>73</v>
      </c>
      <c r="F391" s="472">
        <v>2.1000000000000001E-2</v>
      </c>
      <c r="G391" s="467">
        <v>0</v>
      </c>
      <c r="H391" s="472">
        <v>0.24660000000000001</v>
      </c>
      <c r="I391" s="467">
        <v>72</v>
      </c>
      <c r="J391" s="486">
        <v>104</v>
      </c>
      <c r="M391" s="600">
        <v>45957</v>
      </c>
      <c r="N391" s="470">
        <v>2.0999999999999999E-3</v>
      </c>
      <c r="O391" s="467">
        <v>13480</v>
      </c>
      <c r="P391" s="471">
        <v>0.627</v>
      </c>
      <c r="Q391" s="467">
        <v>650</v>
      </c>
      <c r="R391" s="472">
        <v>4.82E-2</v>
      </c>
      <c r="S391" s="467">
        <v>0</v>
      </c>
      <c r="T391" s="472">
        <v>4.3099999999999999E-2</v>
      </c>
      <c r="U391" s="467">
        <v>67</v>
      </c>
      <c r="V391" s="486">
        <v>85</v>
      </c>
    </row>
    <row r="392" spans="1:22">
      <c r="A392" s="600">
        <v>45958</v>
      </c>
      <c r="B392" s="470">
        <v>4.4999999999999997E-3</v>
      </c>
      <c r="C392" s="467">
        <v>3772</v>
      </c>
      <c r="D392" s="471">
        <v>0.70499999999999996</v>
      </c>
      <c r="E392" s="467">
        <v>92</v>
      </c>
      <c r="F392" s="472">
        <v>2.4400000000000002E-2</v>
      </c>
      <c r="G392" s="467">
        <v>0</v>
      </c>
      <c r="H392" s="472">
        <v>0.18479999999999999</v>
      </c>
      <c r="I392" s="467">
        <v>72</v>
      </c>
      <c r="J392" s="486">
        <v>104</v>
      </c>
      <c r="M392" s="600">
        <v>45958</v>
      </c>
      <c r="N392" s="470">
        <v>2E-3</v>
      </c>
      <c r="O392" s="467">
        <v>14117</v>
      </c>
      <c r="P392" s="471">
        <v>0.629</v>
      </c>
      <c r="Q392" s="467">
        <v>670</v>
      </c>
      <c r="R392" s="472">
        <v>4.7500000000000001E-2</v>
      </c>
      <c r="S392" s="467">
        <v>0</v>
      </c>
      <c r="T392" s="472">
        <v>4.1799999999999997E-2</v>
      </c>
      <c r="U392" s="467">
        <v>67</v>
      </c>
      <c r="V392" s="486">
        <v>75</v>
      </c>
    </row>
    <row r="393" spans="1:22">
      <c r="A393" s="600">
        <v>45959</v>
      </c>
      <c r="B393" s="470">
        <v>3.8E-3</v>
      </c>
      <c r="C393" s="467">
        <v>4172</v>
      </c>
      <c r="D393" s="471">
        <v>0.70699999999999996</v>
      </c>
      <c r="E393" s="467">
        <v>106</v>
      </c>
      <c r="F393" s="472">
        <v>2.5399999999999999E-2</v>
      </c>
      <c r="G393" s="467">
        <v>0</v>
      </c>
      <c r="H393" s="472">
        <v>0.15090000000000001</v>
      </c>
      <c r="I393" s="467">
        <v>72</v>
      </c>
      <c r="J393" s="486">
        <v>104</v>
      </c>
      <c r="M393" s="600">
        <v>45959</v>
      </c>
      <c r="N393" s="470">
        <v>1.9E-3</v>
      </c>
      <c r="O393" s="467">
        <v>14852</v>
      </c>
      <c r="P393" s="471">
        <v>0.63100000000000001</v>
      </c>
      <c r="Q393" s="467">
        <v>697</v>
      </c>
      <c r="R393" s="472">
        <v>4.6899999999999997E-2</v>
      </c>
      <c r="S393" s="467">
        <v>0</v>
      </c>
      <c r="T393" s="472">
        <v>4.02E-2</v>
      </c>
      <c r="U393" s="467">
        <v>69</v>
      </c>
      <c r="V393" s="486">
        <v>75</v>
      </c>
    </row>
    <row r="394" spans="1:22">
      <c r="A394" s="600">
        <v>45960</v>
      </c>
      <c r="B394" s="470">
        <v>3.3999999999999998E-3</v>
      </c>
      <c r="C394" s="467">
        <v>4701</v>
      </c>
      <c r="D394" s="471">
        <v>0.70699999999999996</v>
      </c>
      <c r="E394" s="467">
        <v>124</v>
      </c>
      <c r="F394" s="472">
        <v>2.64E-2</v>
      </c>
      <c r="G394" s="467">
        <v>0</v>
      </c>
      <c r="H394" s="472">
        <v>0.129</v>
      </c>
      <c r="I394" s="467">
        <v>73</v>
      </c>
      <c r="J394" s="486">
        <v>72</v>
      </c>
      <c r="M394" s="600">
        <v>45960</v>
      </c>
      <c r="N394" s="470">
        <v>2E-3</v>
      </c>
      <c r="O394" s="467">
        <v>13843</v>
      </c>
      <c r="P394" s="471">
        <v>0.63500000000000001</v>
      </c>
      <c r="Q394" s="467">
        <v>734</v>
      </c>
      <c r="R394" s="472">
        <v>5.2999999999999999E-2</v>
      </c>
      <c r="S394" s="467">
        <v>0</v>
      </c>
      <c r="T394" s="472">
        <v>3.8100000000000002E-2</v>
      </c>
      <c r="U394" s="467">
        <v>71</v>
      </c>
      <c r="V394" s="486">
        <v>75</v>
      </c>
    </row>
    <row r="395" spans="1:22">
      <c r="A395" s="600">
        <v>45961</v>
      </c>
      <c r="B395" s="470">
        <v>3.0999999999999999E-3</v>
      </c>
      <c r="C395" s="467">
        <v>5135</v>
      </c>
      <c r="D395" s="471">
        <v>0.70599999999999996</v>
      </c>
      <c r="E395" s="467">
        <v>141</v>
      </c>
      <c r="F395" s="472">
        <v>2.75E-2</v>
      </c>
      <c r="G395" s="467">
        <v>0</v>
      </c>
      <c r="H395" s="472">
        <v>0.1135</v>
      </c>
      <c r="I395" s="467">
        <v>76</v>
      </c>
      <c r="J395" s="486">
        <v>72</v>
      </c>
      <c r="M395" s="600">
        <v>45961</v>
      </c>
      <c r="N395" s="470">
        <v>2.3999999999999998E-3</v>
      </c>
      <c r="O395" s="467">
        <v>11865</v>
      </c>
      <c r="P395" s="471">
        <v>0.63800000000000001</v>
      </c>
      <c r="Q395" s="467">
        <v>728</v>
      </c>
      <c r="R395" s="472">
        <v>6.1400000000000003E-2</v>
      </c>
      <c r="S395" s="467">
        <v>0</v>
      </c>
      <c r="T395" s="472">
        <v>3.9800000000000002E-2</v>
      </c>
      <c r="U395" s="467">
        <v>71</v>
      </c>
      <c r="V395" s="486">
        <v>75</v>
      </c>
    </row>
    <row r="396" spans="1:22">
      <c r="A396" s="600">
        <v>45962</v>
      </c>
      <c r="B396" s="470">
        <v>3.0000000000000001E-3</v>
      </c>
      <c r="C396" s="467">
        <v>5266</v>
      </c>
      <c r="D396" s="471">
        <v>0.70699999999999996</v>
      </c>
      <c r="E396" s="467">
        <v>149</v>
      </c>
      <c r="F396" s="472">
        <v>2.8299999999999999E-2</v>
      </c>
      <c r="G396" s="467">
        <v>0</v>
      </c>
      <c r="H396" s="472">
        <v>0.1074</v>
      </c>
      <c r="I396" s="467">
        <v>72</v>
      </c>
      <c r="J396" s="486">
        <v>72</v>
      </c>
      <c r="M396" s="600">
        <v>45962</v>
      </c>
      <c r="N396" s="470">
        <v>2.7000000000000001E-3</v>
      </c>
      <c r="O396" s="467">
        <v>10995</v>
      </c>
      <c r="P396" s="471">
        <v>0.64</v>
      </c>
      <c r="Q396" s="467">
        <v>715</v>
      </c>
      <c r="R396" s="472">
        <v>6.5000000000000002E-2</v>
      </c>
      <c r="S396" s="467">
        <v>0</v>
      </c>
      <c r="T396" s="472">
        <v>4.2000000000000003E-2</v>
      </c>
      <c r="U396" s="467">
        <v>66</v>
      </c>
      <c r="V396" s="486">
        <v>75</v>
      </c>
    </row>
    <row r="397" spans="1:22">
      <c r="A397" s="600">
        <v>45963</v>
      </c>
      <c r="B397" s="470">
        <v>2.8E-3</v>
      </c>
      <c r="C397" s="467">
        <v>5266</v>
      </c>
      <c r="D397" s="471">
        <v>0.70899999999999996</v>
      </c>
      <c r="E397" s="467">
        <v>149</v>
      </c>
      <c r="F397" s="472">
        <v>2.8299999999999999E-2</v>
      </c>
      <c r="G397" s="467">
        <v>1</v>
      </c>
      <c r="H397" s="472">
        <v>0.1007</v>
      </c>
      <c r="I397" s="467">
        <v>73</v>
      </c>
      <c r="J397" s="486">
        <v>72</v>
      </c>
      <c r="M397" s="600">
        <v>45963</v>
      </c>
      <c r="N397" s="470">
        <v>2.8E-3</v>
      </c>
      <c r="O397" s="467">
        <v>10534</v>
      </c>
      <c r="P397" s="471">
        <v>0.64</v>
      </c>
      <c r="Q397" s="467">
        <v>708</v>
      </c>
      <c r="R397" s="472">
        <v>6.7199999999999996E-2</v>
      </c>
      <c r="S397" s="467">
        <v>5</v>
      </c>
      <c r="T397" s="472">
        <v>4.1000000000000002E-2</v>
      </c>
      <c r="U397" s="467">
        <v>65</v>
      </c>
      <c r="V397" s="486">
        <v>80</v>
      </c>
    </row>
    <row r="398" spans="1:22">
      <c r="A398" s="600">
        <v>45964</v>
      </c>
      <c r="B398" s="470">
        <v>1.6999999999999999E-3</v>
      </c>
      <c r="C398" s="467">
        <v>6890</v>
      </c>
      <c r="D398" s="471">
        <v>0.70799999999999996</v>
      </c>
      <c r="E398" s="467">
        <v>163</v>
      </c>
      <c r="F398" s="472">
        <v>2.3699999999999999E-2</v>
      </c>
      <c r="G398" s="467">
        <v>0</v>
      </c>
      <c r="H398" s="472">
        <v>7.3599999999999999E-2</v>
      </c>
      <c r="I398" s="467">
        <v>84</v>
      </c>
      <c r="J398" s="486">
        <v>72</v>
      </c>
      <c r="M398" s="600">
        <v>45964</v>
      </c>
      <c r="N398" s="470">
        <v>2.7000000000000001E-3</v>
      </c>
      <c r="O398" s="467">
        <v>10019</v>
      </c>
      <c r="P398" s="471">
        <v>0.65</v>
      </c>
      <c r="Q398" s="467">
        <v>689</v>
      </c>
      <c r="R398" s="472">
        <v>6.88E-2</v>
      </c>
      <c r="S398" s="467">
        <v>0</v>
      </c>
      <c r="T398" s="472">
        <v>3.9199999999999999E-2</v>
      </c>
      <c r="U398" s="467">
        <v>64</v>
      </c>
      <c r="V398" s="486">
        <v>80</v>
      </c>
    </row>
    <row r="399" spans="1:22">
      <c r="A399" s="600">
        <v>45965</v>
      </c>
      <c r="B399" s="470">
        <v>1.2999999999999999E-3</v>
      </c>
      <c r="C399" s="467">
        <v>8272</v>
      </c>
      <c r="D399" s="471">
        <v>0.70799999999999996</v>
      </c>
      <c r="E399" s="467">
        <v>194</v>
      </c>
      <c r="F399" s="472">
        <v>2.35E-2</v>
      </c>
      <c r="G399" s="467">
        <v>0</v>
      </c>
      <c r="H399" s="472">
        <v>5.67E-2</v>
      </c>
      <c r="I399" s="467">
        <v>85</v>
      </c>
      <c r="J399" s="486">
        <v>72</v>
      </c>
      <c r="M399" s="600">
        <v>45965</v>
      </c>
      <c r="N399" s="470">
        <v>2.7000000000000001E-3</v>
      </c>
      <c r="O399" s="467">
        <v>10019</v>
      </c>
      <c r="P399" s="471">
        <v>0.65300000000000002</v>
      </c>
      <c r="Q399" s="467">
        <v>689</v>
      </c>
      <c r="R399" s="472">
        <v>6.88E-2</v>
      </c>
      <c r="S399" s="467">
        <v>0</v>
      </c>
      <c r="T399" s="472">
        <v>3.9199999999999999E-2</v>
      </c>
      <c r="U399" s="467">
        <v>68</v>
      </c>
      <c r="V399" s="486">
        <v>80</v>
      </c>
    </row>
    <row r="400" spans="1:22">
      <c r="A400" s="600">
        <v>45966</v>
      </c>
      <c r="B400" s="470">
        <v>1.1000000000000001E-3</v>
      </c>
      <c r="C400" s="467">
        <v>9249</v>
      </c>
      <c r="D400" s="471">
        <v>0.70599999999999996</v>
      </c>
      <c r="E400" s="467">
        <v>226</v>
      </c>
      <c r="F400" s="472">
        <v>2.4400000000000002E-2</v>
      </c>
      <c r="G400" s="467">
        <v>0</v>
      </c>
      <c r="H400" s="472">
        <v>4.4200000000000003E-2</v>
      </c>
      <c r="I400" s="467">
        <v>85</v>
      </c>
      <c r="J400" s="486">
        <v>72</v>
      </c>
      <c r="M400" s="600">
        <v>45966</v>
      </c>
      <c r="N400" s="470">
        <v>2.7000000000000001E-3</v>
      </c>
      <c r="O400" s="467">
        <v>10019</v>
      </c>
      <c r="P400" s="471">
        <v>0.65600000000000003</v>
      </c>
      <c r="Q400" s="467">
        <v>689</v>
      </c>
      <c r="R400" s="472">
        <v>6.88E-2</v>
      </c>
      <c r="S400" s="467">
        <v>0</v>
      </c>
      <c r="T400" s="472">
        <v>3.9199999999999999E-2</v>
      </c>
      <c r="U400" s="467">
        <v>70</v>
      </c>
      <c r="V400" s="486">
        <v>80</v>
      </c>
    </row>
    <row r="401" spans="1:22">
      <c r="A401" s="600">
        <v>45967</v>
      </c>
      <c r="B401" s="470">
        <v>1.1000000000000001E-3</v>
      </c>
      <c r="C401" s="467">
        <v>9520</v>
      </c>
      <c r="D401" s="471">
        <v>0.70599999999999996</v>
      </c>
      <c r="E401" s="467">
        <v>251</v>
      </c>
      <c r="F401" s="472">
        <v>2.64E-2</v>
      </c>
      <c r="G401" s="467">
        <v>0</v>
      </c>
      <c r="H401" s="472">
        <v>3.9800000000000002E-2</v>
      </c>
      <c r="I401" s="467">
        <v>86</v>
      </c>
      <c r="J401" s="486">
        <v>72</v>
      </c>
      <c r="M401" s="600">
        <v>45967</v>
      </c>
      <c r="N401" s="470">
        <v>2.7000000000000001E-3</v>
      </c>
      <c r="O401" s="467">
        <v>10180</v>
      </c>
      <c r="P401" s="471">
        <v>0.66</v>
      </c>
      <c r="Q401" s="467">
        <v>689</v>
      </c>
      <c r="R401" s="472">
        <v>6.7699999999999996E-2</v>
      </c>
      <c r="S401" s="467">
        <v>0</v>
      </c>
      <c r="T401" s="472">
        <v>3.9199999999999999E-2</v>
      </c>
      <c r="U401" s="467">
        <v>71</v>
      </c>
      <c r="V401" s="486">
        <v>80</v>
      </c>
    </row>
    <row r="402" spans="1:22">
      <c r="A402" s="600">
        <v>45968</v>
      </c>
      <c r="B402" s="470">
        <v>1.1999999999999999E-3</v>
      </c>
      <c r="C402" s="467">
        <v>9546</v>
      </c>
      <c r="D402" s="471">
        <v>0.70599999999999996</v>
      </c>
      <c r="E402" s="467">
        <v>262</v>
      </c>
      <c r="F402" s="472">
        <v>2.7400000000000001E-2</v>
      </c>
      <c r="G402" s="467">
        <v>0</v>
      </c>
      <c r="H402" s="472">
        <v>4.2000000000000003E-2</v>
      </c>
      <c r="I402" s="467">
        <v>91</v>
      </c>
      <c r="J402" s="486">
        <v>75</v>
      </c>
      <c r="M402" s="600">
        <v>45968</v>
      </c>
      <c r="N402" s="470">
        <v>2.3999999999999998E-3</v>
      </c>
      <c r="O402" s="467">
        <v>10326</v>
      </c>
      <c r="P402" s="471">
        <v>0.66200000000000003</v>
      </c>
      <c r="Q402" s="467">
        <v>673</v>
      </c>
      <c r="R402" s="472">
        <v>6.5199999999999994E-2</v>
      </c>
      <c r="S402" s="467">
        <v>0</v>
      </c>
      <c r="T402" s="472">
        <v>3.7100000000000001E-2</v>
      </c>
      <c r="U402" s="467">
        <v>73</v>
      </c>
      <c r="V402" s="486">
        <v>91</v>
      </c>
    </row>
    <row r="403" spans="1:22">
      <c r="A403" s="600">
        <v>45969</v>
      </c>
      <c r="B403" s="470">
        <v>1.2999999999999999E-3</v>
      </c>
      <c r="C403" s="467">
        <v>9567</v>
      </c>
      <c r="D403" s="471">
        <v>0.70699999999999996</v>
      </c>
      <c r="E403" s="467">
        <v>271</v>
      </c>
      <c r="F403" s="472">
        <v>2.8299999999999999E-2</v>
      </c>
      <c r="G403" s="467">
        <v>0</v>
      </c>
      <c r="H403" s="472">
        <v>4.4299999999999999E-2</v>
      </c>
      <c r="I403" s="467">
        <v>90</v>
      </c>
      <c r="J403" s="486">
        <v>75</v>
      </c>
      <c r="M403" s="600">
        <v>45969</v>
      </c>
      <c r="N403" s="470">
        <v>2.2000000000000001E-3</v>
      </c>
      <c r="O403" s="467">
        <v>10470</v>
      </c>
      <c r="P403" s="471">
        <v>0.66500000000000004</v>
      </c>
      <c r="Q403" s="467">
        <v>657</v>
      </c>
      <c r="R403" s="472">
        <v>6.2799999999999995E-2</v>
      </c>
      <c r="S403" s="467">
        <v>0</v>
      </c>
      <c r="T403" s="472">
        <v>3.5000000000000003E-2</v>
      </c>
      <c r="U403" s="467">
        <v>76</v>
      </c>
      <c r="V403" s="486">
        <v>91</v>
      </c>
    </row>
    <row r="404" spans="1:22">
      <c r="A404" s="600">
        <v>45970</v>
      </c>
      <c r="B404" s="470">
        <v>1.4E-3</v>
      </c>
      <c r="C404" s="467">
        <v>9577</v>
      </c>
      <c r="D404" s="471">
        <v>0.70499999999999996</v>
      </c>
      <c r="E404" s="467">
        <v>280</v>
      </c>
      <c r="F404" s="472">
        <v>2.92E-2</v>
      </c>
      <c r="G404" s="467">
        <v>0</v>
      </c>
      <c r="H404" s="472">
        <v>4.6399999999999997E-2</v>
      </c>
      <c r="I404" s="467">
        <v>89</v>
      </c>
      <c r="J404" s="486">
        <v>75</v>
      </c>
      <c r="M404" s="600">
        <v>45970</v>
      </c>
      <c r="N404" s="470">
        <v>1.8E-3</v>
      </c>
      <c r="O404" s="467">
        <v>11751</v>
      </c>
      <c r="P404" s="471">
        <v>0.66400000000000003</v>
      </c>
      <c r="Q404" s="467">
        <v>622</v>
      </c>
      <c r="R404" s="472">
        <v>5.2900000000000003E-2</v>
      </c>
      <c r="S404" s="467">
        <v>0</v>
      </c>
      <c r="T404" s="472">
        <v>3.3799999999999997E-2</v>
      </c>
      <c r="U404" s="467">
        <v>75</v>
      </c>
      <c r="V404" s="486">
        <v>91</v>
      </c>
    </row>
    <row r="405" spans="1:22">
      <c r="A405" s="600">
        <v>45971</v>
      </c>
      <c r="B405" s="470">
        <v>1.4E-3</v>
      </c>
      <c r="C405" s="467">
        <v>9967</v>
      </c>
      <c r="D405" s="471">
        <v>0.70399999999999996</v>
      </c>
      <c r="E405" s="467">
        <v>288</v>
      </c>
      <c r="F405" s="472">
        <v>2.8899999999999999E-2</v>
      </c>
      <c r="G405" s="467">
        <v>0</v>
      </c>
      <c r="H405" s="472">
        <v>4.8599999999999997E-2</v>
      </c>
      <c r="I405" s="467">
        <v>90</v>
      </c>
      <c r="J405" s="486">
        <v>75</v>
      </c>
      <c r="M405" s="600">
        <v>45971</v>
      </c>
      <c r="N405" s="470">
        <v>1.4E-3</v>
      </c>
      <c r="O405" s="467">
        <v>13176</v>
      </c>
      <c r="P405" s="471">
        <v>0.66200000000000003</v>
      </c>
      <c r="Q405" s="467">
        <v>585</v>
      </c>
      <c r="R405" s="472">
        <v>4.4400000000000002E-2</v>
      </c>
      <c r="S405" s="467">
        <v>0</v>
      </c>
      <c r="T405" s="472">
        <v>3.2500000000000001E-2</v>
      </c>
      <c r="U405" s="467">
        <v>76</v>
      </c>
      <c r="V405" s="486">
        <v>91</v>
      </c>
    </row>
    <row r="406" spans="1:22">
      <c r="A406" s="600">
        <v>45972</v>
      </c>
      <c r="B406" s="470">
        <v>1.4E-3</v>
      </c>
      <c r="C406" s="467">
        <v>10761</v>
      </c>
      <c r="D406" s="471">
        <v>0.70499999999999996</v>
      </c>
      <c r="E406" s="467">
        <v>336</v>
      </c>
      <c r="F406" s="472">
        <v>3.1199999999999999E-2</v>
      </c>
      <c r="G406" s="467">
        <v>0</v>
      </c>
      <c r="H406" s="472">
        <v>4.4600000000000001E-2</v>
      </c>
      <c r="I406" s="467">
        <v>90</v>
      </c>
      <c r="J406" s="486">
        <v>65</v>
      </c>
      <c r="M406" s="600">
        <v>45972</v>
      </c>
      <c r="N406" s="470">
        <v>1.2999999999999999E-3</v>
      </c>
      <c r="O406" s="467">
        <v>14413</v>
      </c>
      <c r="P406" s="471">
        <v>0.65900000000000003</v>
      </c>
      <c r="Q406" s="467">
        <v>545</v>
      </c>
      <c r="R406" s="472">
        <v>3.78E-2</v>
      </c>
      <c r="S406" s="467">
        <v>0</v>
      </c>
      <c r="T406" s="472">
        <v>3.49E-2</v>
      </c>
      <c r="U406" s="467">
        <v>78</v>
      </c>
      <c r="V406" s="486">
        <v>68</v>
      </c>
    </row>
    <row r="407" spans="1:22">
      <c r="A407" s="600">
        <v>45973</v>
      </c>
      <c r="B407" s="470">
        <v>1.4E-3</v>
      </c>
      <c r="C407" s="467">
        <v>11415</v>
      </c>
      <c r="D407" s="471">
        <v>0.70699999999999996</v>
      </c>
      <c r="E407" s="467">
        <v>391</v>
      </c>
      <c r="F407" s="472">
        <v>3.4299999999999997E-2</v>
      </c>
      <c r="G407" s="467">
        <v>0</v>
      </c>
      <c r="H407" s="472">
        <v>4.0899999999999999E-2</v>
      </c>
      <c r="I407" s="467">
        <v>95</v>
      </c>
      <c r="J407" s="486">
        <v>65</v>
      </c>
      <c r="M407" s="600">
        <v>45973</v>
      </c>
      <c r="N407" s="470">
        <v>1.2999999999999999E-3</v>
      </c>
      <c r="O407" s="467">
        <v>14207</v>
      </c>
      <c r="P407" s="471">
        <v>0.65900000000000003</v>
      </c>
      <c r="Q407" s="467">
        <v>513</v>
      </c>
      <c r="R407" s="472">
        <v>3.61E-2</v>
      </c>
      <c r="S407" s="467">
        <v>0</v>
      </c>
      <c r="T407" s="472">
        <v>3.6999999999999998E-2</v>
      </c>
      <c r="U407" s="467">
        <v>79</v>
      </c>
      <c r="V407" s="486">
        <v>68</v>
      </c>
    </row>
    <row r="408" spans="1:22">
      <c r="A408" s="600">
        <v>45974</v>
      </c>
      <c r="B408" s="470">
        <v>1.5E-3</v>
      </c>
      <c r="C408" s="467">
        <v>11221</v>
      </c>
      <c r="D408" s="471">
        <v>0.71</v>
      </c>
      <c r="E408" s="467">
        <v>434</v>
      </c>
      <c r="F408" s="472">
        <v>3.8699999999999998E-2</v>
      </c>
      <c r="G408" s="467">
        <v>0</v>
      </c>
      <c r="H408" s="472">
        <v>3.9199999999999999E-2</v>
      </c>
      <c r="I408" s="467">
        <v>95</v>
      </c>
      <c r="J408" s="486">
        <v>65</v>
      </c>
      <c r="M408" s="600">
        <v>45974</v>
      </c>
      <c r="N408" s="470">
        <v>1.4E-3</v>
      </c>
      <c r="O408" s="467">
        <v>13932</v>
      </c>
      <c r="P408" s="471">
        <v>0.66100000000000003</v>
      </c>
      <c r="Q408" s="467">
        <v>476</v>
      </c>
      <c r="R408" s="472">
        <v>3.4200000000000001E-2</v>
      </c>
      <c r="S408" s="467">
        <v>0</v>
      </c>
      <c r="T408" s="472">
        <v>3.9899999999999998E-2</v>
      </c>
      <c r="U408" s="467">
        <v>83</v>
      </c>
      <c r="V408" s="486">
        <v>78</v>
      </c>
    </row>
    <row r="409" spans="1:22">
      <c r="A409" s="600">
        <v>45975</v>
      </c>
      <c r="B409" s="470">
        <v>1.6000000000000001E-3</v>
      </c>
      <c r="C409" s="467">
        <v>10662</v>
      </c>
      <c r="D409" s="471">
        <v>0.71299999999999997</v>
      </c>
      <c r="E409" s="467">
        <v>471</v>
      </c>
      <c r="F409" s="472">
        <v>4.4200000000000003E-2</v>
      </c>
      <c r="G409" s="467">
        <v>0</v>
      </c>
      <c r="H409" s="472">
        <v>3.61E-2</v>
      </c>
      <c r="I409" s="467">
        <v>96</v>
      </c>
      <c r="J409" s="486">
        <v>65</v>
      </c>
      <c r="M409" s="600">
        <v>45975</v>
      </c>
      <c r="N409" s="470">
        <v>1.4E-3</v>
      </c>
      <c r="O409" s="467">
        <v>13932</v>
      </c>
      <c r="P409" s="471">
        <v>0.66300000000000003</v>
      </c>
      <c r="Q409" s="467">
        <v>474</v>
      </c>
      <c r="R409" s="472">
        <v>3.4000000000000002E-2</v>
      </c>
      <c r="S409" s="467">
        <v>0</v>
      </c>
      <c r="T409" s="472">
        <v>4.0099999999999997E-2</v>
      </c>
      <c r="U409" s="467">
        <v>82</v>
      </c>
      <c r="V409" s="486">
        <v>58</v>
      </c>
    </row>
    <row r="410" spans="1:22">
      <c r="A410" s="600">
        <v>45976</v>
      </c>
      <c r="B410" s="470">
        <v>1.6000000000000001E-3</v>
      </c>
      <c r="C410" s="467">
        <v>11237</v>
      </c>
      <c r="D410" s="471">
        <v>0.71499999999999997</v>
      </c>
      <c r="E410" s="467">
        <v>520</v>
      </c>
      <c r="F410" s="472">
        <v>4.6300000000000001E-2</v>
      </c>
      <c r="G410" s="467">
        <v>0</v>
      </c>
      <c r="H410" s="472">
        <v>3.4599999999999999E-2</v>
      </c>
      <c r="I410" s="467">
        <v>95</v>
      </c>
      <c r="J410" s="486">
        <v>65</v>
      </c>
      <c r="M410" s="600">
        <v>45976</v>
      </c>
      <c r="N410" s="470">
        <v>1.4E-3</v>
      </c>
      <c r="O410" s="467">
        <v>13932</v>
      </c>
      <c r="P410" s="471">
        <v>0.66400000000000003</v>
      </c>
      <c r="Q410" s="467">
        <v>472</v>
      </c>
      <c r="R410" s="472">
        <v>3.39E-2</v>
      </c>
      <c r="S410" s="467">
        <v>0</v>
      </c>
      <c r="T410" s="472">
        <v>4.0300000000000002E-2</v>
      </c>
      <c r="U410" s="467">
        <v>80</v>
      </c>
      <c r="V410" s="486">
        <v>58</v>
      </c>
    </row>
    <row r="411" spans="1:22">
      <c r="A411" s="600">
        <v>45977</v>
      </c>
      <c r="B411" s="470">
        <v>1.5E-3</v>
      </c>
      <c r="C411" s="467">
        <v>12616</v>
      </c>
      <c r="D411" s="471">
        <v>0.71599999999999997</v>
      </c>
      <c r="E411" s="467">
        <v>618</v>
      </c>
      <c r="F411" s="472">
        <v>4.9000000000000002E-2</v>
      </c>
      <c r="G411" s="467">
        <v>0</v>
      </c>
      <c r="H411" s="472">
        <v>3.0700000000000002E-2</v>
      </c>
      <c r="I411" s="467">
        <v>95</v>
      </c>
      <c r="J411" s="486">
        <v>43</v>
      </c>
      <c r="M411" s="600">
        <v>45977</v>
      </c>
      <c r="N411" s="470">
        <v>1.4E-3</v>
      </c>
      <c r="O411" s="467">
        <v>14136</v>
      </c>
      <c r="P411" s="471">
        <v>0.66500000000000004</v>
      </c>
      <c r="Q411" s="467">
        <v>471</v>
      </c>
      <c r="R411" s="472">
        <v>3.3300000000000003E-2</v>
      </c>
      <c r="S411" s="467">
        <v>0</v>
      </c>
      <c r="T411" s="472">
        <v>4.2500000000000003E-2</v>
      </c>
      <c r="U411" s="467">
        <v>78</v>
      </c>
      <c r="V411" s="486">
        <v>58</v>
      </c>
    </row>
    <row r="412" spans="1:22">
      <c r="A412" s="600">
        <v>45978</v>
      </c>
      <c r="B412" s="470">
        <v>1.4E-3</v>
      </c>
      <c r="C412" s="467">
        <v>14366</v>
      </c>
      <c r="D412" s="471">
        <v>0.71799999999999997</v>
      </c>
      <c r="E412" s="467">
        <v>725</v>
      </c>
      <c r="F412" s="472">
        <v>5.0500000000000003E-2</v>
      </c>
      <c r="G412" s="467">
        <v>0</v>
      </c>
      <c r="H412" s="472">
        <v>2.76E-2</v>
      </c>
      <c r="I412" s="467">
        <v>93</v>
      </c>
      <c r="J412" s="486">
        <v>43</v>
      </c>
      <c r="M412" s="600">
        <v>45978</v>
      </c>
      <c r="N412" s="470">
        <v>1.4E-3</v>
      </c>
      <c r="O412" s="467">
        <v>14635</v>
      </c>
      <c r="P412" s="471">
        <v>0.66600000000000004</v>
      </c>
      <c r="Q412" s="467">
        <v>475</v>
      </c>
      <c r="R412" s="472">
        <v>3.2500000000000001E-2</v>
      </c>
      <c r="S412" s="467">
        <v>0</v>
      </c>
      <c r="T412" s="472">
        <v>4.2099999999999999E-2</v>
      </c>
      <c r="U412" s="467">
        <v>81</v>
      </c>
      <c r="V412" s="486">
        <v>58</v>
      </c>
    </row>
    <row r="413" spans="1:22">
      <c r="A413" s="600">
        <v>45979</v>
      </c>
      <c r="B413" s="470">
        <v>1.2999999999999999E-3</v>
      </c>
      <c r="C413" s="467">
        <v>16109</v>
      </c>
      <c r="D413" s="471">
        <v>0.72</v>
      </c>
      <c r="E413" s="467">
        <v>825</v>
      </c>
      <c r="F413" s="472">
        <v>5.1200000000000002E-2</v>
      </c>
      <c r="G413" s="467">
        <v>0</v>
      </c>
      <c r="H413" s="472">
        <v>2.5499999999999998E-2</v>
      </c>
      <c r="I413" s="467">
        <v>94</v>
      </c>
      <c r="J413" s="486">
        <v>43</v>
      </c>
      <c r="M413" s="600">
        <v>45979</v>
      </c>
      <c r="N413" s="470">
        <v>1.4E-3</v>
      </c>
      <c r="O413" s="467">
        <v>15189</v>
      </c>
      <c r="P413" s="471">
        <v>0.66600000000000004</v>
      </c>
      <c r="Q413" s="467">
        <v>480</v>
      </c>
      <c r="R413" s="472">
        <v>3.1600000000000003E-2</v>
      </c>
      <c r="S413" s="467">
        <v>0</v>
      </c>
      <c r="T413" s="472">
        <v>4.3799999999999999E-2</v>
      </c>
      <c r="U413" s="467">
        <v>84</v>
      </c>
      <c r="V413" s="486">
        <v>58</v>
      </c>
    </row>
    <row r="414" spans="1:22">
      <c r="A414" s="600">
        <v>45980</v>
      </c>
      <c r="B414" s="470">
        <v>1.1999999999999999E-3</v>
      </c>
      <c r="C414" s="467">
        <v>18226</v>
      </c>
      <c r="D414" s="471">
        <v>0.72</v>
      </c>
      <c r="E414" s="467">
        <v>903</v>
      </c>
      <c r="F414" s="472">
        <v>4.9500000000000002E-2</v>
      </c>
      <c r="G414" s="467">
        <v>0</v>
      </c>
      <c r="H414" s="472">
        <v>2.4400000000000002E-2</v>
      </c>
      <c r="I414" s="467">
        <v>95</v>
      </c>
      <c r="J414" s="486">
        <v>43</v>
      </c>
      <c r="M414" s="600">
        <v>45980</v>
      </c>
      <c r="N414" s="470">
        <v>1.2999999999999999E-3</v>
      </c>
      <c r="O414" s="467">
        <v>15581</v>
      </c>
      <c r="P414" s="471">
        <v>0.66700000000000004</v>
      </c>
      <c r="Q414" s="467">
        <v>486</v>
      </c>
      <c r="R414" s="472">
        <v>3.1199999999999999E-2</v>
      </c>
      <c r="S414" s="467">
        <v>0</v>
      </c>
      <c r="T414" s="472">
        <v>4.3200000000000002E-2</v>
      </c>
      <c r="U414" s="467">
        <v>94</v>
      </c>
      <c r="V414" s="486">
        <v>50</v>
      </c>
    </row>
    <row r="415" spans="1:22">
      <c r="A415" s="600">
        <v>45981</v>
      </c>
      <c r="B415" s="470">
        <v>1.1000000000000001E-3</v>
      </c>
      <c r="C415" s="467">
        <v>20083</v>
      </c>
      <c r="D415" s="471">
        <v>0.72199999999999998</v>
      </c>
      <c r="E415" s="467">
        <v>965</v>
      </c>
      <c r="F415" s="472">
        <v>4.8099999999999997E-2</v>
      </c>
      <c r="G415" s="467">
        <v>0</v>
      </c>
      <c r="H415" s="472">
        <v>2.2800000000000001E-2</v>
      </c>
      <c r="I415" s="467">
        <v>92</v>
      </c>
      <c r="J415" s="486">
        <v>43</v>
      </c>
      <c r="M415" s="600">
        <v>45981</v>
      </c>
      <c r="N415" s="470">
        <v>1.2999999999999999E-3</v>
      </c>
      <c r="O415" s="467">
        <v>15683</v>
      </c>
      <c r="P415" s="471">
        <v>0.66600000000000004</v>
      </c>
      <c r="Q415" s="467">
        <v>492</v>
      </c>
      <c r="R415" s="472">
        <v>3.1399999999999997E-2</v>
      </c>
      <c r="S415" s="467">
        <v>0</v>
      </c>
      <c r="T415" s="472">
        <v>4.2700000000000002E-2</v>
      </c>
      <c r="U415" s="467">
        <v>90</v>
      </c>
      <c r="V415" s="486">
        <v>50</v>
      </c>
    </row>
    <row r="416" spans="1:22">
      <c r="A416" s="600">
        <v>45982</v>
      </c>
      <c r="B416" s="470">
        <v>1.1000000000000001E-3</v>
      </c>
      <c r="C416" s="467">
        <v>20617</v>
      </c>
      <c r="D416" s="471">
        <v>0.72099999999999997</v>
      </c>
      <c r="E416" s="467">
        <v>1004</v>
      </c>
      <c r="F416" s="472">
        <v>4.87E-2</v>
      </c>
      <c r="G416" s="467">
        <v>0</v>
      </c>
      <c r="H416" s="472">
        <v>2.1899999999999999E-2</v>
      </c>
      <c r="I416" s="467">
        <v>88</v>
      </c>
      <c r="J416" s="486">
        <v>43</v>
      </c>
      <c r="M416" s="600">
        <v>45982</v>
      </c>
      <c r="N416" s="470">
        <v>1.2999999999999999E-3</v>
      </c>
      <c r="O416" s="467">
        <v>15674</v>
      </c>
      <c r="P416" s="471">
        <v>0.66700000000000004</v>
      </c>
      <c r="Q416" s="467">
        <v>493</v>
      </c>
      <c r="R416" s="472">
        <v>3.15E-2</v>
      </c>
      <c r="S416" s="467">
        <v>0</v>
      </c>
      <c r="T416" s="472">
        <v>4.2599999999999999E-2</v>
      </c>
      <c r="U416" s="467">
        <v>96</v>
      </c>
      <c r="V416" s="486">
        <v>63</v>
      </c>
    </row>
    <row r="417" spans="1:22">
      <c r="A417" s="600">
        <v>45983</v>
      </c>
      <c r="B417" s="470">
        <v>1.1000000000000001E-3</v>
      </c>
      <c r="C417" s="467">
        <v>20477</v>
      </c>
      <c r="D417" s="471">
        <v>0.72</v>
      </c>
      <c r="E417" s="467">
        <v>1013</v>
      </c>
      <c r="F417" s="472">
        <v>4.9500000000000002E-2</v>
      </c>
      <c r="G417" s="467">
        <v>0</v>
      </c>
      <c r="H417" s="472">
        <v>2.2700000000000001E-2</v>
      </c>
      <c r="I417" s="467">
        <v>90</v>
      </c>
      <c r="J417" s="486">
        <v>49</v>
      </c>
      <c r="M417" s="600">
        <v>45983</v>
      </c>
      <c r="N417" s="470">
        <v>1.2999999999999999E-3</v>
      </c>
      <c r="O417" s="467">
        <v>15670</v>
      </c>
      <c r="P417" s="471">
        <v>0.66600000000000004</v>
      </c>
      <c r="Q417" s="467">
        <v>494</v>
      </c>
      <c r="R417" s="472">
        <v>3.15E-2</v>
      </c>
      <c r="S417" s="467">
        <v>0</v>
      </c>
      <c r="T417" s="472">
        <v>4.2500000000000003E-2</v>
      </c>
      <c r="U417" s="467">
        <v>98</v>
      </c>
      <c r="V417" s="486">
        <v>63</v>
      </c>
    </row>
    <row r="418" spans="1:22">
      <c r="A418" s="600">
        <v>45984</v>
      </c>
      <c r="B418" s="470">
        <v>1.1999999999999999E-3</v>
      </c>
      <c r="C418" s="467">
        <v>20130</v>
      </c>
      <c r="D418" s="471">
        <v>0.72</v>
      </c>
      <c r="E418" s="467">
        <v>1010</v>
      </c>
      <c r="F418" s="472">
        <v>5.0200000000000002E-2</v>
      </c>
      <c r="G418" s="467">
        <v>0</v>
      </c>
      <c r="H418" s="472">
        <v>2.4799999999999999E-2</v>
      </c>
      <c r="I418" s="467">
        <v>88</v>
      </c>
      <c r="J418" s="486">
        <v>49</v>
      </c>
      <c r="M418" s="600">
        <v>45984</v>
      </c>
      <c r="N418" s="470">
        <v>1.2999999999999999E-3</v>
      </c>
      <c r="O418" s="467">
        <v>16795</v>
      </c>
      <c r="P418" s="471">
        <v>0.66500000000000004</v>
      </c>
      <c r="Q418" s="467">
        <v>496</v>
      </c>
      <c r="R418" s="472">
        <v>2.9499999999999998E-2</v>
      </c>
      <c r="S418" s="467">
        <v>0</v>
      </c>
      <c r="T418" s="472">
        <v>4.2299999999999997E-2</v>
      </c>
      <c r="U418" s="467">
        <v>105</v>
      </c>
      <c r="V418" s="486">
        <v>63</v>
      </c>
    </row>
    <row r="419" spans="1:22">
      <c r="A419" s="600">
        <v>45985</v>
      </c>
      <c r="B419" s="470">
        <v>1.4E-3</v>
      </c>
      <c r="C419" s="467">
        <v>19771</v>
      </c>
      <c r="D419" s="471">
        <v>0.71899999999999997</v>
      </c>
      <c r="E419" s="467">
        <v>1008</v>
      </c>
      <c r="F419" s="472">
        <v>5.0999999999999997E-2</v>
      </c>
      <c r="G419" s="467">
        <v>1</v>
      </c>
      <c r="H419" s="472">
        <v>2.6800000000000001E-2</v>
      </c>
      <c r="I419" s="467">
        <v>86</v>
      </c>
      <c r="J419" s="486">
        <v>49</v>
      </c>
      <c r="M419" s="600">
        <v>45985</v>
      </c>
      <c r="N419" s="470">
        <v>1.1000000000000001E-3</v>
      </c>
      <c r="O419" s="467">
        <v>18405</v>
      </c>
      <c r="P419" s="471">
        <v>0.66500000000000004</v>
      </c>
      <c r="Q419" s="467">
        <v>516</v>
      </c>
      <c r="R419" s="472">
        <v>2.8000000000000001E-2</v>
      </c>
      <c r="S419" s="467">
        <v>4</v>
      </c>
      <c r="T419" s="472">
        <v>3.8800000000000001E-2</v>
      </c>
      <c r="U419" s="467">
        <v>107</v>
      </c>
      <c r="V419" s="486">
        <v>63</v>
      </c>
    </row>
    <row r="420" spans="1:22">
      <c r="A420" s="600">
        <v>45986</v>
      </c>
      <c r="B420" s="470">
        <v>1.5E-3</v>
      </c>
      <c r="C420" s="467">
        <v>19455</v>
      </c>
      <c r="D420" s="471">
        <v>0.71899999999999997</v>
      </c>
      <c r="E420" s="467">
        <v>1003</v>
      </c>
      <c r="F420" s="472">
        <v>5.16E-2</v>
      </c>
      <c r="G420" s="467">
        <v>0</v>
      </c>
      <c r="H420" s="472">
        <v>2.8899999999999999E-2</v>
      </c>
      <c r="I420" s="467">
        <v>86</v>
      </c>
      <c r="J420" s="486">
        <v>49</v>
      </c>
      <c r="M420" s="600">
        <v>45987</v>
      </c>
      <c r="N420" s="470">
        <v>1.1000000000000001E-3</v>
      </c>
      <c r="O420" s="467">
        <v>17934</v>
      </c>
      <c r="P420" s="471">
        <v>0.67</v>
      </c>
      <c r="Q420" s="467">
        <v>518</v>
      </c>
      <c r="R420" s="472">
        <v>2.8899999999999999E-2</v>
      </c>
      <c r="S420" s="467">
        <v>0</v>
      </c>
      <c r="T420" s="472">
        <v>3.6700000000000003E-2</v>
      </c>
      <c r="U420" s="467">
        <v>111</v>
      </c>
      <c r="V420" s="486">
        <v>88</v>
      </c>
    </row>
    <row r="421" spans="1:22">
      <c r="A421" s="600">
        <v>45987</v>
      </c>
      <c r="B421" s="470">
        <v>1.6000000000000001E-3</v>
      </c>
      <c r="C421" s="467">
        <v>19197</v>
      </c>
      <c r="D421" s="471">
        <v>0.72</v>
      </c>
      <c r="E421" s="467">
        <v>1001</v>
      </c>
      <c r="F421" s="472">
        <v>5.21E-2</v>
      </c>
      <c r="G421" s="467">
        <v>0</v>
      </c>
      <c r="H421" s="472">
        <v>3.1E-2</v>
      </c>
      <c r="I421" s="467">
        <v>86</v>
      </c>
      <c r="J421" s="486">
        <v>49</v>
      </c>
      <c r="M421" s="600">
        <v>45988</v>
      </c>
      <c r="N421" s="470">
        <v>1.1000000000000001E-3</v>
      </c>
      <c r="O421" s="467">
        <v>17199</v>
      </c>
      <c r="P421" s="471">
        <v>0.67200000000000004</v>
      </c>
      <c r="Q421" s="467">
        <v>492</v>
      </c>
      <c r="R421" s="472">
        <v>2.86E-2</v>
      </c>
      <c r="S421" s="467">
        <v>0</v>
      </c>
      <c r="T421" s="472">
        <v>3.8600000000000002E-2</v>
      </c>
      <c r="U421" s="467">
        <v>109</v>
      </c>
      <c r="V421" s="486">
        <v>88</v>
      </c>
    </row>
    <row r="422" spans="1:22">
      <c r="A422" s="600">
        <v>45988</v>
      </c>
      <c r="B422" s="470">
        <v>1.6999999999999999E-3</v>
      </c>
      <c r="C422" s="467">
        <v>19040</v>
      </c>
      <c r="D422" s="471">
        <v>0.71799999999999997</v>
      </c>
      <c r="E422" s="467">
        <v>1007</v>
      </c>
      <c r="F422" s="472">
        <v>5.2900000000000003E-2</v>
      </c>
      <c r="G422" s="467">
        <v>0</v>
      </c>
      <c r="H422" s="472">
        <v>3.2800000000000003E-2</v>
      </c>
      <c r="I422" s="467">
        <v>87</v>
      </c>
      <c r="J422" s="486">
        <v>49</v>
      </c>
      <c r="M422" s="600">
        <v>45989</v>
      </c>
      <c r="N422" s="470">
        <v>1.1000000000000001E-3</v>
      </c>
      <c r="O422" s="467">
        <v>16540</v>
      </c>
      <c r="P422" s="471">
        <v>0.67300000000000004</v>
      </c>
      <c r="Q422" s="467">
        <v>456</v>
      </c>
      <c r="R422" s="472">
        <v>2.76E-2</v>
      </c>
      <c r="S422" s="467">
        <v>0</v>
      </c>
      <c r="T422" s="472">
        <v>4.1700000000000001E-2</v>
      </c>
      <c r="U422" s="467">
        <v>107</v>
      </c>
      <c r="V422" s="486">
        <v>88</v>
      </c>
    </row>
    <row r="423" spans="1:22">
      <c r="A423" s="600">
        <v>45989</v>
      </c>
      <c r="B423" s="470">
        <v>1.6999999999999999E-3</v>
      </c>
      <c r="C423" s="467">
        <v>18954</v>
      </c>
      <c r="D423" s="471">
        <v>0.71799999999999997</v>
      </c>
      <c r="E423" s="467">
        <v>1042</v>
      </c>
      <c r="F423" s="472">
        <v>5.5E-2</v>
      </c>
      <c r="G423" s="467">
        <v>0</v>
      </c>
      <c r="H423" s="472">
        <v>3.1699999999999999E-2</v>
      </c>
      <c r="I423" s="467">
        <v>88</v>
      </c>
      <c r="J423" s="486">
        <v>51</v>
      </c>
      <c r="M423" s="600">
        <v>45990</v>
      </c>
      <c r="N423" s="470">
        <v>1.1999999999999999E-3</v>
      </c>
      <c r="O423" s="467">
        <v>16055</v>
      </c>
      <c r="P423" s="471">
        <v>0.67400000000000004</v>
      </c>
      <c r="Q423" s="467">
        <v>412</v>
      </c>
      <c r="R423" s="472">
        <v>2.5700000000000001E-2</v>
      </c>
      <c r="S423" s="467">
        <v>0</v>
      </c>
      <c r="T423" s="472">
        <v>4.6100000000000002E-2</v>
      </c>
      <c r="U423" s="467">
        <v>109</v>
      </c>
      <c r="V423" s="486">
        <v>88</v>
      </c>
    </row>
    <row r="424" spans="1:22">
      <c r="A424" s="600">
        <v>45990</v>
      </c>
      <c r="B424" s="470">
        <v>1.6999999999999999E-3</v>
      </c>
      <c r="C424" s="467">
        <v>19023</v>
      </c>
      <c r="D424" s="471">
        <v>0.71799999999999997</v>
      </c>
      <c r="E424" s="467">
        <v>1083</v>
      </c>
      <c r="F424" s="472">
        <v>5.6899999999999999E-2</v>
      </c>
      <c r="G424" s="467">
        <v>0</v>
      </c>
      <c r="H424" s="472">
        <v>3.0499999999999999E-2</v>
      </c>
      <c r="I424" s="467">
        <v>85</v>
      </c>
      <c r="J424" s="486">
        <v>51</v>
      </c>
      <c r="M424" s="600">
        <v>45991</v>
      </c>
      <c r="N424" s="470">
        <v>1.1999999999999999E-3</v>
      </c>
      <c r="O424" s="467">
        <v>15732</v>
      </c>
      <c r="P424" s="471">
        <v>0.67500000000000004</v>
      </c>
      <c r="Q424" s="467">
        <v>370</v>
      </c>
      <c r="R424" s="472">
        <v>2.35E-2</v>
      </c>
      <c r="S424" s="467">
        <v>0</v>
      </c>
      <c r="T424" s="472">
        <v>5.1400000000000001E-2</v>
      </c>
      <c r="U424" s="467">
        <v>109</v>
      </c>
      <c r="V424" s="486">
        <v>81</v>
      </c>
    </row>
    <row r="425" spans="1:22">
      <c r="A425" s="600">
        <v>45991</v>
      </c>
      <c r="B425" s="470">
        <v>1.6000000000000001E-3</v>
      </c>
      <c r="C425" s="467">
        <v>20045</v>
      </c>
      <c r="D425" s="471">
        <v>0.71699999999999997</v>
      </c>
      <c r="E425" s="467">
        <v>1129</v>
      </c>
      <c r="F425" s="472">
        <v>5.6300000000000003E-2</v>
      </c>
      <c r="G425" s="467">
        <v>0</v>
      </c>
      <c r="H425" s="472">
        <v>2.8299999999999999E-2</v>
      </c>
      <c r="I425" s="467">
        <v>81</v>
      </c>
      <c r="J425" s="486">
        <v>51</v>
      </c>
      <c r="M425" s="600">
        <v>45992</v>
      </c>
      <c r="N425" s="470">
        <v>1.2999999999999999E-3</v>
      </c>
      <c r="O425" s="467">
        <v>15529</v>
      </c>
      <c r="P425" s="471">
        <v>0.67600000000000005</v>
      </c>
      <c r="Q425" s="467">
        <v>348</v>
      </c>
      <c r="R425" s="472">
        <v>2.24E-2</v>
      </c>
      <c r="S425" s="467">
        <v>0</v>
      </c>
      <c r="T425" s="472">
        <v>5.7500000000000002E-2</v>
      </c>
      <c r="U425" s="467">
        <v>113</v>
      </c>
      <c r="V425" s="486">
        <v>81</v>
      </c>
    </row>
    <row r="426" spans="1:22">
      <c r="A426" s="600">
        <v>45992</v>
      </c>
      <c r="B426" s="470">
        <v>1.5E-3</v>
      </c>
      <c r="C426" s="467">
        <v>21477</v>
      </c>
      <c r="D426" s="471">
        <v>0.71399999999999997</v>
      </c>
      <c r="E426" s="467">
        <v>1180</v>
      </c>
      <c r="F426" s="472">
        <v>5.4899999999999997E-2</v>
      </c>
      <c r="G426" s="467">
        <v>0</v>
      </c>
      <c r="H426" s="472">
        <v>2.8000000000000001E-2</v>
      </c>
      <c r="I426" s="467">
        <v>78</v>
      </c>
      <c r="J426" s="486">
        <v>41</v>
      </c>
      <c r="M426" s="600">
        <v>45993</v>
      </c>
      <c r="N426" s="470">
        <v>1.2999999999999999E-3</v>
      </c>
      <c r="O426" s="467">
        <v>16276</v>
      </c>
      <c r="P426" s="471">
        <v>0.67700000000000005</v>
      </c>
      <c r="Q426" s="467">
        <v>337</v>
      </c>
      <c r="R426" s="472">
        <v>2.07E-2</v>
      </c>
      <c r="S426" s="467">
        <v>0</v>
      </c>
      <c r="T426" s="472">
        <v>6.2300000000000001E-2</v>
      </c>
      <c r="U426" s="467">
        <v>114</v>
      </c>
      <c r="V426" s="486">
        <v>81</v>
      </c>
    </row>
    <row r="427" spans="1:22">
      <c r="A427" s="600">
        <v>45993</v>
      </c>
      <c r="B427" s="470">
        <v>1.5E-3</v>
      </c>
      <c r="C427" s="467">
        <v>22000</v>
      </c>
      <c r="D427" s="471">
        <v>0.71299999999999997</v>
      </c>
      <c r="E427" s="467">
        <v>1221</v>
      </c>
      <c r="F427" s="472">
        <v>5.5500000000000001E-2</v>
      </c>
      <c r="G427" s="467">
        <v>0</v>
      </c>
      <c r="H427" s="472">
        <v>2.7799999999999998E-2</v>
      </c>
      <c r="I427" s="467">
        <v>82</v>
      </c>
      <c r="J427" s="486">
        <v>41</v>
      </c>
      <c r="M427" s="600">
        <v>45994</v>
      </c>
      <c r="N427" s="470">
        <v>1.1999999999999999E-3</v>
      </c>
      <c r="O427" s="467">
        <v>17794</v>
      </c>
      <c r="P427" s="471">
        <v>0.67700000000000005</v>
      </c>
      <c r="Q427" s="467">
        <v>360</v>
      </c>
      <c r="R427" s="472">
        <v>2.0199999999999999E-2</v>
      </c>
      <c r="S427" s="467">
        <v>0</v>
      </c>
      <c r="T427" s="472">
        <v>5.8299999999999998E-2</v>
      </c>
      <c r="U427" s="467">
        <v>113</v>
      </c>
      <c r="V427" s="486">
        <v>81</v>
      </c>
    </row>
    <row r="428" spans="1:22">
      <c r="A428" s="600">
        <v>45994</v>
      </c>
      <c r="B428" s="470">
        <v>1.6000000000000001E-3</v>
      </c>
      <c r="C428" s="467">
        <v>21594</v>
      </c>
      <c r="D428" s="471">
        <v>0.71199999999999997</v>
      </c>
      <c r="E428" s="467">
        <v>1226</v>
      </c>
      <c r="F428" s="472">
        <v>5.6800000000000003E-2</v>
      </c>
      <c r="G428" s="467">
        <v>0</v>
      </c>
      <c r="H428" s="472">
        <v>2.7699999999999999E-2</v>
      </c>
      <c r="I428" s="467">
        <v>77</v>
      </c>
      <c r="J428" s="486">
        <v>41</v>
      </c>
      <c r="M428" s="600">
        <v>45995</v>
      </c>
      <c r="N428" s="470">
        <v>1.1000000000000001E-3</v>
      </c>
      <c r="O428" s="467">
        <v>19670</v>
      </c>
      <c r="P428" s="471">
        <v>0.67800000000000005</v>
      </c>
      <c r="Q428" s="467">
        <v>407</v>
      </c>
      <c r="R428" s="472">
        <v>2.07E-2</v>
      </c>
      <c r="S428" s="467">
        <v>0</v>
      </c>
      <c r="T428" s="472">
        <v>5.16E-2</v>
      </c>
      <c r="U428" s="467">
        <v>115</v>
      </c>
      <c r="V428" s="486">
        <v>81</v>
      </c>
    </row>
    <row r="429" spans="1:22">
      <c r="A429" s="600">
        <v>45995</v>
      </c>
      <c r="B429" s="470">
        <v>1.6999999999999999E-3</v>
      </c>
      <c r="C429" s="467">
        <v>20538</v>
      </c>
      <c r="D429" s="471">
        <v>0.71199999999999997</v>
      </c>
      <c r="E429" s="467">
        <v>1216</v>
      </c>
      <c r="F429" s="472">
        <v>5.9200000000000003E-2</v>
      </c>
      <c r="G429" s="467">
        <v>0</v>
      </c>
      <c r="H429" s="472">
        <v>2.8000000000000001E-2</v>
      </c>
      <c r="I429" s="467">
        <v>74</v>
      </c>
      <c r="J429" s="486">
        <v>41</v>
      </c>
      <c r="M429" s="600">
        <v>45996</v>
      </c>
      <c r="N429" s="470">
        <v>1E-3</v>
      </c>
      <c r="O429" s="467">
        <v>21536</v>
      </c>
      <c r="P429" s="471">
        <v>0.68100000000000005</v>
      </c>
      <c r="Q429" s="467">
        <v>467</v>
      </c>
      <c r="R429" s="472">
        <v>2.1700000000000001E-2</v>
      </c>
      <c r="S429" s="467">
        <v>0</v>
      </c>
      <c r="T429" s="472">
        <v>4.7100000000000003E-2</v>
      </c>
      <c r="U429" s="467">
        <v>117</v>
      </c>
      <c r="V429" s="486">
        <v>70</v>
      </c>
    </row>
    <row r="430" spans="1:22">
      <c r="A430" s="600">
        <v>45996</v>
      </c>
      <c r="B430" s="470">
        <v>1.8E-3</v>
      </c>
      <c r="C430" s="467">
        <v>19266</v>
      </c>
      <c r="D430" s="471">
        <v>0.71099999999999997</v>
      </c>
      <c r="E430" s="467">
        <v>1192</v>
      </c>
      <c r="F430" s="472">
        <v>6.1899999999999997E-2</v>
      </c>
      <c r="G430" s="467">
        <v>0</v>
      </c>
      <c r="H430" s="472">
        <v>2.8500000000000001E-2</v>
      </c>
      <c r="I430" s="467">
        <v>74</v>
      </c>
      <c r="J430" s="486">
        <v>41</v>
      </c>
      <c r="M430" s="600">
        <v>45997</v>
      </c>
      <c r="N430" s="470">
        <v>1E-3</v>
      </c>
      <c r="O430" s="467">
        <v>23035</v>
      </c>
      <c r="P430" s="471">
        <v>0.68100000000000005</v>
      </c>
      <c r="Q430" s="467">
        <v>530</v>
      </c>
      <c r="R430" s="472">
        <v>2.3E-2</v>
      </c>
      <c r="S430" s="467">
        <v>0</v>
      </c>
      <c r="T430" s="472">
        <v>4.3400000000000001E-2</v>
      </c>
      <c r="U430" s="467">
        <v>117</v>
      </c>
      <c r="V430" s="486">
        <v>70</v>
      </c>
    </row>
    <row r="431" spans="1:22">
      <c r="A431" s="600">
        <v>45997</v>
      </c>
      <c r="B431" s="470">
        <v>1.8E-3</v>
      </c>
      <c r="C431" s="467">
        <v>18396</v>
      </c>
      <c r="D431" s="471">
        <v>0.71099999999999997</v>
      </c>
      <c r="E431" s="467">
        <v>1173</v>
      </c>
      <c r="F431" s="472">
        <v>6.3799999999999996E-2</v>
      </c>
      <c r="G431" s="467">
        <v>0</v>
      </c>
      <c r="H431" s="472">
        <v>2.9000000000000001E-2</v>
      </c>
      <c r="I431" s="467">
        <v>71</v>
      </c>
      <c r="J431" s="486">
        <v>41</v>
      </c>
      <c r="M431" s="600">
        <v>45998</v>
      </c>
      <c r="N431" s="470">
        <v>1E-3</v>
      </c>
      <c r="O431" s="467">
        <v>23078</v>
      </c>
      <c r="P431" s="471">
        <v>0.68100000000000005</v>
      </c>
      <c r="Q431" s="467">
        <v>593</v>
      </c>
      <c r="R431" s="472">
        <v>2.5700000000000001E-2</v>
      </c>
      <c r="S431" s="467">
        <v>0</v>
      </c>
      <c r="T431" s="472">
        <v>4.0500000000000001E-2</v>
      </c>
      <c r="U431" s="467">
        <v>113</v>
      </c>
      <c r="V431" s="486">
        <v>70</v>
      </c>
    </row>
    <row r="432" spans="1:22">
      <c r="A432" s="600">
        <v>45998</v>
      </c>
      <c r="B432" s="470">
        <v>1.8E-3</v>
      </c>
      <c r="C432" s="467">
        <v>19022</v>
      </c>
      <c r="D432" s="471">
        <v>0.70899999999999996</v>
      </c>
      <c r="E432" s="467">
        <v>1161</v>
      </c>
      <c r="F432" s="472">
        <v>6.0999999999999999E-2</v>
      </c>
      <c r="G432" s="467">
        <v>0</v>
      </c>
      <c r="H432" s="472">
        <v>2.93E-2</v>
      </c>
      <c r="I432" s="467">
        <v>69</v>
      </c>
      <c r="J432" s="486">
        <v>41</v>
      </c>
      <c r="M432" s="600">
        <v>45999</v>
      </c>
      <c r="N432" s="470">
        <v>1.1000000000000001E-3</v>
      </c>
      <c r="O432" s="467">
        <v>22261</v>
      </c>
      <c r="P432" s="471">
        <v>0.68300000000000005</v>
      </c>
      <c r="Q432" s="467">
        <v>594</v>
      </c>
      <c r="R432" s="472">
        <v>2.6700000000000002E-2</v>
      </c>
      <c r="S432" s="467">
        <v>0</v>
      </c>
      <c r="T432" s="472">
        <v>4.2099999999999999E-2</v>
      </c>
      <c r="U432" s="467">
        <v>106</v>
      </c>
      <c r="V432" s="486">
        <v>68</v>
      </c>
    </row>
    <row r="433" spans="1:22">
      <c r="A433" s="600">
        <v>45999</v>
      </c>
      <c r="B433" s="470">
        <v>1.6000000000000001E-3</v>
      </c>
      <c r="C433" s="467">
        <v>20750</v>
      </c>
      <c r="D433" s="471">
        <v>0.70699999999999996</v>
      </c>
      <c r="E433" s="467">
        <v>1201</v>
      </c>
      <c r="F433" s="472">
        <v>5.79E-2</v>
      </c>
      <c r="G433" s="467">
        <v>0</v>
      </c>
      <c r="H433" s="472">
        <v>2.75E-2</v>
      </c>
      <c r="I433" s="467">
        <v>66</v>
      </c>
      <c r="J433" s="486">
        <v>31</v>
      </c>
      <c r="M433" s="600">
        <v>46000</v>
      </c>
      <c r="N433" s="470">
        <v>1.1999999999999999E-3</v>
      </c>
      <c r="O433" s="467">
        <v>21282</v>
      </c>
      <c r="P433" s="471">
        <v>0.68400000000000005</v>
      </c>
      <c r="Q433" s="467">
        <v>578</v>
      </c>
      <c r="R433" s="472">
        <v>2.7199999999999998E-2</v>
      </c>
      <c r="S433" s="467">
        <v>0</v>
      </c>
      <c r="T433" s="472">
        <v>4.4999999999999998E-2</v>
      </c>
      <c r="U433" s="467">
        <v>102</v>
      </c>
      <c r="V433" s="486">
        <v>68</v>
      </c>
    </row>
    <row r="434" spans="1:22">
      <c r="A434" s="600">
        <v>46000</v>
      </c>
      <c r="B434" s="470">
        <v>1.4E-3</v>
      </c>
      <c r="C434" s="467">
        <v>22903</v>
      </c>
      <c r="D434" s="471">
        <v>0.70599999999999996</v>
      </c>
      <c r="E434" s="467">
        <v>1261</v>
      </c>
      <c r="F434" s="472">
        <v>5.5100000000000003E-2</v>
      </c>
      <c r="G434" s="467">
        <v>0</v>
      </c>
      <c r="H434" s="472">
        <v>2.6200000000000001E-2</v>
      </c>
      <c r="I434" s="467">
        <v>69</v>
      </c>
      <c r="J434" s="486">
        <v>26</v>
      </c>
      <c r="M434" s="600">
        <v>46001</v>
      </c>
      <c r="N434" s="470">
        <v>1.4E-3</v>
      </c>
      <c r="O434" s="467">
        <v>19105</v>
      </c>
      <c r="P434" s="471">
        <v>0.68500000000000005</v>
      </c>
      <c r="Q434" s="467">
        <v>552</v>
      </c>
      <c r="R434" s="472">
        <v>2.8899999999999999E-2</v>
      </c>
      <c r="S434" s="467">
        <v>0</v>
      </c>
      <c r="T434" s="472">
        <v>4.8899999999999999E-2</v>
      </c>
      <c r="U434" s="467">
        <v>102</v>
      </c>
      <c r="V434" s="486">
        <v>68</v>
      </c>
    </row>
    <row r="435" spans="1:22">
      <c r="A435" s="600">
        <v>46001</v>
      </c>
      <c r="B435" s="470">
        <v>1.2999999999999999E-3</v>
      </c>
      <c r="C435" s="467">
        <v>24708</v>
      </c>
      <c r="D435" s="471">
        <v>0.70699999999999996</v>
      </c>
      <c r="E435" s="467">
        <v>1327</v>
      </c>
      <c r="F435" s="472">
        <v>5.3699999999999998E-2</v>
      </c>
      <c r="G435" s="467">
        <v>0</v>
      </c>
      <c r="H435" s="472">
        <v>2.4899999999999999E-2</v>
      </c>
      <c r="I435" s="467">
        <v>66</v>
      </c>
      <c r="J435" s="486">
        <v>26</v>
      </c>
      <c r="M435" s="600">
        <v>46002</v>
      </c>
      <c r="N435" s="470">
        <v>1.6999999999999999E-3</v>
      </c>
      <c r="O435" s="467">
        <v>16809</v>
      </c>
      <c r="P435" s="471">
        <v>0.68799999999999994</v>
      </c>
      <c r="Q435" s="467">
        <v>513</v>
      </c>
      <c r="R435" s="472">
        <v>3.0499999999999999E-2</v>
      </c>
      <c r="S435" s="467">
        <v>0</v>
      </c>
      <c r="T435" s="472">
        <v>5.4600000000000003E-2</v>
      </c>
      <c r="U435" s="467">
        <v>98</v>
      </c>
      <c r="V435" s="486">
        <v>68</v>
      </c>
    </row>
    <row r="436" spans="1:22">
      <c r="A436" s="600">
        <v>46002</v>
      </c>
      <c r="B436" s="470">
        <v>1.2999999999999999E-3</v>
      </c>
      <c r="C436" s="467">
        <v>25494</v>
      </c>
      <c r="D436" s="471">
        <v>0.70799999999999996</v>
      </c>
      <c r="E436" s="467">
        <v>1381</v>
      </c>
      <c r="F436" s="472">
        <v>5.4199999999999998E-2</v>
      </c>
      <c r="G436" s="467">
        <v>0</v>
      </c>
      <c r="H436" s="472">
        <v>2.3900000000000001E-2</v>
      </c>
      <c r="I436" s="467">
        <v>63</v>
      </c>
      <c r="J436" s="486">
        <v>26</v>
      </c>
      <c r="M436" s="600">
        <v>46003</v>
      </c>
      <c r="N436" s="470">
        <v>1.8E-3</v>
      </c>
      <c r="O436" s="467">
        <v>16126</v>
      </c>
      <c r="P436" s="471">
        <v>0.69199999999999995</v>
      </c>
      <c r="Q436" s="467">
        <v>488</v>
      </c>
      <c r="R436" s="472">
        <v>3.0300000000000001E-2</v>
      </c>
      <c r="S436" s="467">
        <v>0</v>
      </c>
      <c r="T436" s="472">
        <v>5.9400000000000001E-2</v>
      </c>
      <c r="U436" s="467">
        <v>96</v>
      </c>
      <c r="V436" s="486">
        <v>79</v>
      </c>
    </row>
    <row r="437" spans="1:22">
      <c r="A437" s="600">
        <v>46003</v>
      </c>
      <c r="B437" s="470">
        <v>1.2999999999999999E-3</v>
      </c>
      <c r="C437" s="467">
        <v>25039</v>
      </c>
      <c r="D437" s="471">
        <v>0.70599999999999996</v>
      </c>
      <c r="E437" s="467">
        <v>1375</v>
      </c>
      <c r="F437" s="472">
        <v>5.4899999999999997E-2</v>
      </c>
      <c r="G437" s="467">
        <v>0</v>
      </c>
      <c r="H437" s="472">
        <v>2.3300000000000001E-2</v>
      </c>
      <c r="I437" s="467">
        <v>62</v>
      </c>
      <c r="J437" s="486">
        <v>24</v>
      </c>
      <c r="M437" s="600">
        <v>46004</v>
      </c>
      <c r="N437" s="470">
        <v>1.6000000000000001E-3</v>
      </c>
      <c r="O437" s="467">
        <v>17667</v>
      </c>
      <c r="P437" s="471">
        <v>0.69499999999999995</v>
      </c>
      <c r="Q437" s="467">
        <v>501</v>
      </c>
      <c r="R437" s="472">
        <v>2.8400000000000002E-2</v>
      </c>
      <c r="S437" s="467">
        <v>0</v>
      </c>
      <c r="T437" s="472">
        <v>5.79E-2</v>
      </c>
      <c r="U437" s="467">
        <v>94</v>
      </c>
      <c r="V437" s="486">
        <v>79</v>
      </c>
    </row>
    <row r="438" spans="1:22">
      <c r="A438" s="600">
        <v>46004</v>
      </c>
      <c r="B438" s="470">
        <v>1.2999999999999999E-3</v>
      </c>
      <c r="C438" s="467">
        <v>24385</v>
      </c>
      <c r="D438" s="471">
        <v>0.70399999999999996</v>
      </c>
      <c r="E438" s="467">
        <v>1321</v>
      </c>
      <c r="F438" s="472">
        <v>5.4199999999999998E-2</v>
      </c>
      <c r="G438" s="467">
        <v>0</v>
      </c>
      <c r="H438" s="472">
        <v>2.35E-2</v>
      </c>
      <c r="I438" s="467">
        <v>61</v>
      </c>
      <c r="J438" s="486">
        <v>24</v>
      </c>
      <c r="M438" s="600">
        <v>46005</v>
      </c>
      <c r="N438" s="470">
        <v>1.5E-3</v>
      </c>
      <c r="O438" s="467">
        <v>19512</v>
      </c>
      <c r="P438" s="471">
        <v>0.69599999999999995</v>
      </c>
      <c r="Q438" s="467">
        <v>542</v>
      </c>
      <c r="R438" s="472">
        <v>2.7799999999999998E-2</v>
      </c>
      <c r="S438" s="467">
        <v>0</v>
      </c>
      <c r="T438" s="472">
        <v>5.3499999999999999E-2</v>
      </c>
      <c r="U438" s="467">
        <v>88</v>
      </c>
      <c r="V438" s="486">
        <v>72</v>
      </c>
    </row>
    <row r="439" spans="1:22">
      <c r="A439" s="600">
        <v>46005</v>
      </c>
      <c r="B439" s="470">
        <v>1.2999999999999999E-3</v>
      </c>
      <c r="C439" s="467">
        <v>23843</v>
      </c>
      <c r="D439" s="471">
        <v>0.7</v>
      </c>
      <c r="E439" s="467">
        <v>1279</v>
      </c>
      <c r="F439" s="472">
        <v>5.3600000000000002E-2</v>
      </c>
      <c r="G439" s="467">
        <v>0</v>
      </c>
      <c r="H439" s="472">
        <v>2.35E-2</v>
      </c>
      <c r="I439" s="467">
        <v>60</v>
      </c>
      <c r="J439" s="486">
        <v>24</v>
      </c>
      <c r="M439" s="600">
        <v>46006</v>
      </c>
      <c r="N439" s="470">
        <v>1.4E-3</v>
      </c>
      <c r="O439" s="467">
        <v>20041</v>
      </c>
      <c r="P439" s="471">
        <v>0.69699999999999995</v>
      </c>
      <c r="Q439" s="467">
        <v>569</v>
      </c>
      <c r="R439" s="472">
        <v>2.8400000000000002E-2</v>
      </c>
      <c r="S439" s="467">
        <v>0</v>
      </c>
      <c r="T439" s="472">
        <v>4.9200000000000001E-2</v>
      </c>
      <c r="U439" s="467">
        <v>89</v>
      </c>
      <c r="V439" s="486">
        <v>72</v>
      </c>
    </row>
    <row r="440" spans="1:22">
      <c r="A440" s="600">
        <v>46006</v>
      </c>
      <c r="B440" s="470">
        <v>1.2999999999999999E-3</v>
      </c>
      <c r="C440" s="467">
        <v>23347</v>
      </c>
      <c r="D440" s="471">
        <v>0.69499999999999995</v>
      </c>
      <c r="E440" s="467">
        <v>1235</v>
      </c>
      <c r="F440" s="472">
        <v>5.2900000000000003E-2</v>
      </c>
      <c r="G440" s="467">
        <v>0</v>
      </c>
      <c r="H440" s="472">
        <v>2.4299999999999999E-2</v>
      </c>
      <c r="I440" s="467">
        <v>61</v>
      </c>
      <c r="J440" s="486">
        <v>24</v>
      </c>
      <c r="M440" s="600">
        <v>46007</v>
      </c>
      <c r="N440" s="470">
        <v>1.4E-3</v>
      </c>
      <c r="O440" s="467">
        <v>20048</v>
      </c>
      <c r="P440" s="471">
        <v>0.69599999999999995</v>
      </c>
      <c r="Q440" s="467">
        <v>569</v>
      </c>
      <c r="R440" s="472">
        <v>2.8400000000000002E-2</v>
      </c>
      <c r="S440" s="467">
        <v>0</v>
      </c>
      <c r="T440" s="472">
        <v>4.9200000000000001E-2</v>
      </c>
      <c r="U440" s="467">
        <v>85</v>
      </c>
      <c r="V440" s="486">
        <v>72</v>
      </c>
    </row>
    <row r="441" spans="1:22">
      <c r="A441" s="600">
        <v>46007</v>
      </c>
      <c r="B441" s="470">
        <v>1.2999999999999999E-3</v>
      </c>
      <c r="C441" s="467">
        <v>22447</v>
      </c>
      <c r="D441" s="471">
        <v>0.69099999999999995</v>
      </c>
      <c r="E441" s="467">
        <v>1178</v>
      </c>
      <c r="F441" s="472">
        <v>5.2499999999999998E-2</v>
      </c>
      <c r="G441" s="467">
        <v>0</v>
      </c>
      <c r="H441" s="472">
        <v>2.46E-2</v>
      </c>
      <c r="I441" s="467">
        <v>62</v>
      </c>
      <c r="J441" s="486">
        <v>24</v>
      </c>
      <c r="M441" s="600">
        <v>46008</v>
      </c>
      <c r="N441" s="470">
        <v>1.4E-3</v>
      </c>
      <c r="O441" s="467">
        <v>19845</v>
      </c>
      <c r="P441" s="471">
        <v>0.69599999999999995</v>
      </c>
      <c r="Q441" s="467">
        <v>571</v>
      </c>
      <c r="R441" s="472">
        <v>2.8799999999999999E-2</v>
      </c>
      <c r="S441" s="467">
        <v>0</v>
      </c>
      <c r="T441" s="472">
        <v>4.7300000000000002E-2</v>
      </c>
      <c r="U441" s="467">
        <v>83</v>
      </c>
      <c r="V441" s="486">
        <v>72</v>
      </c>
    </row>
    <row r="442" spans="1:22">
      <c r="A442" s="600">
        <v>46008</v>
      </c>
      <c r="B442" s="470">
        <v>1.2999999999999999E-3</v>
      </c>
      <c r="C442" s="467">
        <v>21068</v>
      </c>
      <c r="D442" s="471">
        <v>0.68799999999999994</v>
      </c>
      <c r="E442" s="467">
        <v>1078</v>
      </c>
      <c r="F442" s="472">
        <v>5.1200000000000002E-2</v>
      </c>
      <c r="G442" s="467">
        <v>0</v>
      </c>
      <c r="H442" s="472">
        <v>2.5000000000000001E-2</v>
      </c>
      <c r="I442" s="467">
        <v>59</v>
      </c>
      <c r="J442" s="486">
        <v>27</v>
      </c>
      <c r="M442" s="600">
        <v>46009</v>
      </c>
      <c r="N442" s="470">
        <v>1.4E-3</v>
      </c>
      <c r="O442" s="467">
        <v>19339</v>
      </c>
      <c r="P442" s="471">
        <v>0.69599999999999995</v>
      </c>
      <c r="Q442" s="467">
        <v>570</v>
      </c>
      <c r="R442" s="472">
        <v>2.9499999999999998E-2</v>
      </c>
      <c r="S442" s="467">
        <v>0</v>
      </c>
      <c r="T442" s="472">
        <v>4.7399999999999998E-2</v>
      </c>
      <c r="U442" s="467">
        <v>80</v>
      </c>
      <c r="V442" s="486">
        <v>72</v>
      </c>
    </row>
    <row r="443" spans="1:22">
      <c r="A443" s="600">
        <v>46009</v>
      </c>
      <c r="B443" s="470">
        <v>1.2999999999999999E-3</v>
      </c>
      <c r="C443" s="467">
        <v>19318</v>
      </c>
      <c r="D443" s="471">
        <v>0.68700000000000006</v>
      </c>
      <c r="E443" s="467">
        <v>972</v>
      </c>
      <c r="F443" s="472">
        <v>5.0299999999999997E-2</v>
      </c>
      <c r="G443" s="467">
        <v>0</v>
      </c>
      <c r="H443" s="472">
        <v>2.6700000000000002E-2</v>
      </c>
      <c r="I443" s="467">
        <v>60</v>
      </c>
      <c r="J443" s="486">
        <v>46</v>
      </c>
      <c r="M443" s="600">
        <v>46010</v>
      </c>
      <c r="N443" s="470">
        <v>1.4E-3</v>
      </c>
      <c r="O443" s="467">
        <v>18772</v>
      </c>
      <c r="P443" s="471">
        <v>0.69799999999999995</v>
      </c>
      <c r="Q443" s="467">
        <v>568</v>
      </c>
      <c r="R443" s="472">
        <v>3.0300000000000001E-2</v>
      </c>
      <c r="S443" s="467">
        <v>0</v>
      </c>
      <c r="T443" s="472">
        <v>4.7500000000000001E-2</v>
      </c>
      <c r="U443" s="467">
        <v>75</v>
      </c>
      <c r="V443" s="486">
        <v>72</v>
      </c>
    </row>
    <row r="444" spans="1:22">
      <c r="A444" s="600">
        <v>46010</v>
      </c>
      <c r="B444" s="470">
        <v>1.4E-3</v>
      </c>
      <c r="C444" s="467">
        <v>17575</v>
      </c>
      <c r="D444" s="471">
        <v>0.68</v>
      </c>
      <c r="E444" s="467">
        <v>874</v>
      </c>
      <c r="F444" s="472">
        <v>4.9700000000000001E-2</v>
      </c>
      <c r="G444" s="467">
        <v>0</v>
      </c>
      <c r="H444" s="472">
        <v>2.86E-2</v>
      </c>
      <c r="I444" s="467">
        <v>60</v>
      </c>
      <c r="J444" s="486">
        <v>46</v>
      </c>
      <c r="M444" s="600">
        <v>46011</v>
      </c>
      <c r="N444" s="470">
        <v>1.5E-3</v>
      </c>
      <c r="O444" s="467">
        <v>18366</v>
      </c>
      <c r="P444" s="471">
        <v>0.69899999999999995</v>
      </c>
      <c r="Q444" s="467">
        <v>566</v>
      </c>
      <c r="R444" s="472">
        <v>3.0800000000000001E-2</v>
      </c>
      <c r="S444" s="467">
        <v>0</v>
      </c>
      <c r="T444" s="472">
        <v>4.7699999999999999E-2</v>
      </c>
      <c r="U444" s="467">
        <v>64</v>
      </c>
      <c r="V444" s="486">
        <v>72</v>
      </c>
    </row>
    <row r="445" spans="1:22">
      <c r="A445" s="600">
        <v>46011</v>
      </c>
      <c r="B445" s="470">
        <v>1.6000000000000001E-3</v>
      </c>
      <c r="C445" s="467">
        <v>15458</v>
      </c>
      <c r="D445" s="471">
        <v>0.67700000000000005</v>
      </c>
      <c r="E445" s="467">
        <v>795</v>
      </c>
      <c r="F445" s="472">
        <v>5.1400000000000001E-2</v>
      </c>
      <c r="G445" s="467">
        <v>0</v>
      </c>
      <c r="H445" s="472">
        <v>3.0200000000000001E-2</v>
      </c>
      <c r="I445" s="467">
        <v>59</v>
      </c>
      <c r="J445" s="486">
        <v>72</v>
      </c>
      <c r="M445" s="600">
        <v>46012</v>
      </c>
      <c r="N445" s="470">
        <v>1.5E-3</v>
      </c>
      <c r="O445" s="467">
        <v>18255</v>
      </c>
      <c r="P445" s="471">
        <v>0.70299999999999996</v>
      </c>
      <c r="Q445" s="467">
        <v>563</v>
      </c>
      <c r="R445" s="472">
        <v>3.0800000000000001E-2</v>
      </c>
      <c r="S445" s="467">
        <v>0</v>
      </c>
      <c r="T445" s="472">
        <v>4.8000000000000001E-2</v>
      </c>
      <c r="U445" s="467">
        <v>61</v>
      </c>
      <c r="V445" s="486">
        <v>72</v>
      </c>
    </row>
    <row r="446" spans="1:22">
      <c r="A446" s="600">
        <v>46012</v>
      </c>
      <c r="B446" s="470">
        <v>1.8E-3</v>
      </c>
      <c r="C446" s="467">
        <v>13602</v>
      </c>
      <c r="D446" s="471">
        <v>0.67600000000000005</v>
      </c>
      <c r="E446" s="467">
        <v>732</v>
      </c>
      <c r="F446" s="472">
        <v>5.3800000000000001E-2</v>
      </c>
      <c r="G446" s="467">
        <v>0</v>
      </c>
      <c r="H446" s="472">
        <v>3.2800000000000003E-2</v>
      </c>
      <c r="I446" s="467">
        <v>56</v>
      </c>
      <c r="J446" s="486">
        <v>72</v>
      </c>
      <c r="M446" s="600">
        <v>46013</v>
      </c>
      <c r="N446" s="470">
        <v>1.5E-3</v>
      </c>
      <c r="O446" s="467">
        <v>18258</v>
      </c>
      <c r="P446" s="471">
        <v>0.70699999999999996</v>
      </c>
      <c r="Q446" s="467">
        <v>565</v>
      </c>
      <c r="R446" s="472">
        <v>3.09E-2</v>
      </c>
      <c r="S446" s="467">
        <v>0</v>
      </c>
      <c r="T446" s="472">
        <v>4.7800000000000002E-2</v>
      </c>
      <c r="U446" s="467">
        <v>56</v>
      </c>
      <c r="V446" s="486">
        <v>66</v>
      </c>
    </row>
    <row r="447" spans="1:22">
      <c r="A447" s="600">
        <v>46013</v>
      </c>
      <c r="B447" s="470">
        <v>1.6999999999999999E-3</v>
      </c>
      <c r="C447" s="467">
        <v>13873</v>
      </c>
      <c r="D447" s="471">
        <v>0.67400000000000004</v>
      </c>
      <c r="E447" s="467">
        <v>692</v>
      </c>
      <c r="F447" s="472">
        <v>4.99E-2</v>
      </c>
      <c r="G447" s="467">
        <v>0</v>
      </c>
      <c r="H447" s="472">
        <v>3.4700000000000002E-2</v>
      </c>
      <c r="I447" s="467">
        <v>56</v>
      </c>
      <c r="J447" s="486">
        <v>72</v>
      </c>
      <c r="M447" s="600">
        <v>46014</v>
      </c>
      <c r="N447" s="470">
        <v>1.5E-3</v>
      </c>
      <c r="O447" s="467">
        <v>18261</v>
      </c>
      <c r="P447" s="471">
        <v>0.71199999999999997</v>
      </c>
      <c r="Q447" s="467">
        <v>567</v>
      </c>
      <c r="R447" s="472">
        <v>3.1E-2</v>
      </c>
      <c r="S447" s="467">
        <v>0</v>
      </c>
      <c r="T447" s="472">
        <v>4.7600000000000003E-2</v>
      </c>
      <c r="U447" s="467">
        <v>55</v>
      </c>
      <c r="V447" s="486">
        <v>66</v>
      </c>
    </row>
    <row r="448" spans="1:22">
      <c r="A448" s="600">
        <v>46014</v>
      </c>
      <c r="B448" s="470">
        <v>1.5E-3</v>
      </c>
      <c r="C448" s="467">
        <v>14847</v>
      </c>
      <c r="D448" s="471">
        <v>0.67300000000000004</v>
      </c>
      <c r="E448" s="467">
        <v>712</v>
      </c>
      <c r="F448" s="472">
        <v>4.8000000000000001E-2</v>
      </c>
      <c r="G448" s="467">
        <v>0</v>
      </c>
      <c r="H448" s="472">
        <v>3.2300000000000002E-2</v>
      </c>
      <c r="I448" s="467">
        <v>52</v>
      </c>
      <c r="J448" s="486">
        <v>66</v>
      </c>
      <c r="M448" s="600">
        <v>46015</v>
      </c>
      <c r="N448" s="470">
        <v>1.6000000000000001E-3</v>
      </c>
      <c r="O448" s="467">
        <v>17138</v>
      </c>
      <c r="P448" s="471">
        <v>0.71499999999999997</v>
      </c>
      <c r="Q448" s="467">
        <v>568</v>
      </c>
      <c r="R448" s="472">
        <v>3.3099999999999997E-2</v>
      </c>
      <c r="S448" s="467">
        <v>0</v>
      </c>
      <c r="T448" s="472">
        <v>4.7500000000000001E-2</v>
      </c>
      <c r="U448" s="467">
        <v>46</v>
      </c>
      <c r="V448" s="486">
        <v>66</v>
      </c>
    </row>
    <row r="449" spans="1:22">
      <c r="A449" s="600">
        <v>46015</v>
      </c>
      <c r="B449" s="470">
        <v>1.5E-3</v>
      </c>
      <c r="C449" s="467">
        <v>15054</v>
      </c>
      <c r="D449" s="471">
        <v>0.67</v>
      </c>
      <c r="E449" s="467">
        <v>731</v>
      </c>
      <c r="F449" s="472">
        <v>4.8599999999999997E-2</v>
      </c>
      <c r="G449" s="467">
        <v>0</v>
      </c>
      <c r="H449" s="472">
        <v>3.0099999999999998E-2</v>
      </c>
      <c r="I449" s="467">
        <v>52</v>
      </c>
      <c r="J449" s="486">
        <v>66</v>
      </c>
      <c r="M449" s="600">
        <v>46016</v>
      </c>
      <c r="N449" s="470">
        <v>1.8E-3</v>
      </c>
      <c r="O449" s="467">
        <v>15536</v>
      </c>
      <c r="P449" s="471">
        <v>0.71599999999999997</v>
      </c>
      <c r="Q449" s="467">
        <v>551</v>
      </c>
      <c r="R449" s="472">
        <v>3.5499999999999997E-2</v>
      </c>
      <c r="S449" s="467">
        <v>0</v>
      </c>
      <c r="T449" s="472">
        <v>5.0799999999999998E-2</v>
      </c>
      <c r="U449" s="467">
        <v>44</v>
      </c>
      <c r="V449" s="486">
        <v>66</v>
      </c>
    </row>
    <row r="450" spans="1:22">
      <c r="A450" s="600">
        <v>46016</v>
      </c>
      <c r="B450" s="470">
        <v>1.2999999999999999E-3</v>
      </c>
      <c r="C450" s="467">
        <v>15013</v>
      </c>
      <c r="D450" s="471">
        <v>0.66700000000000004</v>
      </c>
      <c r="E450" s="467">
        <v>718</v>
      </c>
      <c r="F450" s="472">
        <v>4.7800000000000002E-2</v>
      </c>
      <c r="G450" s="467">
        <v>0</v>
      </c>
      <c r="H450" s="472">
        <v>2.7900000000000001E-2</v>
      </c>
      <c r="I450" s="467">
        <v>54</v>
      </c>
      <c r="J450" s="486">
        <v>66</v>
      </c>
      <c r="M450" s="600">
        <v>46017</v>
      </c>
      <c r="N450" s="470">
        <v>1.9E-3</v>
      </c>
      <c r="O450" s="467">
        <v>15058</v>
      </c>
      <c r="P450" s="471">
        <v>0.71599999999999997</v>
      </c>
      <c r="Q450" s="467">
        <v>533</v>
      </c>
      <c r="R450" s="472">
        <v>3.5400000000000001E-2</v>
      </c>
      <c r="S450" s="467">
        <v>0</v>
      </c>
      <c r="T450" s="472">
        <v>5.4399999999999997E-2</v>
      </c>
      <c r="U450" s="467">
        <v>39</v>
      </c>
      <c r="V450" s="486">
        <v>66</v>
      </c>
    </row>
    <row r="451" spans="1:22">
      <c r="A451" s="600">
        <v>46017</v>
      </c>
      <c r="B451" s="470">
        <v>1.1999999999999999E-3</v>
      </c>
      <c r="C451" s="467">
        <v>14977</v>
      </c>
      <c r="D451" s="471">
        <v>0.66500000000000004</v>
      </c>
      <c r="E451" s="467">
        <v>704</v>
      </c>
      <c r="F451" s="472">
        <v>4.7E-2</v>
      </c>
      <c r="G451" s="467">
        <v>0</v>
      </c>
      <c r="H451" s="472">
        <v>2.5600000000000001E-2</v>
      </c>
      <c r="I451" s="467">
        <v>54</v>
      </c>
      <c r="J451" s="486">
        <v>66</v>
      </c>
      <c r="M451" s="600">
        <v>46018</v>
      </c>
      <c r="N451" s="470">
        <v>1.9E-3</v>
      </c>
      <c r="O451" s="467">
        <v>15064</v>
      </c>
      <c r="P451" s="471">
        <v>0.71399999999999997</v>
      </c>
      <c r="Q451" s="467">
        <v>532</v>
      </c>
      <c r="R451" s="472">
        <v>3.5299999999999998E-2</v>
      </c>
      <c r="S451" s="467">
        <v>0</v>
      </c>
      <c r="T451" s="472">
        <v>5.45E-2</v>
      </c>
      <c r="U451" s="467">
        <v>38</v>
      </c>
      <c r="V451" s="486">
        <v>50</v>
      </c>
    </row>
    <row r="452" spans="1:22">
      <c r="A452" s="600">
        <v>46018</v>
      </c>
      <c r="B452" s="470">
        <v>1.1000000000000001E-3</v>
      </c>
      <c r="C452" s="467">
        <v>14940</v>
      </c>
      <c r="D452" s="471">
        <v>0.66</v>
      </c>
      <c r="E452" s="467">
        <v>687</v>
      </c>
      <c r="F452" s="472">
        <v>4.5999999999999999E-2</v>
      </c>
      <c r="G452" s="467">
        <v>0</v>
      </c>
      <c r="H452" s="472">
        <v>2.3300000000000001E-2</v>
      </c>
      <c r="I452" s="467">
        <v>53</v>
      </c>
      <c r="J452" s="486">
        <v>66</v>
      </c>
      <c r="M452" s="600">
        <v>46019</v>
      </c>
      <c r="N452" s="470">
        <v>1.9E-3</v>
      </c>
      <c r="O452" s="467">
        <v>15064</v>
      </c>
      <c r="P452" s="471">
        <v>0.71299999999999997</v>
      </c>
      <c r="Q452" s="467">
        <v>529</v>
      </c>
      <c r="R452" s="472">
        <v>3.5099999999999999E-2</v>
      </c>
      <c r="S452" s="467">
        <v>0</v>
      </c>
      <c r="T452" s="472">
        <v>5.2900000000000003E-2</v>
      </c>
      <c r="U452" s="467">
        <v>37</v>
      </c>
      <c r="V452" s="486">
        <v>50</v>
      </c>
    </row>
    <row r="453" spans="1:22">
      <c r="A453" s="600">
        <v>46019</v>
      </c>
      <c r="B453" s="470">
        <v>1E-3</v>
      </c>
      <c r="C453" s="467">
        <v>14697</v>
      </c>
      <c r="D453" s="471">
        <v>0.65800000000000003</v>
      </c>
      <c r="E453" s="467">
        <v>667</v>
      </c>
      <c r="F453" s="472">
        <v>4.5400000000000003E-2</v>
      </c>
      <c r="G453" s="467">
        <v>0</v>
      </c>
      <c r="H453" s="472">
        <v>2.1000000000000001E-2</v>
      </c>
      <c r="I453" s="467">
        <v>51</v>
      </c>
      <c r="J453" s="486">
        <v>66</v>
      </c>
      <c r="M453" s="600">
        <v>46020</v>
      </c>
      <c r="N453" s="470">
        <v>1.8E-3</v>
      </c>
      <c r="O453" s="467">
        <v>15064</v>
      </c>
      <c r="P453" s="471">
        <v>0.71099999999999997</v>
      </c>
      <c r="Q453" s="467">
        <v>526</v>
      </c>
      <c r="R453" s="472">
        <v>3.49E-2</v>
      </c>
      <c r="S453" s="467">
        <v>0</v>
      </c>
      <c r="T453" s="472">
        <v>5.1299999999999998E-2</v>
      </c>
      <c r="U453" s="467">
        <v>37</v>
      </c>
      <c r="V453" s="486">
        <v>50</v>
      </c>
    </row>
    <row r="454" spans="1:22">
      <c r="A454" s="600">
        <v>46020</v>
      </c>
      <c r="B454" s="470">
        <v>8.9999999999999998E-4</v>
      </c>
      <c r="C454" s="467">
        <v>14254</v>
      </c>
      <c r="D454" s="471">
        <v>0.65700000000000003</v>
      </c>
      <c r="E454" s="467">
        <v>614</v>
      </c>
      <c r="F454" s="472">
        <v>4.3099999999999999E-2</v>
      </c>
      <c r="G454" s="467">
        <v>0</v>
      </c>
      <c r="H454" s="472">
        <v>2.12E-2</v>
      </c>
      <c r="I454" s="467">
        <v>49</v>
      </c>
      <c r="J454" s="486">
        <v>66</v>
      </c>
      <c r="M454" s="600">
        <v>46021</v>
      </c>
      <c r="N454" s="470">
        <v>1.6999999999999999E-3</v>
      </c>
      <c r="O454" s="467">
        <v>15001</v>
      </c>
      <c r="P454" s="471">
        <v>0.70899999999999996</v>
      </c>
      <c r="Q454" s="467">
        <v>524</v>
      </c>
      <c r="R454" s="472">
        <v>3.49E-2</v>
      </c>
      <c r="S454" s="467">
        <v>0</v>
      </c>
      <c r="T454" s="472">
        <v>4.9599999999999998E-2</v>
      </c>
      <c r="U454" s="467">
        <v>35</v>
      </c>
      <c r="V454" s="486">
        <v>50</v>
      </c>
    </row>
    <row r="455" spans="1:22">
      <c r="A455" s="600">
        <v>46021</v>
      </c>
      <c r="B455" s="470">
        <v>8.9999999999999998E-4</v>
      </c>
      <c r="C455" s="467">
        <v>13751</v>
      </c>
      <c r="D455" s="471">
        <v>0.65500000000000003</v>
      </c>
      <c r="E455" s="467">
        <v>556</v>
      </c>
      <c r="F455" s="472">
        <v>4.0399999999999998E-2</v>
      </c>
      <c r="G455" s="467">
        <v>0</v>
      </c>
      <c r="H455" s="472">
        <v>2.1600000000000001E-2</v>
      </c>
      <c r="I455" s="467">
        <v>49</v>
      </c>
      <c r="J455" s="486">
        <v>66</v>
      </c>
      <c r="M455" s="600">
        <v>46022</v>
      </c>
      <c r="N455" s="470">
        <v>1.6999999999999999E-3</v>
      </c>
      <c r="O455" s="467">
        <v>14867</v>
      </c>
      <c r="P455" s="471">
        <v>0.70899999999999996</v>
      </c>
      <c r="Q455" s="467">
        <v>521</v>
      </c>
      <c r="R455" s="472">
        <v>3.5000000000000003E-2</v>
      </c>
      <c r="S455" s="467">
        <v>0</v>
      </c>
      <c r="T455" s="472">
        <v>4.8000000000000001E-2</v>
      </c>
      <c r="U455" s="467">
        <v>34</v>
      </c>
      <c r="V455" s="486">
        <v>49</v>
      </c>
    </row>
    <row r="456" spans="1:22">
      <c r="A456" s="600">
        <v>46022</v>
      </c>
      <c r="B456" s="470">
        <v>1E-3</v>
      </c>
      <c r="C456" s="467">
        <v>12598</v>
      </c>
      <c r="D456" s="471">
        <v>0.65600000000000003</v>
      </c>
      <c r="E456" s="467">
        <v>502</v>
      </c>
      <c r="F456" s="472">
        <v>3.9800000000000002E-2</v>
      </c>
      <c r="G456" s="467">
        <v>0</v>
      </c>
      <c r="H456" s="472">
        <v>2.3900000000000001E-2</v>
      </c>
      <c r="I456" s="467">
        <v>49</v>
      </c>
      <c r="J456" s="486">
        <v>66</v>
      </c>
      <c r="M456" s="600">
        <v>46023</v>
      </c>
      <c r="N456" s="470">
        <v>1.6000000000000001E-3</v>
      </c>
      <c r="O456" s="467">
        <v>14722</v>
      </c>
      <c r="P456" s="471">
        <v>0.70699999999999996</v>
      </c>
      <c r="Q456" s="467">
        <v>516</v>
      </c>
      <c r="R456" s="472">
        <v>3.5000000000000003E-2</v>
      </c>
      <c r="S456" s="467">
        <v>0</v>
      </c>
      <c r="T456" s="472">
        <v>4.65E-2</v>
      </c>
      <c r="U456" s="467">
        <v>29</v>
      </c>
      <c r="V456" s="486">
        <v>49</v>
      </c>
    </row>
    <row r="457" spans="1:22">
      <c r="A457" s="600">
        <v>46023</v>
      </c>
      <c r="B457" s="470">
        <v>1E-3</v>
      </c>
      <c r="C457" s="467">
        <v>11166</v>
      </c>
      <c r="D457" s="471">
        <v>0.65300000000000002</v>
      </c>
      <c r="E457" s="467">
        <v>451</v>
      </c>
      <c r="F457" s="472">
        <v>4.0399999999999998E-2</v>
      </c>
      <c r="G457" s="467">
        <v>0</v>
      </c>
      <c r="H457" s="472">
        <v>2.4400000000000002E-2</v>
      </c>
      <c r="I457" s="467">
        <v>54</v>
      </c>
      <c r="J457" s="486">
        <v>81</v>
      </c>
      <c r="M457" s="600">
        <v>46024</v>
      </c>
      <c r="N457" s="470">
        <v>1.6999999999999999E-3</v>
      </c>
      <c r="O457" s="467">
        <v>13725</v>
      </c>
      <c r="P457" s="471">
        <v>0.70799999999999996</v>
      </c>
      <c r="Q457" s="467">
        <v>509</v>
      </c>
      <c r="R457" s="472">
        <v>3.7100000000000001E-2</v>
      </c>
      <c r="S457" s="467">
        <v>0</v>
      </c>
      <c r="T457" s="472">
        <v>4.5199999999999997E-2</v>
      </c>
      <c r="U457" s="467">
        <v>29</v>
      </c>
      <c r="V457" s="486">
        <v>49</v>
      </c>
    </row>
    <row r="458" spans="1:22">
      <c r="A458" s="600">
        <v>46024</v>
      </c>
      <c r="B458" s="470">
        <v>8.9999999999999998E-4</v>
      </c>
      <c r="C458" s="467">
        <v>10643</v>
      </c>
      <c r="D458" s="471">
        <v>0.65300000000000002</v>
      </c>
      <c r="E458" s="467">
        <v>410</v>
      </c>
      <c r="F458" s="472">
        <v>3.85E-2</v>
      </c>
      <c r="G458" s="467">
        <v>0</v>
      </c>
      <c r="H458" s="472">
        <v>2.4400000000000002E-2</v>
      </c>
      <c r="I458" s="467">
        <v>52</v>
      </c>
      <c r="J458" s="486">
        <v>81</v>
      </c>
      <c r="M458" s="600">
        <v>46025</v>
      </c>
      <c r="N458" s="470">
        <v>1.9E-3</v>
      </c>
      <c r="O458" s="467">
        <v>12122</v>
      </c>
      <c r="P458" s="471">
        <v>0.70799999999999996</v>
      </c>
      <c r="Q458" s="467">
        <v>477</v>
      </c>
      <c r="R458" s="472">
        <v>3.9300000000000002E-2</v>
      </c>
      <c r="S458" s="467">
        <v>0</v>
      </c>
      <c r="T458" s="472">
        <v>4.82E-2</v>
      </c>
      <c r="U458" s="467">
        <v>30</v>
      </c>
      <c r="V458" s="486">
        <v>49</v>
      </c>
    </row>
    <row r="459" spans="1:22">
      <c r="A459" s="600">
        <v>46025</v>
      </c>
      <c r="B459" s="470">
        <v>8.9999999999999998E-4</v>
      </c>
      <c r="C459" s="467">
        <v>10569</v>
      </c>
      <c r="D459" s="471">
        <v>0.65700000000000003</v>
      </c>
      <c r="E459" s="467">
        <v>405</v>
      </c>
      <c r="F459" s="472">
        <v>3.8300000000000001E-2</v>
      </c>
      <c r="G459" s="467">
        <v>0</v>
      </c>
      <c r="H459" s="472">
        <v>2.47E-2</v>
      </c>
      <c r="I459" s="467">
        <v>54</v>
      </c>
      <c r="J459" s="486">
        <v>81</v>
      </c>
      <c r="M459" s="600">
        <v>46026</v>
      </c>
      <c r="N459" s="470">
        <v>2.2000000000000001E-3</v>
      </c>
      <c r="O459" s="467">
        <v>10656</v>
      </c>
      <c r="P459" s="471">
        <v>0.70299999999999996</v>
      </c>
      <c r="Q459" s="467">
        <v>430</v>
      </c>
      <c r="R459" s="472">
        <v>4.0399999999999998E-2</v>
      </c>
      <c r="S459" s="467">
        <v>0</v>
      </c>
      <c r="T459" s="472">
        <v>5.3499999999999999E-2</v>
      </c>
      <c r="U459" s="467">
        <v>28</v>
      </c>
      <c r="V459" s="486">
        <v>49</v>
      </c>
    </row>
    <row r="460" spans="1:22">
      <c r="A460" s="600">
        <v>46026</v>
      </c>
      <c r="B460" s="470">
        <v>1E-3</v>
      </c>
      <c r="C460" s="467">
        <v>10481</v>
      </c>
      <c r="D460" s="471">
        <v>0.65800000000000003</v>
      </c>
      <c r="E460" s="467">
        <v>401</v>
      </c>
      <c r="F460" s="472">
        <v>3.8300000000000001E-2</v>
      </c>
      <c r="G460" s="467">
        <v>0</v>
      </c>
      <c r="H460" s="472">
        <v>2.4899999999999999E-2</v>
      </c>
      <c r="I460" s="467">
        <v>54</v>
      </c>
      <c r="J460" s="486">
        <v>81</v>
      </c>
      <c r="M460" s="600">
        <v>46027</v>
      </c>
      <c r="N460" s="470">
        <v>2.3999999999999998E-3</v>
      </c>
      <c r="O460" s="467">
        <v>9666</v>
      </c>
      <c r="P460" s="471">
        <v>0.69499999999999995</v>
      </c>
      <c r="Q460" s="467">
        <v>386</v>
      </c>
      <c r="R460" s="472">
        <v>3.9899999999999998E-2</v>
      </c>
      <c r="S460" s="467">
        <v>0</v>
      </c>
      <c r="T460" s="472">
        <v>5.96E-2</v>
      </c>
      <c r="U460" s="467">
        <v>26</v>
      </c>
      <c r="V460" s="486">
        <v>48</v>
      </c>
    </row>
    <row r="461" spans="1:22">
      <c r="A461" s="600">
        <v>46027</v>
      </c>
      <c r="B461" s="470">
        <v>1E-3</v>
      </c>
      <c r="C461" s="467">
        <v>10371</v>
      </c>
      <c r="D461" s="471">
        <v>0.65900000000000003</v>
      </c>
      <c r="E461" s="467">
        <v>394</v>
      </c>
      <c r="F461" s="472">
        <v>3.7999999999999999E-2</v>
      </c>
      <c r="G461" s="467">
        <v>0</v>
      </c>
      <c r="H461" s="472">
        <v>2.5399999999999999E-2</v>
      </c>
      <c r="I461" s="467">
        <v>55</v>
      </c>
      <c r="J461" s="486">
        <v>81</v>
      </c>
      <c r="M461" s="600">
        <v>46028</v>
      </c>
      <c r="N461" s="470">
        <v>2.5000000000000001E-3</v>
      </c>
      <c r="O461" s="467">
        <v>9204</v>
      </c>
      <c r="P461" s="471">
        <v>0.69399999999999995</v>
      </c>
      <c r="Q461" s="467">
        <v>352</v>
      </c>
      <c r="R461" s="472">
        <v>3.8199999999999998E-2</v>
      </c>
      <c r="S461" s="467">
        <v>0</v>
      </c>
      <c r="T461" s="472">
        <v>6.5299999999999997E-2</v>
      </c>
      <c r="U461" s="467">
        <v>28</v>
      </c>
      <c r="V461" s="486">
        <v>48</v>
      </c>
    </row>
    <row r="462" spans="1:22">
      <c r="A462" s="600">
        <v>46028</v>
      </c>
      <c r="B462" s="470">
        <v>8.9999999999999998E-4</v>
      </c>
      <c r="C462" s="467">
        <v>10567</v>
      </c>
      <c r="D462" s="471">
        <v>0.65900000000000003</v>
      </c>
      <c r="E462" s="467">
        <v>381</v>
      </c>
      <c r="F462" s="472">
        <v>3.61E-2</v>
      </c>
      <c r="G462" s="467">
        <v>0</v>
      </c>
      <c r="H462" s="472">
        <v>2.6200000000000001E-2</v>
      </c>
      <c r="I462" s="467">
        <v>55</v>
      </c>
      <c r="J462" s="486">
        <v>81</v>
      </c>
      <c r="M462" s="600">
        <v>46029</v>
      </c>
      <c r="N462" s="470">
        <v>2.3999999999999998E-3</v>
      </c>
      <c r="O462" s="467">
        <v>9698</v>
      </c>
      <c r="P462" s="471">
        <v>0.69099999999999995</v>
      </c>
      <c r="Q462" s="467">
        <v>328</v>
      </c>
      <c r="R462" s="472">
        <v>3.3799999999999997E-2</v>
      </c>
      <c r="S462" s="467">
        <v>0</v>
      </c>
      <c r="T462" s="472">
        <v>7.0099999999999996E-2</v>
      </c>
      <c r="U462" s="467">
        <v>28</v>
      </c>
      <c r="V462" s="486">
        <v>48</v>
      </c>
    </row>
    <row r="463" spans="1:22">
      <c r="A463" s="600">
        <v>46029</v>
      </c>
      <c r="B463" s="470">
        <v>1E-3</v>
      </c>
      <c r="C463" s="467">
        <v>10186</v>
      </c>
      <c r="D463" s="471">
        <v>0.66200000000000003</v>
      </c>
      <c r="E463" s="467">
        <v>374</v>
      </c>
      <c r="F463" s="472">
        <v>3.6700000000000003E-2</v>
      </c>
      <c r="G463" s="467">
        <v>0</v>
      </c>
      <c r="H463" s="472">
        <v>2.6700000000000002E-2</v>
      </c>
      <c r="I463" s="467">
        <v>57</v>
      </c>
      <c r="J463" s="486">
        <v>81</v>
      </c>
      <c r="M463" s="600">
        <v>46030</v>
      </c>
      <c r="N463" s="470">
        <v>2.2000000000000001E-3</v>
      </c>
      <c r="O463" s="467">
        <v>10605</v>
      </c>
      <c r="P463" s="471">
        <v>0.68799999999999994</v>
      </c>
      <c r="Q463" s="467">
        <v>346</v>
      </c>
      <c r="R463" s="472">
        <v>3.2599999999999997E-2</v>
      </c>
      <c r="S463" s="467">
        <v>0</v>
      </c>
      <c r="T463" s="472">
        <v>6.6500000000000004E-2</v>
      </c>
      <c r="U463" s="467">
        <v>31</v>
      </c>
      <c r="V463" s="486">
        <v>45</v>
      </c>
    </row>
    <row r="464" spans="1:22">
      <c r="A464" s="600">
        <v>46030</v>
      </c>
      <c r="B464" s="470">
        <v>1.1000000000000001E-3</v>
      </c>
      <c r="C464" s="467">
        <v>8726</v>
      </c>
      <c r="D464" s="471">
        <v>0.66500000000000004</v>
      </c>
      <c r="E464" s="467">
        <v>334</v>
      </c>
      <c r="F464" s="472">
        <v>3.8300000000000001E-2</v>
      </c>
      <c r="G464" s="467">
        <v>0</v>
      </c>
      <c r="H464" s="472">
        <v>2.9899999999999999E-2</v>
      </c>
      <c r="I464" s="467">
        <v>59</v>
      </c>
      <c r="J464" s="486">
        <v>81</v>
      </c>
      <c r="M464" s="600">
        <v>46031</v>
      </c>
      <c r="N464" s="470">
        <v>2E-3</v>
      </c>
      <c r="O464" s="467">
        <v>11370</v>
      </c>
      <c r="P464" s="471">
        <v>0.68700000000000006</v>
      </c>
      <c r="Q464" s="467">
        <v>370</v>
      </c>
      <c r="R464" s="472">
        <v>3.2500000000000001E-2</v>
      </c>
      <c r="S464" s="467">
        <v>0</v>
      </c>
      <c r="T464" s="472">
        <v>6.2199999999999998E-2</v>
      </c>
      <c r="U464" s="467">
        <v>31</v>
      </c>
      <c r="V464" s="486">
        <v>45</v>
      </c>
    </row>
    <row r="465" spans="1:22">
      <c r="A465" s="600">
        <v>46031</v>
      </c>
      <c r="B465" s="470">
        <v>1.2999999999999999E-3</v>
      </c>
      <c r="C465" s="467">
        <v>6705</v>
      </c>
      <c r="D465" s="471">
        <v>0.66800000000000004</v>
      </c>
      <c r="E465" s="467">
        <v>273</v>
      </c>
      <c r="F465" s="472">
        <v>4.07E-2</v>
      </c>
      <c r="G465" s="467">
        <v>0</v>
      </c>
      <c r="H465" s="472">
        <v>3.3000000000000002E-2</v>
      </c>
      <c r="I465" s="467">
        <v>58</v>
      </c>
      <c r="J465" s="486">
        <v>106</v>
      </c>
      <c r="M465" s="600">
        <v>46032</v>
      </c>
      <c r="N465" s="470">
        <v>1.9E-3</v>
      </c>
      <c r="O465" s="467">
        <v>11945</v>
      </c>
      <c r="P465" s="471">
        <v>0.68500000000000005</v>
      </c>
      <c r="Q465" s="467">
        <v>397</v>
      </c>
      <c r="R465" s="472">
        <v>3.32E-2</v>
      </c>
      <c r="S465" s="467">
        <v>0</v>
      </c>
      <c r="T465" s="472">
        <v>5.79E-2</v>
      </c>
      <c r="U465" s="467">
        <v>33</v>
      </c>
      <c r="V465" s="486">
        <v>45</v>
      </c>
    </row>
    <row r="466" spans="1:22">
      <c r="A466" s="600">
        <v>46032</v>
      </c>
      <c r="B466" s="470">
        <v>1.6000000000000001E-3</v>
      </c>
      <c r="C466" s="467">
        <v>5014</v>
      </c>
      <c r="D466" s="471">
        <v>0.66900000000000004</v>
      </c>
      <c r="E466" s="467">
        <v>207</v>
      </c>
      <c r="F466" s="472">
        <v>4.1300000000000003E-2</v>
      </c>
      <c r="G466" s="467">
        <v>0</v>
      </c>
      <c r="H466" s="472">
        <v>3.8600000000000002E-2</v>
      </c>
      <c r="I466" s="467">
        <v>63</v>
      </c>
      <c r="J466" s="486">
        <v>106</v>
      </c>
      <c r="M466" s="600">
        <v>46033</v>
      </c>
      <c r="N466" s="470">
        <v>2E-3</v>
      </c>
      <c r="O466" s="467">
        <v>12139</v>
      </c>
      <c r="P466" s="471">
        <v>0.68300000000000005</v>
      </c>
      <c r="Q466" s="467">
        <v>424</v>
      </c>
      <c r="R466" s="472">
        <v>3.49E-2</v>
      </c>
      <c r="S466" s="467">
        <v>0</v>
      </c>
      <c r="T466" s="472">
        <v>5.6599999999999998E-2</v>
      </c>
      <c r="U466" s="467">
        <v>38</v>
      </c>
      <c r="V466" s="486">
        <v>45</v>
      </c>
    </row>
    <row r="467" spans="1:22">
      <c r="A467" s="600">
        <v>46033</v>
      </c>
      <c r="B467" s="470">
        <v>1.6999999999999999E-3</v>
      </c>
      <c r="C467" s="467">
        <v>4113</v>
      </c>
      <c r="D467" s="471">
        <v>0.67200000000000004</v>
      </c>
      <c r="E467" s="467">
        <v>151</v>
      </c>
      <c r="F467" s="472">
        <v>3.6700000000000003E-2</v>
      </c>
      <c r="G467" s="467">
        <v>0</v>
      </c>
      <c r="H467" s="472">
        <v>4.6399999999999997E-2</v>
      </c>
      <c r="I467" s="467">
        <v>66</v>
      </c>
      <c r="J467" s="486">
        <v>106</v>
      </c>
      <c r="M467" s="600">
        <v>46034</v>
      </c>
      <c r="N467" s="470">
        <v>2.2000000000000001E-3</v>
      </c>
      <c r="O467" s="467">
        <v>10818</v>
      </c>
      <c r="P467" s="471">
        <v>0.68400000000000005</v>
      </c>
      <c r="Q467" s="467">
        <v>448</v>
      </c>
      <c r="R467" s="472">
        <v>4.1399999999999999E-2</v>
      </c>
      <c r="S467" s="467">
        <v>0</v>
      </c>
      <c r="T467" s="472">
        <v>5.3600000000000002E-2</v>
      </c>
      <c r="U467" s="467">
        <v>41</v>
      </c>
      <c r="V467" s="486">
        <v>45</v>
      </c>
    </row>
    <row r="468" spans="1:22">
      <c r="A468" s="600">
        <v>46034</v>
      </c>
      <c r="B468" s="470">
        <v>1.6999999999999999E-3</v>
      </c>
      <c r="C468" s="467">
        <v>4153</v>
      </c>
      <c r="D468" s="471">
        <v>0.67300000000000004</v>
      </c>
      <c r="E468" s="467">
        <v>120</v>
      </c>
      <c r="F468" s="472">
        <v>2.8899999999999999E-2</v>
      </c>
      <c r="G468" s="467">
        <v>0</v>
      </c>
      <c r="H468" s="472">
        <v>5.8299999999999998E-2</v>
      </c>
      <c r="I468" s="467">
        <v>73</v>
      </c>
      <c r="J468" s="486">
        <v>106</v>
      </c>
      <c r="M468" s="600">
        <v>46035</v>
      </c>
      <c r="N468" s="470">
        <v>2.8E-3</v>
      </c>
      <c r="O468" s="467">
        <v>8983</v>
      </c>
      <c r="P468" s="471">
        <v>0.68300000000000005</v>
      </c>
      <c r="Q468" s="467">
        <v>446</v>
      </c>
      <c r="R468" s="472">
        <v>4.9599999999999998E-2</v>
      </c>
      <c r="S468" s="467">
        <v>0</v>
      </c>
      <c r="T468" s="472">
        <v>5.6099999999999997E-2</v>
      </c>
      <c r="U468" s="467">
        <v>46</v>
      </c>
      <c r="V468" s="486">
        <v>45</v>
      </c>
    </row>
    <row r="469" spans="1:22">
      <c r="A469" s="600">
        <v>46035</v>
      </c>
      <c r="B469" s="470">
        <v>1.8E-3</v>
      </c>
      <c r="C469" s="467">
        <v>4513</v>
      </c>
      <c r="D469" s="471">
        <v>0.67300000000000004</v>
      </c>
      <c r="E469" s="467">
        <v>128</v>
      </c>
      <c r="F469" s="472">
        <v>2.8400000000000002E-2</v>
      </c>
      <c r="G469" s="467">
        <v>0</v>
      </c>
      <c r="H469" s="472">
        <v>6.25E-2</v>
      </c>
      <c r="I469" s="467">
        <v>70</v>
      </c>
      <c r="J469" s="486">
        <v>106</v>
      </c>
      <c r="M469" s="600">
        <v>46036</v>
      </c>
      <c r="N469" s="470">
        <v>3.5999999999999999E-3</v>
      </c>
      <c r="O469" s="467">
        <v>7322</v>
      </c>
      <c r="P469" s="471">
        <v>0.68400000000000005</v>
      </c>
      <c r="Q469" s="467">
        <v>457</v>
      </c>
      <c r="R469" s="472">
        <v>6.2399999999999997E-2</v>
      </c>
      <c r="S469" s="467">
        <v>0</v>
      </c>
      <c r="T469" s="472">
        <v>5.6899999999999999E-2</v>
      </c>
      <c r="U469" s="467">
        <v>52</v>
      </c>
      <c r="V469" s="486">
        <v>45</v>
      </c>
    </row>
    <row r="470" spans="1:22">
      <c r="A470" s="600">
        <v>46036</v>
      </c>
      <c r="B470" s="470">
        <v>1.9E-3</v>
      </c>
      <c r="C470" s="467">
        <v>4700</v>
      </c>
      <c r="D470" s="471">
        <v>0.67400000000000004</v>
      </c>
      <c r="E470" s="467">
        <v>141</v>
      </c>
      <c r="F470" s="472">
        <v>0.03</v>
      </c>
      <c r="G470" s="467">
        <v>0</v>
      </c>
      <c r="H470" s="472">
        <v>6.3799999999999996E-2</v>
      </c>
      <c r="I470" s="467">
        <v>74</v>
      </c>
      <c r="J470" s="486">
        <v>106</v>
      </c>
      <c r="M470" s="600">
        <v>46037</v>
      </c>
      <c r="N470" s="470">
        <v>4.0000000000000001E-3</v>
      </c>
      <c r="O470" s="467">
        <v>7081</v>
      </c>
      <c r="P470" s="471">
        <v>0.68300000000000005</v>
      </c>
      <c r="Q470" s="467">
        <v>493</v>
      </c>
      <c r="R470" s="472">
        <v>6.9599999999999995E-2</v>
      </c>
      <c r="S470" s="467">
        <v>0</v>
      </c>
      <c r="T470" s="472">
        <v>5.6800000000000003E-2</v>
      </c>
      <c r="U470" s="467">
        <v>50</v>
      </c>
      <c r="V470" s="486">
        <v>45</v>
      </c>
    </row>
    <row r="471" spans="1:22">
      <c r="A471" s="600">
        <v>46037</v>
      </c>
      <c r="B471" s="470">
        <v>2.3E-3</v>
      </c>
      <c r="C471" s="467">
        <v>4815</v>
      </c>
      <c r="D471" s="471">
        <v>0.67500000000000004</v>
      </c>
      <c r="E471" s="467">
        <v>157</v>
      </c>
      <c r="F471" s="472">
        <v>3.2599999999999997E-2</v>
      </c>
      <c r="G471" s="467">
        <v>0</v>
      </c>
      <c r="H471" s="472">
        <v>7.0099999999999996E-2</v>
      </c>
      <c r="I471" s="467">
        <v>71</v>
      </c>
      <c r="J471" s="486">
        <v>86</v>
      </c>
      <c r="M471" s="600">
        <v>46038</v>
      </c>
      <c r="N471" s="470">
        <v>3.8999999999999998E-3</v>
      </c>
      <c r="O471" s="467">
        <v>7419</v>
      </c>
      <c r="P471" s="471">
        <v>0.68500000000000005</v>
      </c>
      <c r="Q471" s="467">
        <v>570</v>
      </c>
      <c r="R471" s="472">
        <v>7.6799999999999993E-2</v>
      </c>
      <c r="S471" s="467">
        <v>0</v>
      </c>
      <c r="T471" s="472">
        <v>5.0900000000000001E-2</v>
      </c>
      <c r="U471" s="467">
        <v>55</v>
      </c>
      <c r="V471" s="486">
        <v>29</v>
      </c>
    </row>
    <row r="472" spans="1:22">
      <c r="A472" s="600">
        <v>46038</v>
      </c>
      <c r="B472" s="470">
        <v>2.5999999999999999E-3</v>
      </c>
      <c r="C472" s="467">
        <v>4928</v>
      </c>
      <c r="D472" s="471">
        <v>0.67600000000000005</v>
      </c>
      <c r="E472" s="467">
        <v>174</v>
      </c>
      <c r="F472" s="472">
        <v>3.5299999999999998E-2</v>
      </c>
      <c r="G472" s="467">
        <v>0</v>
      </c>
      <c r="H472" s="472">
        <v>7.4700000000000003E-2</v>
      </c>
      <c r="I472" s="467">
        <v>74</v>
      </c>
      <c r="J472" s="486">
        <v>86</v>
      </c>
      <c r="M472" s="600">
        <v>46039</v>
      </c>
      <c r="N472" s="470">
        <v>3.8999999999999998E-3</v>
      </c>
      <c r="O472" s="467">
        <v>7754</v>
      </c>
      <c r="P472" s="471">
        <v>0.68700000000000006</v>
      </c>
      <c r="Q472" s="467">
        <v>654</v>
      </c>
      <c r="R472" s="472">
        <v>8.43E-2</v>
      </c>
      <c r="S472" s="467">
        <v>0</v>
      </c>
      <c r="T472" s="472">
        <v>4.5900000000000003E-2</v>
      </c>
      <c r="U472" s="467">
        <v>57</v>
      </c>
      <c r="V472" s="486">
        <v>29</v>
      </c>
    </row>
    <row r="473" spans="1:22">
      <c r="A473" s="600">
        <v>46039</v>
      </c>
      <c r="B473" s="470">
        <v>2.7000000000000001E-3</v>
      </c>
      <c r="C473" s="467">
        <v>5641</v>
      </c>
      <c r="D473" s="471">
        <v>0.67800000000000005</v>
      </c>
      <c r="E473" s="467">
        <v>192</v>
      </c>
      <c r="F473" s="472">
        <v>3.4000000000000002E-2</v>
      </c>
      <c r="G473" s="467">
        <v>0</v>
      </c>
      <c r="H473" s="472">
        <v>7.8100000000000003E-2</v>
      </c>
      <c r="I473" s="467">
        <v>75</v>
      </c>
      <c r="J473" s="486">
        <v>86</v>
      </c>
      <c r="M473" s="600">
        <v>46040</v>
      </c>
      <c r="N473" s="470">
        <v>3.8999999999999998E-3</v>
      </c>
      <c r="O473" s="467">
        <v>7967</v>
      </c>
      <c r="P473" s="471">
        <v>0.68899999999999995</v>
      </c>
      <c r="Q473" s="467">
        <v>739</v>
      </c>
      <c r="R473" s="472">
        <v>9.2799999999999994E-2</v>
      </c>
      <c r="S473" s="467">
        <v>0</v>
      </c>
      <c r="T473" s="472">
        <v>4.19E-2</v>
      </c>
      <c r="U473" s="467">
        <v>59</v>
      </c>
      <c r="V473" s="486">
        <v>29</v>
      </c>
    </row>
    <row r="474" spans="1:22">
      <c r="A474" s="600">
        <v>46040</v>
      </c>
      <c r="B474" s="470">
        <v>2.2000000000000001E-3</v>
      </c>
      <c r="C474" s="467">
        <v>6863</v>
      </c>
      <c r="D474" s="471">
        <v>0.67600000000000005</v>
      </c>
      <c r="E474" s="467">
        <v>225</v>
      </c>
      <c r="F474" s="472">
        <v>3.2800000000000003E-2</v>
      </c>
      <c r="G474" s="467">
        <v>0</v>
      </c>
      <c r="H474" s="472">
        <v>6.6699999999999995E-2</v>
      </c>
      <c r="I474" s="467">
        <v>76</v>
      </c>
      <c r="J474" s="486">
        <v>80</v>
      </c>
      <c r="M474" s="600">
        <v>46041</v>
      </c>
      <c r="N474" s="470">
        <v>4.0000000000000001E-3</v>
      </c>
      <c r="O474" s="467">
        <v>8101</v>
      </c>
      <c r="P474" s="471">
        <v>0.69499999999999995</v>
      </c>
      <c r="Q474" s="467">
        <v>805</v>
      </c>
      <c r="R474" s="472">
        <v>9.9400000000000002E-2</v>
      </c>
      <c r="S474" s="467">
        <v>0</v>
      </c>
      <c r="T474" s="472">
        <v>3.9800000000000002E-2</v>
      </c>
      <c r="U474" s="467">
        <v>64</v>
      </c>
      <c r="V474" s="486">
        <v>29</v>
      </c>
    </row>
    <row r="475" spans="1:22">
      <c r="A475" s="600">
        <v>46041</v>
      </c>
      <c r="B475" s="470">
        <v>1.6999999999999999E-3</v>
      </c>
      <c r="C475" s="467">
        <v>8183</v>
      </c>
      <c r="D475" s="471">
        <v>0.67600000000000005</v>
      </c>
      <c r="E475" s="467">
        <v>266</v>
      </c>
      <c r="F475" s="472">
        <v>3.2500000000000001E-2</v>
      </c>
      <c r="G475" s="467">
        <v>0</v>
      </c>
      <c r="H475" s="472">
        <v>5.2600000000000001E-2</v>
      </c>
      <c r="I475" s="467">
        <v>93</v>
      </c>
      <c r="J475" s="486">
        <v>80</v>
      </c>
      <c r="M475" s="600">
        <v>46042</v>
      </c>
      <c r="N475" s="470">
        <v>4.0000000000000001E-3</v>
      </c>
      <c r="O475" s="467">
        <v>8220</v>
      </c>
      <c r="P475" s="471">
        <v>0.69899999999999995</v>
      </c>
      <c r="Q475" s="467">
        <v>857</v>
      </c>
      <c r="R475" s="472">
        <v>0.1043</v>
      </c>
      <c r="S475" s="467">
        <v>0</v>
      </c>
      <c r="T475" s="472">
        <v>3.85E-2</v>
      </c>
      <c r="U475" s="467">
        <v>66</v>
      </c>
      <c r="V475" s="486">
        <v>29</v>
      </c>
    </row>
    <row r="476" spans="1:22">
      <c r="A476" s="600">
        <v>46042</v>
      </c>
      <c r="B476" s="470">
        <v>1.5E-3</v>
      </c>
      <c r="C476" s="467">
        <v>8652</v>
      </c>
      <c r="D476" s="471">
        <v>0.67600000000000005</v>
      </c>
      <c r="E476" s="467">
        <v>308</v>
      </c>
      <c r="F476" s="472">
        <v>3.56E-2</v>
      </c>
      <c r="G476" s="467">
        <v>0</v>
      </c>
      <c r="H476" s="472">
        <v>4.2200000000000001E-2</v>
      </c>
      <c r="I476" s="467">
        <v>97</v>
      </c>
      <c r="J476" s="486">
        <v>32</v>
      </c>
      <c r="M476" s="600">
        <v>46043</v>
      </c>
      <c r="N476" s="470">
        <v>4.1000000000000003E-3</v>
      </c>
      <c r="O476" s="467">
        <v>8342</v>
      </c>
      <c r="P476" s="471">
        <v>0.69799999999999995</v>
      </c>
      <c r="Q476" s="467">
        <v>909</v>
      </c>
      <c r="R476" s="472">
        <v>0.109</v>
      </c>
      <c r="S476" s="467">
        <v>4</v>
      </c>
      <c r="T476" s="472">
        <v>3.7400000000000003E-2</v>
      </c>
      <c r="U476" s="467">
        <v>65</v>
      </c>
      <c r="V476" s="486">
        <v>29</v>
      </c>
    </row>
    <row r="477" spans="1:22">
      <c r="A477" s="600">
        <v>46043</v>
      </c>
      <c r="B477" s="470">
        <v>1.4E-3</v>
      </c>
      <c r="C477" s="467">
        <v>8706</v>
      </c>
      <c r="D477" s="471">
        <v>0.67600000000000005</v>
      </c>
      <c r="E477" s="467">
        <v>314</v>
      </c>
      <c r="F477" s="472">
        <v>3.61E-2</v>
      </c>
      <c r="G477" s="467">
        <v>1</v>
      </c>
      <c r="H477" s="472">
        <v>3.8199999999999998E-2</v>
      </c>
      <c r="I477" s="467">
        <v>97</v>
      </c>
      <c r="J477" s="486">
        <v>32</v>
      </c>
      <c r="M477" s="600">
        <v>46044</v>
      </c>
      <c r="N477" s="470">
        <v>4.1000000000000003E-3</v>
      </c>
      <c r="O477" s="467">
        <v>8541</v>
      </c>
      <c r="P477" s="471">
        <v>0.7</v>
      </c>
      <c r="Q477" s="467">
        <v>956</v>
      </c>
      <c r="R477" s="472">
        <v>0.1119</v>
      </c>
      <c r="S477" s="467">
        <v>4</v>
      </c>
      <c r="T477" s="472">
        <v>3.6600000000000001E-2</v>
      </c>
      <c r="U477" s="467">
        <v>74</v>
      </c>
      <c r="V477" s="486">
        <v>29</v>
      </c>
    </row>
    <row r="478" spans="1:22">
      <c r="A478" s="600">
        <v>46044</v>
      </c>
      <c r="B478" s="470">
        <v>1.4E-3</v>
      </c>
      <c r="C478" s="467">
        <v>7964</v>
      </c>
      <c r="D478" s="471">
        <v>0.67500000000000004</v>
      </c>
      <c r="E478" s="467">
        <v>320</v>
      </c>
      <c r="F478" s="472">
        <v>4.02E-2</v>
      </c>
      <c r="G478" s="467">
        <v>1</v>
      </c>
      <c r="H478" s="472">
        <v>3.44E-2</v>
      </c>
      <c r="I478" s="467">
        <v>98</v>
      </c>
      <c r="J478" s="486">
        <v>32</v>
      </c>
    </row>
    <row r="485" spans="6:6">
      <c r="F485" s="473"/>
    </row>
  </sheetData>
  <pageMargins left="0.7" right="0.7" top="0.75" bottom="0.75" header="0.3" footer="0.3"/>
  <pageSetup paperSize="9" orientation="portrait" horizontalDpi="0" verticalDpi="0"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47468A1-A2DB-42E9-9575-86AC96F09C8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21</vt:i4>
      </vt:variant>
      <vt:variant>
        <vt:lpstr>Plages nommées</vt:lpstr>
      </vt:variant>
      <vt:variant>
        <vt:i4>54</vt:i4>
      </vt:variant>
    </vt:vector>
  </HeadingPairs>
  <TitlesOfParts>
    <vt:vector size="75" baseType="lpstr">
      <vt:lpstr>Accueil</vt:lpstr>
      <vt:lpstr>Finances</vt:lpstr>
      <vt:lpstr>Channels</vt:lpstr>
      <vt:lpstr>Récapitulatif</vt:lpstr>
      <vt:lpstr>Budget</vt:lpstr>
      <vt:lpstr>Calcul budget</vt:lpstr>
      <vt:lpstr>Calendrier</vt:lpstr>
      <vt:lpstr>Résas booking</vt:lpstr>
      <vt:lpstr>Résas airbnb</vt:lpstr>
      <vt:lpstr>Résas Guesty</vt:lpstr>
      <vt:lpstr>Réservations</vt:lpstr>
      <vt:lpstr>Feuil1</vt:lpstr>
      <vt:lpstr>Automate</vt:lpstr>
      <vt:lpstr>Notifs</vt:lpstr>
      <vt:lpstr>Graph Stats</vt:lpstr>
      <vt:lpstr>Paramètres</vt:lpstr>
      <vt:lpstr>ParamAirBNB</vt:lpstr>
      <vt:lpstr>Guesty</vt:lpstr>
      <vt:lpstr>Prix</vt:lpstr>
      <vt:lpstr>Prix_Airbnb</vt:lpstr>
      <vt:lpstr>Stats Airbnb</vt:lpstr>
      <vt:lpstr>anDebut</vt:lpstr>
      <vt:lpstr>Annee1</vt:lpstr>
      <vt:lpstr>Annee2</vt:lpstr>
      <vt:lpstr>Annee3</vt:lpstr>
      <vt:lpstr>Annee4</vt:lpstr>
      <vt:lpstr>Annee5</vt:lpstr>
      <vt:lpstr>Budget2023</vt:lpstr>
      <vt:lpstr>Budget2024</vt:lpstr>
      <vt:lpstr>Budget2025</vt:lpstr>
      <vt:lpstr>Budget2026</vt:lpstr>
      <vt:lpstr>Budget2027</vt:lpstr>
      <vt:lpstr>Budget2028</vt:lpstr>
      <vt:lpstr>Budget2029</vt:lpstr>
      <vt:lpstr>Budget2030</vt:lpstr>
      <vt:lpstr>ContenuCalendrier</vt:lpstr>
      <vt:lpstr>Cookie</vt:lpstr>
      <vt:lpstr>cookie_esadm</vt:lpstr>
      <vt:lpstr>Cookie2</vt:lpstr>
      <vt:lpstr>DateLectureEmails</vt:lpstr>
      <vt:lpstr>dateToken</vt:lpstr>
      <vt:lpstr>DirDownload</vt:lpstr>
      <vt:lpstr>esadmBooking</vt:lpstr>
      <vt:lpstr>ExecNotif</vt:lpstr>
      <vt:lpstr>GuestyAPIKey</vt:lpstr>
      <vt:lpstr>GuestyID</vt:lpstr>
      <vt:lpstr>GuestyKey</vt:lpstr>
      <vt:lpstr>GuestyURL</vt:lpstr>
      <vt:lpstr>GuestyURL2</vt:lpstr>
      <vt:lpstr>GuestyURLPrix</vt:lpstr>
      <vt:lpstr>Récapitulatif!Janvier</vt:lpstr>
      <vt:lpstr>Key</vt:lpstr>
      <vt:lpstr>LastToken</vt:lpstr>
      <vt:lpstr>lienBooking</vt:lpstr>
      <vt:lpstr>ListeAnnées</vt:lpstr>
      <vt:lpstr>ListeMois</vt:lpstr>
      <vt:lpstr>LogementChannel</vt:lpstr>
      <vt:lpstr>logExtraction</vt:lpstr>
      <vt:lpstr>NomApt1</vt:lpstr>
      <vt:lpstr>NOMApt2</vt:lpstr>
      <vt:lpstr>NOMApt3</vt:lpstr>
      <vt:lpstr>NOMApt4</vt:lpstr>
      <vt:lpstr>NOMApt5</vt:lpstr>
      <vt:lpstr>Notations</vt:lpstr>
      <vt:lpstr>Prixairbnb</vt:lpstr>
      <vt:lpstr>Recap2028</vt:lpstr>
      <vt:lpstr>Recap2029</vt:lpstr>
      <vt:lpstr>Recap2030</vt:lpstr>
      <vt:lpstr>RecapTableau1</vt:lpstr>
      <vt:lpstr>RecapTableau2</vt:lpstr>
      <vt:lpstr>RecapTableau4</vt:lpstr>
      <vt:lpstr>TableauCalendrier</vt:lpstr>
      <vt:lpstr>TitreLogementsA</vt:lpstr>
      <vt:lpstr>Todo</vt:lpstr>
      <vt:lpstr>xDates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Christophe</dc:creator>
  <cp:keywords/>
  <dc:description/>
  <cp:lastModifiedBy>Christophe Tricaud</cp:lastModifiedBy>
  <cp:revision/>
  <cp:lastPrinted>2025-02-20T20:33:35Z</cp:lastPrinted>
  <dcterms:created xsi:type="dcterms:W3CDTF">2023-06-29T18:17:41Z</dcterms:created>
  <dcterms:modified xsi:type="dcterms:W3CDTF">2026-02-27T14:44:48Z</dcterms:modified>
  <cp:category/>
  <cp:contentStatus/>
</cp:coreProperties>
</file>